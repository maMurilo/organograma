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senvolvimento\html\organograma\wwwroot\"/>
    </mc:Choice>
  </mc:AlternateContent>
  <xr:revisionPtr revIDLastSave="0" documentId="13_ncr:1_{567E81B1-E76D-463D-AD90-D363FE35C3C0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Plan1" sheetId="1" r:id="rId1"/>
    <sheet name="ListaColaboradores" sheetId="3" r:id="rId2"/>
    <sheet name="Plan1 (2)" sheetId="2" r:id="rId3"/>
  </sheets>
  <externalReferences>
    <externalReference r:id="rId4"/>
  </externalReferences>
  <definedNames>
    <definedName name="_xlnm._FilterDatabase" localSheetId="1" hidden="1">ListaColaboradores!$A$1:$BJ$430</definedName>
    <definedName name="_xlnm._FilterDatabase" localSheetId="0" hidden="1">Plan1!$A$1:$S$430</definedName>
    <definedName name="_xlnm._FilterDatabase" localSheetId="2" hidden="1">'Plan1 (2)'!$A$1:$S$373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BJ430" i="3"/>
  <c r="H430" i="3"/>
  <c r="BJ429" i="3"/>
  <c r="H429" i="3"/>
  <c r="H428" i="3"/>
  <c r="BJ427" i="3"/>
  <c r="H427" i="3"/>
  <c r="BJ426" i="3"/>
  <c r="H426" i="3"/>
  <c r="BJ425" i="3"/>
  <c r="H425" i="3"/>
  <c r="BJ424" i="3"/>
  <c r="H424" i="3"/>
  <c r="BJ423" i="3"/>
  <c r="H423" i="3"/>
  <c r="BJ422" i="3"/>
  <c r="H422" i="3"/>
  <c r="BJ421" i="3"/>
  <c r="H421" i="3"/>
  <c r="BJ420" i="3"/>
  <c r="H420" i="3"/>
  <c r="BJ419" i="3"/>
  <c r="H419" i="3"/>
  <c r="BJ418" i="3"/>
  <c r="H418" i="3"/>
  <c r="BJ417" i="3"/>
  <c r="H417" i="3"/>
  <c r="BJ416" i="3"/>
  <c r="H416" i="3"/>
  <c r="BJ415" i="3"/>
  <c r="H415" i="3"/>
  <c r="BJ414" i="3"/>
  <c r="H414" i="3"/>
  <c r="BJ413" i="3"/>
  <c r="H413" i="3"/>
  <c r="BJ412" i="3"/>
  <c r="H412" i="3"/>
  <c r="BJ411" i="3"/>
  <c r="H411" i="3"/>
  <c r="BJ410" i="3"/>
  <c r="H410" i="3"/>
  <c r="BJ409" i="3"/>
  <c r="H409" i="3"/>
  <c r="BJ408" i="3"/>
  <c r="H408" i="3"/>
  <c r="BJ407" i="3"/>
  <c r="H407" i="3"/>
  <c r="BJ406" i="3"/>
  <c r="H406" i="3"/>
  <c r="BJ405" i="3"/>
  <c r="H405" i="3"/>
  <c r="BJ404" i="3"/>
  <c r="H404" i="3"/>
  <c r="BJ403" i="3"/>
  <c r="H403" i="3"/>
  <c r="BJ402" i="3"/>
  <c r="H402" i="3"/>
  <c r="BJ401" i="3"/>
  <c r="H401" i="3"/>
  <c r="BJ400" i="3"/>
  <c r="H400" i="3"/>
  <c r="BJ399" i="3"/>
  <c r="H399" i="3"/>
  <c r="BJ398" i="3"/>
  <c r="H398" i="3"/>
  <c r="BJ397" i="3"/>
  <c r="H397" i="3"/>
  <c r="BJ396" i="3"/>
  <c r="H396" i="3"/>
  <c r="BJ395" i="3"/>
  <c r="H395" i="3"/>
  <c r="BJ394" i="3"/>
  <c r="H394" i="3"/>
  <c r="BJ393" i="3"/>
  <c r="H393" i="3"/>
  <c r="BJ392" i="3"/>
  <c r="H392" i="3"/>
  <c r="BJ391" i="3"/>
  <c r="H391" i="3"/>
  <c r="BJ390" i="3"/>
  <c r="H390" i="3"/>
  <c r="BJ389" i="3"/>
  <c r="H389" i="3"/>
  <c r="BJ388" i="3"/>
  <c r="H388" i="3"/>
  <c r="BJ387" i="3"/>
  <c r="H387" i="3"/>
  <c r="BJ386" i="3"/>
  <c r="H386" i="3"/>
  <c r="BJ385" i="3"/>
  <c r="H385" i="3"/>
  <c r="BJ384" i="3"/>
  <c r="H384" i="3"/>
  <c r="BJ383" i="3"/>
  <c r="H383" i="3"/>
  <c r="BJ382" i="3"/>
  <c r="H382" i="3"/>
  <c r="BJ381" i="3"/>
  <c r="H381" i="3"/>
  <c r="BJ380" i="3"/>
  <c r="H380" i="3"/>
  <c r="BJ379" i="3"/>
  <c r="H379" i="3"/>
  <c r="BJ378" i="3"/>
  <c r="H378" i="3"/>
  <c r="BJ377" i="3"/>
  <c r="H377" i="3"/>
  <c r="BJ376" i="3"/>
  <c r="H376" i="3"/>
  <c r="BJ375" i="3"/>
  <c r="H375" i="3"/>
  <c r="BJ374" i="3"/>
  <c r="H374" i="3"/>
  <c r="BJ373" i="3"/>
  <c r="H373" i="3"/>
  <c r="BJ372" i="3"/>
  <c r="H372" i="3"/>
  <c r="BJ371" i="3"/>
  <c r="H371" i="3"/>
  <c r="BJ370" i="3"/>
  <c r="H370" i="3"/>
  <c r="BJ369" i="3"/>
  <c r="H369" i="3"/>
  <c r="BJ368" i="3"/>
  <c r="H368" i="3"/>
  <c r="BJ367" i="3"/>
  <c r="H367" i="3"/>
  <c r="BJ366" i="3"/>
  <c r="H366" i="3"/>
  <c r="BJ365" i="3"/>
  <c r="H365" i="3"/>
  <c r="BJ364" i="3"/>
  <c r="H364" i="3"/>
  <c r="BJ363" i="3"/>
  <c r="H363" i="3"/>
  <c r="BJ362" i="3"/>
  <c r="H362" i="3"/>
  <c r="BJ361" i="3"/>
  <c r="H361" i="3"/>
  <c r="BJ360" i="3"/>
  <c r="H360" i="3"/>
  <c r="BJ359" i="3"/>
  <c r="H359" i="3"/>
  <c r="BJ358" i="3"/>
  <c r="H358" i="3"/>
  <c r="BJ357" i="3"/>
  <c r="H357" i="3"/>
  <c r="BJ356" i="3"/>
  <c r="H356" i="3"/>
  <c r="BJ355" i="3"/>
  <c r="H355" i="3"/>
  <c r="BJ354" i="3"/>
  <c r="H354" i="3"/>
  <c r="BJ353" i="3"/>
  <c r="H353" i="3"/>
  <c r="BJ352" i="3"/>
  <c r="H352" i="3"/>
  <c r="BJ351" i="3"/>
  <c r="H351" i="3"/>
  <c r="BJ350" i="3"/>
  <c r="H350" i="3"/>
  <c r="BJ349" i="3"/>
  <c r="H349" i="3"/>
  <c r="H348" i="3"/>
  <c r="BJ347" i="3"/>
  <c r="H347" i="3"/>
  <c r="BJ346" i="3"/>
  <c r="H346" i="3"/>
  <c r="BJ345" i="3"/>
  <c r="H345" i="3"/>
  <c r="BJ344" i="3"/>
  <c r="H344" i="3"/>
  <c r="BJ343" i="3"/>
  <c r="H343" i="3"/>
  <c r="BJ342" i="3"/>
  <c r="H342" i="3"/>
  <c r="BJ341" i="3"/>
  <c r="H341" i="3"/>
  <c r="BJ340" i="3"/>
  <c r="H340" i="3"/>
  <c r="BJ339" i="3"/>
  <c r="H339" i="3"/>
  <c r="BJ338" i="3"/>
  <c r="H338" i="3"/>
  <c r="BJ337" i="3"/>
  <c r="H337" i="3"/>
  <c r="BJ336" i="3"/>
  <c r="H336" i="3"/>
  <c r="BJ335" i="3"/>
  <c r="H335" i="3"/>
  <c r="BJ334" i="3"/>
  <c r="H334" i="3"/>
  <c r="BJ333" i="3"/>
  <c r="H333" i="3"/>
  <c r="BJ332" i="3"/>
  <c r="H332" i="3"/>
  <c r="BJ331" i="3"/>
  <c r="H331" i="3"/>
  <c r="BJ330" i="3"/>
  <c r="H330" i="3"/>
  <c r="BJ329" i="3"/>
  <c r="H329" i="3"/>
  <c r="BJ328" i="3"/>
  <c r="H328" i="3"/>
  <c r="BJ327" i="3"/>
  <c r="H327" i="3"/>
  <c r="BJ326" i="3"/>
  <c r="H326" i="3"/>
  <c r="BJ325" i="3"/>
  <c r="H325" i="3"/>
  <c r="BJ324" i="3"/>
  <c r="H324" i="3"/>
  <c r="BJ323" i="3"/>
  <c r="H323" i="3"/>
  <c r="BJ322" i="3"/>
  <c r="H322" i="3"/>
  <c r="BJ321" i="3"/>
  <c r="H321" i="3"/>
  <c r="BJ320" i="3"/>
  <c r="H320" i="3"/>
  <c r="BJ319" i="3"/>
  <c r="H319" i="3"/>
  <c r="BJ318" i="3"/>
  <c r="H318" i="3"/>
  <c r="BJ317" i="3"/>
  <c r="H317" i="3"/>
  <c r="BJ316" i="3"/>
  <c r="H316" i="3"/>
  <c r="BJ315" i="3"/>
  <c r="H315" i="3"/>
  <c r="BJ314" i="3"/>
  <c r="H314" i="3"/>
  <c r="BJ313" i="3"/>
  <c r="H313" i="3"/>
  <c r="BJ312" i="3"/>
  <c r="H312" i="3"/>
  <c r="BJ311" i="3"/>
  <c r="H311" i="3"/>
  <c r="BJ310" i="3"/>
  <c r="H310" i="3"/>
  <c r="BJ309" i="3"/>
  <c r="H309" i="3"/>
  <c r="BJ308" i="3"/>
  <c r="H308" i="3"/>
  <c r="BJ307" i="3"/>
  <c r="H307" i="3"/>
  <c r="BJ306" i="3"/>
  <c r="H306" i="3"/>
  <c r="BJ305" i="3"/>
  <c r="H305" i="3"/>
  <c r="BJ304" i="3"/>
  <c r="H304" i="3"/>
  <c r="BJ303" i="3"/>
  <c r="H303" i="3"/>
  <c r="BJ302" i="3"/>
  <c r="H302" i="3"/>
  <c r="BJ301" i="3"/>
  <c r="H301" i="3"/>
  <c r="BJ300" i="3"/>
  <c r="H300" i="3"/>
  <c r="BJ299" i="3"/>
  <c r="H299" i="3"/>
  <c r="BJ298" i="3"/>
  <c r="H298" i="3"/>
  <c r="BJ297" i="3"/>
  <c r="H297" i="3"/>
  <c r="BJ296" i="3"/>
  <c r="H296" i="3"/>
  <c r="BJ295" i="3"/>
  <c r="H295" i="3"/>
  <c r="BJ294" i="3"/>
  <c r="H294" i="3"/>
  <c r="BJ293" i="3"/>
  <c r="H293" i="3"/>
  <c r="BJ292" i="3"/>
  <c r="H292" i="3"/>
  <c r="BJ291" i="3"/>
  <c r="H291" i="3"/>
  <c r="BJ290" i="3"/>
  <c r="H290" i="3"/>
  <c r="BJ289" i="3"/>
  <c r="H289" i="3"/>
  <c r="BJ288" i="3"/>
  <c r="H288" i="3"/>
  <c r="BJ287" i="3"/>
  <c r="H287" i="3"/>
  <c r="BJ286" i="3"/>
  <c r="H286" i="3"/>
  <c r="BJ285" i="3"/>
  <c r="H285" i="3"/>
  <c r="BJ284" i="3"/>
  <c r="BJ283" i="3"/>
  <c r="H283" i="3"/>
  <c r="BJ282" i="3"/>
  <c r="H282" i="3"/>
  <c r="BJ281" i="3"/>
  <c r="H281" i="3"/>
  <c r="BJ280" i="3"/>
  <c r="H280" i="3"/>
  <c r="BJ279" i="3"/>
  <c r="H279" i="3"/>
  <c r="BJ278" i="3"/>
  <c r="H278" i="3"/>
  <c r="BJ277" i="3"/>
  <c r="H277" i="3"/>
  <c r="BJ276" i="3"/>
  <c r="H276" i="3"/>
  <c r="BJ275" i="3"/>
  <c r="H275" i="3"/>
  <c r="BJ274" i="3"/>
  <c r="H274" i="3"/>
  <c r="BJ273" i="3"/>
  <c r="H273" i="3"/>
  <c r="BJ272" i="3"/>
  <c r="H272" i="3"/>
  <c r="BJ271" i="3"/>
  <c r="H271" i="3"/>
  <c r="BJ270" i="3"/>
  <c r="H270" i="3"/>
  <c r="BJ269" i="3"/>
  <c r="H269" i="3"/>
  <c r="BJ268" i="3"/>
  <c r="H268" i="3"/>
  <c r="BJ267" i="3"/>
  <c r="H267" i="3"/>
  <c r="BJ266" i="3"/>
  <c r="H266" i="3"/>
  <c r="BJ265" i="3"/>
  <c r="H265" i="3"/>
  <c r="BJ264" i="3"/>
  <c r="H264" i="3"/>
  <c r="BJ263" i="3"/>
  <c r="H263" i="3"/>
  <c r="BJ262" i="3"/>
  <c r="H262" i="3"/>
  <c r="BJ261" i="3"/>
  <c r="H261" i="3"/>
  <c r="BJ260" i="3"/>
  <c r="H260" i="3"/>
  <c r="BJ259" i="3"/>
  <c r="H259" i="3"/>
  <c r="BJ258" i="3"/>
  <c r="H258" i="3"/>
  <c r="BJ257" i="3"/>
  <c r="H257" i="3"/>
  <c r="BJ256" i="3"/>
  <c r="H256" i="3"/>
  <c r="BJ255" i="3"/>
  <c r="H255" i="3"/>
  <c r="BJ254" i="3"/>
  <c r="H254" i="3"/>
  <c r="BJ253" i="3"/>
  <c r="H253" i="3"/>
  <c r="BJ252" i="3"/>
  <c r="H252" i="3"/>
  <c r="BJ251" i="3"/>
  <c r="H251" i="3"/>
  <c r="BJ250" i="3"/>
  <c r="H250" i="3"/>
  <c r="BJ249" i="3"/>
  <c r="H249" i="3"/>
  <c r="BJ248" i="3"/>
  <c r="H248" i="3"/>
  <c r="BJ247" i="3"/>
  <c r="H247" i="3"/>
  <c r="BJ246" i="3"/>
  <c r="H246" i="3"/>
  <c r="BJ245" i="3"/>
  <c r="H245" i="3"/>
  <c r="BJ244" i="3"/>
  <c r="H244" i="3"/>
  <c r="BJ243" i="3"/>
  <c r="H243" i="3"/>
  <c r="BJ242" i="3"/>
  <c r="H242" i="3"/>
  <c r="BJ241" i="3"/>
  <c r="H241" i="3"/>
  <c r="BJ240" i="3"/>
  <c r="H240" i="3"/>
  <c r="BJ239" i="3"/>
  <c r="H239" i="3"/>
  <c r="BJ238" i="3"/>
  <c r="H238" i="3"/>
  <c r="BJ237" i="3"/>
  <c r="H237" i="3"/>
  <c r="BJ236" i="3"/>
  <c r="H236" i="3"/>
  <c r="BJ235" i="3"/>
  <c r="H235" i="3"/>
  <c r="BJ234" i="3"/>
  <c r="H234" i="3"/>
  <c r="BJ233" i="3"/>
  <c r="H233" i="3"/>
  <c r="BJ232" i="3"/>
  <c r="H232" i="3"/>
  <c r="BJ231" i="3"/>
  <c r="H231" i="3"/>
  <c r="BJ230" i="3"/>
  <c r="H230" i="3"/>
  <c r="BJ229" i="3"/>
  <c r="H229" i="3"/>
  <c r="BJ228" i="3"/>
  <c r="H228" i="3"/>
  <c r="BJ227" i="3"/>
  <c r="H227" i="3"/>
  <c r="BJ226" i="3"/>
  <c r="H226" i="3"/>
  <c r="BJ225" i="3"/>
  <c r="H225" i="3"/>
  <c r="BJ224" i="3"/>
  <c r="H224" i="3"/>
  <c r="BJ223" i="3"/>
  <c r="H223" i="3"/>
  <c r="BJ222" i="3"/>
  <c r="H222" i="3"/>
  <c r="BJ221" i="3"/>
  <c r="H221" i="3"/>
  <c r="BJ220" i="3"/>
  <c r="H220" i="3"/>
  <c r="BJ219" i="3"/>
  <c r="H219" i="3"/>
  <c r="BJ218" i="3"/>
  <c r="H218" i="3"/>
  <c r="BJ217" i="3"/>
  <c r="H217" i="3"/>
  <c r="BJ216" i="3"/>
  <c r="H216" i="3"/>
  <c r="BJ215" i="3"/>
  <c r="H215" i="3"/>
  <c r="BJ214" i="3"/>
  <c r="H214" i="3"/>
  <c r="BJ213" i="3"/>
  <c r="H213" i="3"/>
  <c r="BJ212" i="3"/>
  <c r="H212" i="3"/>
  <c r="BJ211" i="3"/>
  <c r="H211" i="3"/>
  <c r="BJ210" i="3"/>
  <c r="H210" i="3"/>
  <c r="BJ209" i="3"/>
  <c r="H209" i="3"/>
  <c r="BJ208" i="3"/>
  <c r="H208" i="3"/>
  <c r="BJ207" i="3"/>
  <c r="H207" i="3"/>
  <c r="BJ206" i="3"/>
  <c r="H206" i="3"/>
  <c r="BJ205" i="3"/>
  <c r="H205" i="3"/>
  <c r="BJ204" i="3"/>
  <c r="H204" i="3"/>
  <c r="BJ203" i="3"/>
  <c r="H203" i="3"/>
  <c r="BJ202" i="3"/>
  <c r="H202" i="3"/>
  <c r="BJ201" i="3"/>
  <c r="H201" i="3"/>
  <c r="BJ200" i="3"/>
  <c r="H200" i="3"/>
  <c r="BJ199" i="3"/>
  <c r="H199" i="3"/>
  <c r="BJ198" i="3"/>
  <c r="H198" i="3"/>
  <c r="BJ197" i="3"/>
  <c r="H197" i="3"/>
  <c r="BJ196" i="3"/>
  <c r="H196" i="3"/>
  <c r="BJ195" i="3"/>
  <c r="H195" i="3"/>
  <c r="BJ194" i="3"/>
  <c r="H194" i="3"/>
  <c r="BJ193" i="3"/>
  <c r="H193" i="3"/>
  <c r="BJ192" i="3"/>
  <c r="H192" i="3"/>
  <c r="BJ191" i="3"/>
  <c r="H191" i="3"/>
  <c r="BJ190" i="3"/>
  <c r="H190" i="3"/>
  <c r="BJ189" i="3"/>
  <c r="H189" i="3"/>
  <c r="BJ188" i="3"/>
  <c r="H188" i="3"/>
  <c r="BJ187" i="3"/>
  <c r="H187" i="3"/>
  <c r="BJ186" i="3"/>
  <c r="H186" i="3"/>
  <c r="BJ185" i="3"/>
  <c r="H185" i="3"/>
  <c r="BJ184" i="3"/>
  <c r="H184" i="3"/>
  <c r="BJ183" i="3"/>
  <c r="H183" i="3"/>
  <c r="BJ182" i="3"/>
  <c r="H182" i="3"/>
  <c r="BJ181" i="3"/>
  <c r="H181" i="3"/>
  <c r="BJ180" i="3"/>
  <c r="H180" i="3"/>
  <c r="BJ179" i="3"/>
  <c r="H179" i="3"/>
  <c r="BJ178" i="3"/>
  <c r="H178" i="3"/>
  <c r="BJ177" i="3"/>
  <c r="H177" i="3"/>
  <c r="BJ176" i="3"/>
  <c r="H176" i="3"/>
  <c r="BJ175" i="3"/>
  <c r="H175" i="3"/>
  <c r="BJ174" i="3"/>
  <c r="H174" i="3"/>
  <c r="BJ173" i="3"/>
  <c r="H173" i="3"/>
  <c r="BJ172" i="3"/>
  <c r="H172" i="3"/>
  <c r="BJ171" i="3"/>
  <c r="H171" i="3"/>
  <c r="BJ170" i="3"/>
  <c r="H170" i="3"/>
  <c r="BJ169" i="3"/>
  <c r="H169" i="3"/>
  <c r="BJ168" i="3"/>
  <c r="H168" i="3"/>
  <c r="BJ167" i="3"/>
  <c r="H167" i="3"/>
  <c r="BJ166" i="3"/>
  <c r="H166" i="3"/>
  <c r="BJ165" i="3"/>
  <c r="H165" i="3"/>
  <c r="BJ164" i="3"/>
  <c r="H164" i="3"/>
  <c r="BJ163" i="3"/>
  <c r="H163" i="3"/>
  <c r="BJ162" i="3"/>
  <c r="H162" i="3"/>
  <c r="BJ161" i="3"/>
  <c r="H161" i="3"/>
  <c r="BJ160" i="3"/>
  <c r="H160" i="3"/>
  <c r="BJ159" i="3"/>
  <c r="H159" i="3"/>
  <c r="BJ158" i="3"/>
  <c r="H158" i="3"/>
  <c r="BJ157" i="3"/>
  <c r="H157" i="3"/>
  <c r="BJ156" i="3"/>
  <c r="H156" i="3"/>
  <c r="BJ155" i="3"/>
  <c r="H155" i="3"/>
  <c r="BJ154" i="3"/>
  <c r="H154" i="3"/>
  <c r="BJ153" i="3"/>
  <c r="H153" i="3"/>
  <c r="BJ152" i="3"/>
  <c r="H152" i="3"/>
  <c r="BJ151" i="3"/>
  <c r="H151" i="3"/>
  <c r="BJ150" i="3"/>
  <c r="H150" i="3"/>
  <c r="BJ149" i="3"/>
  <c r="H149" i="3"/>
  <c r="BJ148" i="3"/>
  <c r="H148" i="3"/>
  <c r="BJ147" i="3"/>
  <c r="H147" i="3"/>
  <c r="BJ146" i="3"/>
  <c r="H146" i="3"/>
  <c r="BJ145" i="3"/>
  <c r="H145" i="3"/>
  <c r="BJ144" i="3"/>
  <c r="H144" i="3"/>
  <c r="BJ143" i="3"/>
  <c r="H143" i="3"/>
  <c r="BJ142" i="3"/>
  <c r="H142" i="3"/>
  <c r="BJ141" i="3"/>
  <c r="H141" i="3"/>
  <c r="BJ140" i="3"/>
  <c r="H140" i="3"/>
  <c r="BJ139" i="3"/>
  <c r="H139" i="3"/>
  <c r="BJ138" i="3"/>
  <c r="H138" i="3"/>
  <c r="BJ137" i="3"/>
  <c r="H137" i="3"/>
  <c r="BJ136" i="3"/>
  <c r="H136" i="3"/>
  <c r="BJ135" i="3"/>
  <c r="H135" i="3"/>
  <c r="BJ134" i="3"/>
  <c r="H134" i="3"/>
  <c r="BJ133" i="3"/>
  <c r="H133" i="3"/>
  <c r="BJ132" i="3"/>
  <c r="H132" i="3"/>
  <c r="BJ131" i="3"/>
  <c r="H131" i="3"/>
  <c r="BJ130" i="3"/>
  <c r="H130" i="3"/>
  <c r="BJ129" i="3"/>
  <c r="H129" i="3"/>
  <c r="BJ128" i="3"/>
  <c r="H128" i="3"/>
  <c r="BJ127" i="3"/>
  <c r="H127" i="3"/>
  <c r="BJ126" i="3"/>
  <c r="H126" i="3"/>
  <c r="BJ125" i="3"/>
  <c r="H125" i="3"/>
  <c r="BJ124" i="3"/>
  <c r="H124" i="3"/>
  <c r="BJ123" i="3"/>
  <c r="H123" i="3"/>
  <c r="BJ122" i="3"/>
  <c r="H122" i="3"/>
  <c r="BJ121" i="3"/>
  <c r="H121" i="3"/>
  <c r="BJ120" i="3"/>
  <c r="H120" i="3"/>
  <c r="BJ119" i="3"/>
  <c r="H119" i="3"/>
  <c r="BJ118" i="3"/>
  <c r="H118" i="3"/>
  <c r="BJ117" i="3"/>
  <c r="H117" i="3"/>
  <c r="BJ116" i="3"/>
  <c r="H116" i="3"/>
  <c r="BJ115" i="3"/>
  <c r="H115" i="3"/>
  <c r="BJ114" i="3"/>
  <c r="H114" i="3"/>
  <c r="BJ113" i="3"/>
  <c r="H113" i="3"/>
  <c r="BJ112" i="3"/>
  <c r="H112" i="3"/>
  <c r="BJ111" i="3"/>
  <c r="H111" i="3"/>
  <c r="BJ110" i="3"/>
  <c r="H110" i="3"/>
  <c r="BJ109" i="3"/>
  <c r="H109" i="3"/>
  <c r="BJ108" i="3"/>
  <c r="H108" i="3"/>
  <c r="BJ107" i="3"/>
  <c r="H107" i="3"/>
  <c r="BJ106" i="3"/>
  <c r="H106" i="3"/>
  <c r="BJ105" i="3"/>
  <c r="H105" i="3"/>
  <c r="BJ104" i="3"/>
  <c r="H104" i="3"/>
  <c r="BJ103" i="3"/>
  <c r="H103" i="3"/>
  <c r="BJ102" i="3"/>
  <c r="H102" i="3"/>
  <c r="BJ101" i="3"/>
  <c r="H101" i="3"/>
  <c r="BJ100" i="3"/>
  <c r="H100" i="3"/>
  <c r="BJ99" i="3"/>
  <c r="H99" i="3"/>
  <c r="BJ98" i="3"/>
  <c r="H98" i="3"/>
  <c r="BJ97" i="3"/>
  <c r="H97" i="3"/>
  <c r="BJ96" i="3"/>
  <c r="H96" i="3"/>
  <c r="BJ95" i="3"/>
  <c r="H95" i="3"/>
  <c r="BJ94" i="3"/>
  <c r="H94" i="3"/>
  <c r="BJ93" i="3"/>
  <c r="H93" i="3"/>
  <c r="BJ92" i="3"/>
  <c r="H92" i="3"/>
  <c r="BJ91" i="3"/>
  <c r="H91" i="3"/>
  <c r="BJ90" i="3"/>
  <c r="H90" i="3"/>
  <c r="BJ89" i="3"/>
  <c r="H89" i="3"/>
  <c r="BJ88" i="3"/>
  <c r="H88" i="3"/>
  <c r="BJ87" i="3"/>
  <c r="H87" i="3"/>
  <c r="BJ86" i="3"/>
  <c r="H86" i="3"/>
  <c r="BJ85" i="3"/>
  <c r="H85" i="3"/>
  <c r="BJ84" i="3"/>
  <c r="H84" i="3"/>
  <c r="BJ83" i="3"/>
  <c r="H83" i="3"/>
  <c r="BJ82" i="3"/>
  <c r="H82" i="3"/>
  <c r="BJ81" i="3"/>
  <c r="H81" i="3"/>
  <c r="BJ80" i="3"/>
  <c r="H80" i="3"/>
  <c r="BJ79" i="3"/>
  <c r="H79" i="3"/>
  <c r="BJ78" i="3"/>
  <c r="H78" i="3"/>
  <c r="BJ77" i="3"/>
  <c r="H77" i="3"/>
  <c r="BJ76" i="3"/>
  <c r="H76" i="3"/>
  <c r="BJ75" i="3"/>
  <c r="H75" i="3"/>
  <c r="BJ74" i="3"/>
  <c r="H74" i="3"/>
  <c r="BJ73" i="3"/>
  <c r="H73" i="3"/>
  <c r="BJ72" i="3"/>
  <c r="H72" i="3"/>
  <c r="BJ71" i="3"/>
  <c r="H71" i="3"/>
  <c r="BJ70" i="3"/>
  <c r="H70" i="3"/>
  <c r="BJ69" i="3"/>
  <c r="H69" i="3"/>
  <c r="BJ68" i="3"/>
  <c r="H68" i="3"/>
  <c r="BJ67" i="3"/>
  <c r="H67" i="3"/>
  <c r="BJ66" i="3"/>
  <c r="H66" i="3"/>
  <c r="BJ65" i="3"/>
  <c r="H65" i="3"/>
  <c r="BJ64" i="3"/>
  <c r="H64" i="3"/>
  <c r="BJ63" i="3"/>
  <c r="H63" i="3"/>
  <c r="BJ62" i="3"/>
  <c r="H62" i="3"/>
  <c r="BJ61" i="3"/>
  <c r="H61" i="3"/>
  <c r="BJ60" i="3"/>
  <c r="H60" i="3"/>
  <c r="BJ59" i="3"/>
  <c r="H59" i="3"/>
  <c r="BJ58" i="3"/>
  <c r="H58" i="3"/>
  <c r="BJ57" i="3"/>
  <c r="H57" i="3"/>
  <c r="BJ56" i="3"/>
  <c r="H56" i="3"/>
  <c r="BJ55" i="3"/>
  <c r="H55" i="3"/>
  <c r="BJ54" i="3"/>
  <c r="H54" i="3"/>
  <c r="BJ53" i="3"/>
  <c r="H53" i="3"/>
  <c r="BJ52" i="3"/>
  <c r="H52" i="3"/>
  <c r="BJ51" i="3"/>
  <c r="H51" i="3"/>
  <c r="BJ50" i="3"/>
  <c r="H50" i="3"/>
  <c r="BJ49" i="3"/>
  <c r="H49" i="3"/>
  <c r="BJ48" i="3"/>
  <c r="H48" i="3"/>
  <c r="BJ47" i="3"/>
  <c r="H47" i="3"/>
  <c r="BJ46" i="3"/>
  <c r="H46" i="3"/>
  <c r="BJ45" i="3"/>
  <c r="H45" i="3"/>
  <c r="BJ44" i="3"/>
  <c r="H44" i="3"/>
  <c r="BJ43" i="3"/>
  <c r="H43" i="3"/>
  <c r="BJ42" i="3"/>
  <c r="H42" i="3"/>
  <c r="BJ41" i="3"/>
  <c r="H41" i="3"/>
  <c r="BJ40" i="3"/>
  <c r="H40" i="3"/>
  <c r="BJ39" i="3"/>
  <c r="H39" i="3"/>
  <c r="BJ38" i="3"/>
  <c r="H38" i="3"/>
  <c r="BJ37" i="3"/>
  <c r="H37" i="3"/>
  <c r="BJ36" i="3"/>
  <c r="H36" i="3"/>
  <c r="BJ35" i="3"/>
  <c r="H35" i="3"/>
  <c r="BJ34" i="3"/>
  <c r="H34" i="3"/>
  <c r="BJ33" i="3"/>
  <c r="H33" i="3"/>
  <c r="BJ32" i="3"/>
  <c r="H32" i="3"/>
  <c r="BJ31" i="3"/>
  <c r="H31" i="3"/>
  <c r="BJ30" i="3"/>
  <c r="H30" i="3"/>
  <c r="BJ29" i="3"/>
  <c r="H29" i="3"/>
  <c r="BJ28" i="3"/>
  <c r="H28" i="3"/>
  <c r="BJ27" i="3"/>
  <c r="H27" i="3"/>
  <c r="BJ26" i="3"/>
  <c r="H26" i="3"/>
  <c r="BJ25" i="3"/>
  <c r="H25" i="3"/>
  <c r="BJ24" i="3"/>
  <c r="H24" i="3"/>
  <c r="BJ23" i="3"/>
  <c r="H23" i="3"/>
  <c r="BJ22" i="3"/>
  <c r="H22" i="3"/>
  <c r="BJ21" i="3"/>
  <c r="H21" i="3"/>
  <c r="BJ20" i="3"/>
  <c r="H20" i="3"/>
  <c r="BJ19" i="3"/>
  <c r="H19" i="3"/>
  <c r="BJ18" i="3"/>
  <c r="H18" i="3"/>
  <c r="BJ17" i="3"/>
  <c r="H17" i="3"/>
  <c r="BJ16" i="3"/>
  <c r="H16" i="3"/>
  <c r="BJ15" i="3"/>
  <c r="H15" i="3"/>
  <c r="BJ14" i="3"/>
  <c r="H14" i="3"/>
  <c r="BJ13" i="3"/>
  <c r="H13" i="3"/>
  <c r="BJ12" i="3"/>
  <c r="H12" i="3"/>
  <c r="BJ11" i="3"/>
  <c r="H11" i="3"/>
  <c r="BJ10" i="3"/>
  <c r="H10" i="3"/>
  <c r="BJ9" i="3"/>
  <c r="H9" i="3"/>
  <c r="BJ8" i="3"/>
  <c r="H8" i="3"/>
  <c r="BJ7" i="3"/>
  <c r="H7" i="3"/>
  <c r="BJ6" i="3"/>
  <c r="H6" i="3"/>
  <c r="BJ5" i="3"/>
  <c r="H5" i="3"/>
  <c r="BJ4" i="3"/>
  <c r="H4" i="3"/>
  <c r="BJ3" i="3"/>
  <c r="H3" i="3"/>
  <c r="BJ2" i="3"/>
  <c r="H2" i="3"/>
  <c r="D373" i="2" a="1"/>
  <c r="D373" i="2" s="1"/>
  <c r="D372" i="2" a="1"/>
  <c r="D372" i="2" s="1"/>
  <c r="D371" i="2" a="1"/>
  <c r="D371" i="2" s="1"/>
  <c r="D370" i="2" a="1"/>
  <c r="D370" i="2" s="1"/>
  <c r="D369" i="2" a="1"/>
  <c r="D369" i="2" s="1"/>
  <c r="D368" i="2" a="1"/>
  <c r="D368" i="2" s="1"/>
  <c r="D367" i="2" a="1"/>
  <c r="D367" i="2" s="1"/>
  <c r="D366" i="2" a="1"/>
  <c r="D366" i="2" s="1"/>
  <c r="D365" i="2" a="1"/>
  <c r="D365" i="2" s="1"/>
  <c r="D364" i="2" a="1"/>
  <c r="D364" i="2" s="1"/>
  <c r="D363" i="2" a="1"/>
  <c r="D363" i="2" s="1"/>
  <c r="D362" i="2" a="1"/>
  <c r="D362" i="2" s="1"/>
  <c r="D361" i="2" a="1"/>
  <c r="D361" i="2" s="1"/>
  <c r="D360" i="2" a="1"/>
  <c r="D360" i="2" s="1"/>
  <c r="D359" i="2" a="1"/>
  <c r="D359" i="2" s="1"/>
  <c r="D358" i="2" a="1"/>
  <c r="D358" i="2" s="1"/>
  <c r="D357" i="2" a="1"/>
  <c r="D357" i="2" s="1"/>
  <c r="D356" i="2" a="1"/>
  <c r="D356" i="2" s="1"/>
  <c r="D355" i="2" a="1"/>
  <c r="D355" i="2" s="1"/>
  <c r="D354" i="2" a="1"/>
  <c r="D354" i="2" s="1"/>
  <c r="D353" i="2" a="1"/>
  <c r="D353" i="2" s="1"/>
  <c r="D352" i="2" a="1"/>
  <c r="D352" i="2" s="1"/>
  <c r="D351" i="2" a="1"/>
  <c r="D351" i="2" s="1"/>
  <c r="D350" i="2" a="1"/>
  <c r="D350" i="2" s="1"/>
  <c r="D349" i="2" a="1"/>
  <c r="D349" i="2" s="1"/>
  <c r="D348" i="2" a="1"/>
  <c r="D348" i="2" s="1"/>
  <c r="D347" i="2" a="1"/>
  <c r="D347" i="2" s="1"/>
  <c r="D346" i="2" a="1"/>
  <c r="D346" i="2" s="1"/>
  <c r="D345" i="2" a="1"/>
  <c r="D345" i="2" s="1"/>
  <c r="D344" i="2" a="1"/>
  <c r="D344" i="2" s="1"/>
  <c r="D343" i="2" a="1"/>
  <c r="D343" i="2" s="1"/>
  <c r="D342" i="2" a="1"/>
  <c r="D342" i="2" s="1"/>
  <c r="D341" i="2" a="1"/>
  <c r="D341" i="2" s="1"/>
  <c r="D340" i="2" a="1"/>
  <c r="D340" i="2" s="1"/>
  <c r="D339" i="2" a="1"/>
  <c r="D339" i="2" s="1"/>
  <c r="D338" i="2" a="1"/>
  <c r="D338" i="2" s="1"/>
  <c r="D337" i="2" a="1"/>
  <c r="D337" i="2" s="1"/>
  <c r="D336" i="2" a="1"/>
  <c r="D336" i="2" s="1"/>
  <c r="D335" i="2" a="1"/>
  <c r="D335" i="2" s="1"/>
  <c r="D334" i="2" a="1"/>
  <c r="D334" i="2" s="1"/>
  <c r="D333" i="2" a="1"/>
  <c r="D333" i="2" s="1"/>
  <c r="D332" i="2" a="1"/>
  <c r="D332" i="2" s="1"/>
  <c r="D331" i="2" a="1"/>
  <c r="D331" i="2" s="1"/>
  <c r="D330" i="2" a="1"/>
  <c r="D330" i="2" s="1"/>
  <c r="D329" i="2" a="1"/>
  <c r="D329" i="2" s="1"/>
  <c r="D328" i="2" a="1"/>
  <c r="D328" i="2" s="1"/>
  <c r="D327" i="2" a="1"/>
  <c r="D327" i="2" s="1"/>
  <c r="D326" i="2" a="1"/>
  <c r="D326" i="2" s="1"/>
  <c r="D325" i="2" a="1"/>
  <c r="D325" i="2" s="1"/>
  <c r="D324" i="2" a="1"/>
  <c r="D324" i="2" s="1"/>
  <c r="D323" i="2" a="1"/>
  <c r="D323" i="2" s="1"/>
  <c r="D322" i="2" a="1"/>
  <c r="D322" i="2" s="1"/>
  <c r="D321" i="2" a="1"/>
  <c r="D321" i="2" s="1"/>
  <c r="D320" i="2" a="1"/>
  <c r="D320" i="2" s="1"/>
  <c r="D319" i="2" a="1"/>
  <c r="D319" i="2" s="1"/>
  <c r="D318" i="2" a="1"/>
  <c r="D318" i="2" s="1"/>
  <c r="D317" i="2" a="1"/>
  <c r="D317" i="2" s="1"/>
  <c r="D316" i="2" a="1"/>
  <c r="D316" i="2" s="1"/>
  <c r="D315" i="2" a="1"/>
  <c r="D315" i="2" s="1"/>
  <c r="D314" i="2" a="1"/>
  <c r="D314" i="2" s="1"/>
  <c r="D313" i="2" a="1"/>
  <c r="D313" i="2" s="1"/>
  <c r="D312" i="2" a="1"/>
  <c r="D312" i="2" s="1"/>
  <c r="D311" i="2" a="1"/>
  <c r="D311" i="2" s="1"/>
  <c r="D310" i="2" a="1"/>
  <c r="D310" i="2" s="1"/>
  <c r="D309" i="2" a="1"/>
  <c r="D309" i="2" s="1"/>
  <c r="D308" i="2" a="1"/>
  <c r="D308" i="2" s="1"/>
  <c r="D307" i="2" a="1"/>
  <c r="D307" i="2" s="1"/>
  <c r="D306" i="2" a="1"/>
  <c r="D306" i="2" s="1"/>
  <c r="D305" i="2" a="1"/>
  <c r="D305" i="2" s="1"/>
  <c r="D304" i="2" a="1"/>
  <c r="D304" i="2" s="1"/>
  <c r="D303" i="2" a="1"/>
  <c r="D303" i="2" s="1"/>
  <c r="D302" i="2" a="1"/>
  <c r="D302" i="2" s="1"/>
  <c r="D301" i="2" a="1"/>
  <c r="D301" i="2" s="1"/>
  <c r="D300" i="2" a="1"/>
  <c r="D300" i="2" s="1"/>
  <c r="D299" i="2" a="1"/>
  <c r="D299" i="2" s="1"/>
  <c r="D298" i="2" a="1"/>
  <c r="D298" i="2" s="1"/>
  <c r="D297" i="2" a="1"/>
  <c r="D297" i="2" s="1"/>
  <c r="D296" i="2" a="1"/>
  <c r="D296" i="2" s="1"/>
  <c r="D295" i="2" a="1"/>
  <c r="D295" i="2" s="1"/>
  <c r="D294" i="2" a="1"/>
  <c r="D294" i="2" s="1"/>
  <c r="D293" i="2" a="1"/>
  <c r="D293" i="2" s="1"/>
  <c r="D292" i="2" a="1"/>
  <c r="D292" i="2" s="1"/>
  <c r="D291" i="2" a="1"/>
  <c r="D291" i="2" s="1"/>
  <c r="D290" i="2" a="1"/>
  <c r="D290" i="2" s="1"/>
  <c r="D289" i="2" a="1"/>
  <c r="D289" i="2" s="1"/>
  <c r="D288" i="2" a="1"/>
  <c r="D288" i="2" s="1"/>
  <c r="D287" i="2" a="1"/>
  <c r="D287" i="2" s="1"/>
  <c r="D286" i="2" a="1"/>
  <c r="D286" i="2" s="1"/>
  <c r="D285" i="2" a="1"/>
  <c r="D285" i="2" s="1"/>
  <c r="D284" i="2" a="1"/>
  <c r="D284" i="2" s="1"/>
  <c r="D283" i="2" a="1"/>
  <c r="D283" i="2" s="1"/>
  <c r="D282" i="2" a="1"/>
  <c r="D282" i="2" s="1"/>
  <c r="D281" i="2" a="1"/>
  <c r="D281" i="2" s="1"/>
  <c r="D280" i="2" a="1"/>
  <c r="D280" i="2" s="1"/>
  <c r="D279" i="2" a="1"/>
  <c r="D279" i="2" s="1"/>
  <c r="D278" i="2" a="1"/>
  <c r="D278" i="2" s="1"/>
  <c r="D277" i="2" a="1"/>
  <c r="D277" i="2" s="1"/>
  <c r="D276" i="2" a="1"/>
  <c r="D276" i="2" s="1"/>
  <c r="D275" i="2" a="1"/>
  <c r="D275" i="2" s="1"/>
  <c r="D274" i="2" a="1"/>
  <c r="D274" i="2" s="1"/>
  <c r="D273" i="2" a="1"/>
  <c r="D273" i="2" s="1"/>
  <c r="D272" i="2" a="1"/>
  <c r="D272" i="2" s="1"/>
  <c r="D271" i="2" a="1"/>
  <c r="D271" i="2" s="1"/>
  <c r="D270" i="2" a="1"/>
  <c r="D270" i="2" s="1"/>
  <c r="D269" i="2" a="1"/>
  <c r="D269" i="2" s="1"/>
  <c r="D268" i="2" a="1"/>
  <c r="D268" i="2" s="1"/>
  <c r="D267" i="2" a="1"/>
  <c r="D267" i="2" s="1"/>
  <c r="D266" i="2" a="1"/>
  <c r="D266" i="2" s="1"/>
  <c r="D265" i="2" a="1"/>
  <c r="D265" i="2" s="1"/>
  <c r="D264" i="2" a="1"/>
  <c r="D264" i="2" s="1"/>
  <c r="D263" i="2" a="1"/>
  <c r="D263" i="2" s="1"/>
  <c r="D262" i="2" a="1"/>
  <c r="D262" i="2" s="1"/>
  <c r="D261" i="2" a="1"/>
  <c r="D261" i="2" s="1"/>
  <c r="D260" i="2" a="1"/>
  <c r="D260" i="2" s="1"/>
  <c r="D259" i="2" a="1"/>
  <c r="D259" i="2" s="1"/>
  <c r="D258" i="2" a="1"/>
  <c r="D258" i="2" s="1"/>
  <c r="D257" i="2" a="1"/>
  <c r="D257" i="2" s="1"/>
  <c r="D256" i="2" a="1"/>
  <c r="D256" i="2" s="1"/>
  <c r="D255" i="2" a="1"/>
  <c r="D255" i="2" s="1"/>
  <c r="D254" i="2" a="1"/>
  <c r="D254" i="2" s="1"/>
  <c r="D253" i="2" a="1"/>
  <c r="D253" i="2" s="1"/>
  <c r="D252" i="2" a="1"/>
  <c r="D252" i="2" s="1"/>
  <c r="D251" i="2" a="1"/>
  <c r="D251" i="2" s="1"/>
  <c r="D250" i="2" a="1"/>
  <c r="D250" i="2" s="1"/>
  <c r="D249" i="2" a="1"/>
  <c r="D249" i="2" s="1"/>
  <c r="D248" i="2" a="1"/>
  <c r="D248" i="2" s="1"/>
  <c r="D247" i="2" a="1"/>
  <c r="D247" i="2" s="1"/>
  <c r="D246" i="2" a="1"/>
  <c r="D246" i="2" s="1"/>
  <c r="D245" i="2" a="1"/>
  <c r="D245" i="2" s="1"/>
  <c r="D244" i="2" a="1"/>
  <c r="D244" i="2" s="1"/>
  <c r="D243" i="2" a="1"/>
  <c r="D243" i="2" s="1"/>
  <c r="D242" i="2" a="1"/>
  <c r="D242" i="2" s="1"/>
  <c r="D241" i="2" a="1"/>
  <c r="D241" i="2" s="1"/>
  <c r="D240" i="2" a="1"/>
  <c r="D240" i="2" s="1"/>
  <c r="D239" i="2" a="1"/>
  <c r="D239" i="2" s="1"/>
  <c r="D238" i="2" a="1"/>
  <c r="D238" i="2" s="1"/>
  <c r="D237" i="2" a="1"/>
  <c r="D237" i="2" s="1"/>
  <c r="D236" i="2" a="1"/>
  <c r="D236" i="2" s="1"/>
  <c r="D235" i="2" a="1"/>
  <c r="D235" i="2" s="1"/>
  <c r="D234" i="2" a="1"/>
  <c r="D234" i="2" s="1"/>
  <c r="D233" i="2" a="1"/>
  <c r="D233" i="2" s="1"/>
  <c r="D232" i="2" a="1"/>
  <c r="D232" i="2" s="1"/>
  <c r="D231" i="2" a="1"/>
  <c r="D231" i="2" s="1"/>
  <c r="D230" i="2" a="1"/>
  <c r="D230" i="2" s="1"/>
  <c r="D229" i="2" a="1"/>
  <c r="D229" i="2" s="1"/>
  <c r="D228" i="2" a="1"/>
  <c r="D228" i="2" s="1"/>
  <c r="D227" i="2" a="1"/>
  <c r="D227" i="2" s="1"/>
  <c r="D226" i="2" a="1"/>
  <c r="D226" i="2" s="1"/>
  <c r="D225" i="2" a="1"/>
  <c r="D225" i="2" s="1"/>
  <c r="D224" i="2" a="1"/>
  <c r="D224" i="2" s="1"/>
  <c r="D223" i="2" a="1"/>
  <c r="D223" i="2" s="1"/>
  <c r="D222" i="2" a="1"/>
  <c r="D222" i="2" s="1"/>
  <c r="D221" i="2" a="1"/>
  <c r="D221" i="2" s="1"/>
  <c r="D220" i="2" a="1"/>
  <c r="D220" i="2" s="1"/>
  <c r="D219" i="2" a="1"/>
  <c r="D219" i="2" s="1"/>
  <c r="D218" i="2" a="1"/>
  <c r="D218" i="2" s="1"/>
  <c r="D217" i="2" a="1"/>
  <c r="D217" i="2" s="1"/>
  <c r="D216" i="2" a="1"/>
  <c r="D216" i="2" s="1"/>
  <c r="D215" i="2" a="1"/>
  <c r="D215" i="2" s="1"/>
  <c r="D214" i="2" a="1"/>
  <c r="D214" i="2" s="1"/>
  <c r="D213" i="2" a="1"/>
  <c r="D213" i="2" s="1"/>
  <c r="D212" i="2" a="1"/>
  <c r="D212" i="2" s="1"/>
  <c r="D211" i="2" a="1"/>
  <c r="D211" i="2" s="1"/>
  <c r="D210" i="2" a="1"/>
  <c r="D210" i="2" s="1"/>
  <c r="D209" i="2" a="1"/>
  <c r="D209" i="2" s="1"/>
  <c r="D208" i="2" a="1"/>
  <c r="D208" i="2" s="1"/>
  <c r="D207" i="2" a="1"/>
  <c r="D207" i="2" s="1"/>
  <c r="D206" i="2" a="1"/>
  <c r="D206" i="2" s="1"/>
  <c r="D205" i="2" a="1"/>
  <c r="D205" i="2" s="1"/>
  <c r="D204" i="2" a="1"/>
  <c r="D204" i="2" s="1"/>
  <c r="D203" i="2" a="1"/>
  <c r="D203" i="2" s="1"/>
  <c r="D202" i="2" a="1"/>
  <c r="D202" i="2" s="1"/>
  <c r="D201" i="2" a="1"/>
  <c r="D201" i="2" s="1"/>
  <c r="D200" i="2" a="1"/>
  <c r="D200" i="2" s="1"/>
  <c r="D199" i="2" a="1"/>
  <c r="D199" i="2" s="1"/>
  <c r="D198" i="2" a="1"/>
  <c r="D198" i="2" s="1"/>
  <c r="D197" i="2" a="1"/>
  <c r="D197" i="2" s="1"/>
  <c r="D196" i="2" a="1"/>
  <c r="D196" i="2" s="1"/>
  <c r="D195" i="2" a="1"/>
  <c r="D195" i="2" s="1"/>
  <c r="D194" i="2" a="1"/>
  <c r="D194" i="2" s="1"/>
  <c r="D193" i="2" a="1"/>
  <c r="D193" i="2" s="1"/>
  <c r="D192" i="2" a="1"/>
  <c r="D192" i="2" s="1"/>
  <c r="D191" i="2" a="1"/>
  <c r="D191" i="2" s="1"/>
  <c r="D190" i="2" a="1"/>
  <c r="D190" i="2" s="1"/>
  <c r="D189" i="2" a="1"/>
  <c r="D189" i="2" s="1"/>
  <c r="D188" i="2" a="1"/>
  <c r="D188" i="2" s="1"/>
  <c r="D187" i="2" a="1"/>
  <c r="D187" i="2" s="1"/>
  <c r="D186" i="2" a="1"/>
  <c r="D186" i="2" s="1"/>
  <c r="D185" i="2" a="1"/>
  <c r="D185" i="2" s="1"/>
  <c r="D184" i="2" a="1"/>
  <c r="D184" i="2" s="1"/>
  <c r="D183" i="2" a="1"/>
  <c r="D183" i="2" s="1"/>
  <c r="D182" i="2" a="1"/>
  <c r="D182" i="2" s="1"/>
  <c r="D181" i="2" a="1"/>
  <c r="D181" i="2" s="1"/>
  <c r="D180" i="2" a="1"/>
  <c r="D180" i="2" s="1"/>
  <c r="D179" i="2" a="1"/>
  <c r="D179" i="2" s="1"/>
  <c r="D178" i="2" a="1"/>
  <c r="D178" i="2" s="1"/>
  <c r="D177" i="2" a="1"/>
  <c r="D177" i="2" s="1"/>
  <c r="D176" i="2" a="1"/>
  <c r="D176" i="2" s="1"/>
  <c r="D175" i="2" a="1"/>
  <c r="D175" i="2" s="1"/>
  <c r="D174" i="2" a="1"/>
  <c r="D174" i="2" s="1"/>
  <c r="D173" i="2" a="1"/>
  <c r="D173" i="2" s="1"/>
  <c r="D172" i="2" a="1"/>
  <c r="D172" i="2" s="1"/>
  <c r="D171" i="2" a="1"/>
  <c r="D171" i="2" s="1"/>
  <c r="D170" i="2" a="1"/>
  <c r="D170" i="2" s="1"/>
  <c r="D169" i="2" a="1"/>
  <c r="D169" i="2" s="1"/>
  <c r="D168" i="2" a="1"/>
  <c r="D168" i="2" s="1"/>
  <c r="D167" i="2" a="1"/>
  <c r="D167" i="2" s="1"/>
  <c r="D166" i="2" a="1"/>
  <c r="D166" i="2" s="1"/>
  <c r="D165" i="2" a="1"/>
  <c r="D165" i="2" s="1"/>
  <c r="D164" i="2" a="1"/>
  <c r="D164" i="2" s="1"/>
  <c r="D163" i="2" a="1"/>
  <c r="D163" i="2" s="1"/>
  <c r="D162" i="2" a="1"/>
  <c r="D162" i="2" s="1"/>
  <c r="D161" i="2" a="1"/>
  <c r="D161" i="2" s="1"/>
  <c r="D160" i="2" a="1"/>
  <c r="D160" i="2" s="1"/>
  <c r="D159" i="2" a="1"/>
  <c r="D159" i="2" s="1"/>
  <c r="D158" i="2" a="1"/>
  <c r="D158" i="2" s="1"/>
  <c r="D157" i="2" a="1"/>
  <c r="D157" i="2" s="1"/>
  <c r="D156" i="2" a="1"/>
  <c r="D156" i="2" s="1"/>
  <c r="D155" i="2" a="1"/>
  <c r="D155" i="2" s="1"/>
  <c r="D154" i="2" a="1"/>
  <c r="D154" i="2" s="1"/>
  <c r="D153" i="2" a="1"/>
  <c r="D153" i="2" s="1"/>
  <c r="D152" i="2" a="1"/>
  <c r="D152" i="2" s="1"/>
  <c r="D151" i="2" a="1"/>
  <c r="D151" i="2" s="1"/>
  <c r="D150" i="2" a="1"/>
  <c r="D150" i="2" s="1"/>
  <c r="D149" i="2" a="1"/>
  <c r="D149" i="2" s="1"/>
  <c r="D148" i="2" a="1"/>
  <c r="D148" i="2" s="1"/>
  <c r="D147" i="2" a="1"/>
  <c r="D147" i="2" s="1"/>
  <c r="D146" i="2" a="1"/>
  <c r="D146" i="2" s="1"/>
  <c r="D145" i="2" a="1"/>
  <c r="D145" i="2" s="1"/>
  <c r="D144" i="2" a="1"/>
  <c r="D144" i="2" s="1"/>
  <c r="D143" i="2" a="1"/>
  <c r="D143" i="2" s="1"/>
  <c r="D142" i="2" a="1"/>
  <c r="D142" i="2" s="1"/>
  <c r="D141" i="2" a="1"/>
  <c r="D141" i="2" s="1"/>
  <c r="D140" i="2" a="1"/>
  <c r="D140" i="2" s="1"/>
  <c r="D139" i="2" a="1"/>
  <c r="D139" i="2" s="1"/>
  <c r="D138" i="2" a="1"/>
  <c r="D138" i="2" s="1"/>
  <c r="D137" i="2" a="1"/>
  <c r="D137" i="2" s="1"/>
  <c r="D136" i="2" a="1"/>
  <c r="D136" i="2" s="1"/>
  <c r="D135" i="2" a="1"/>
  <c r="D135" i="2" s="1"/>
  <c r="D134" i="2" a="1"/>
  <c r="D134" i="2" s="1"/>
  <c r="D133" i="2" a="1"/>
  <c r="D133" i="2" s="1"/>
  <c r="D132" i="2" a="1"/>
  <c r="D132" i="2" s="1"/>
  <c r="D131" i="2" a="1"/>
  <c r="D131" i="2" s="1"/>
  <c r="D130" i="2" a="1"/>
  <c r="D130" i="2" s="1"/>
  <c r="D129" i="2" a="1"/>
  <c r="D129" i="2" s="1"/>
  <c r="D128" i="2" a="1"/>
  <c r="D128" i="2" s="1"/>
  <c r="D127" i="2" a="1"/>
  <c r="D127" i="2" s="1"/>
  <c r="D126" i="2" a="1"/>
  <c r="D126" i="2" s="1"/>
  <c r="D125" i="2" a="1"/>
  <c r="D125" i="2" s="1"/>
  <c r="D124" i="2" a="1"/>
  <c r="D124" i="2" s="1"/>
  <c r="D123" i="2" a="1"/>
  <c r="D123" i="2" s="1"/>
  <c r="D122" i="2" a="1"/>
  <c r="D122" i="2" s="1"/>
  <c r="D121" i="2" a="1"/>
  <c r="D121" i="2" s="1"/>
  <c r="D120" i="2" a="1"/>
  <c r="D120" i="2" s="1"/>
  <c r="D119" i="2" a="1"/>
  <c r="D119" i="2" s="1"/>
  <c r="D118" i="2" a="1"/>
  <c r="D118" i="2" s="1"/>
  <c r="D117" i="2" a="1"/>
  <c r="D117" i="2" s="1"/>
  <c r="D116" i="2" a="1"/>
  <c r="D116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3" i="2" a="1"/>
  <c r="D93" i="2" s="1"/>
  <c r="D92" i="2" a="1"/>
  <c r="D92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5" i="2" a="1"/>
  <c r="D65" i="2" s="1"/>
  <c r="D64" i="2" a="1"/>
  <c r="D64" i="2" s="1"/>
  <c r="D63" i="2" a="1"/>
  <c r="D63" i="2" s="1"/>
  <c r="D62" i="2" a="1"/>
  <c r="D62" i="2" s="1"/>
  <c r="D61" i="2" a="1"/>
  <c r="D61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54" i="2" a="1"/>
  <c r="D54" i="2" s="1"/>
  <c r="D53" i="2" a="1"/>
  <c r="D53" i="2" s="1"/>
  <c r="D52" i="2" a="1"/>
  <c r="D52" i="2" s="1"/>
  <c r="D51" i="2" a="1"/>
  <c r="D51" i="2" s="1"/>
  <c r="D50" i="2" a="1"/>
  <c r="D50" i="2" s="1"/>
  <c r="D49" i="2" a="1"/>
  <c r="D49" i="2" s="1"/>
  <c r="D48" i="2" a="1"/>
  <c r="D48" i="2" s="1"/>
  <c r="D47" i="2" a="1"/>
  <c r="D47" i="2" s="1"/>
  <c r="D46" i="2" a="1"/>
  <c r="D46" i="2" s="1"/>
  <c r="D45" i="2" a="1"/>
  <c r="D45" i="2" s="1"/>
  <c r="D44" i="2" a="1"/>
  <c r="D44" i="2" s="1"/>
  <c r="D43" i="2" a="1"/>
  <c r="D43" i="2" s="1"/>
  <c r="D42" i="2" a="1"/>
  <c r="D42" i="2" s="1"/>
  <c r="D41" i="2" a="1"/>
  <c r="D41" i="2" s="1"/>
  <c r="D40" i="2" a="1"/>
  <c r="D40" i="2" s="1"/>
  <c r="D39" i="2" a="1"/>
  <c r="D39" i="2" s="1"/>
  <c r="D38" i="2" a="1"/>
  <c r="D38" i="2" s="1"/>
  <c r="D37" i="2" a="1"/>
  <c r="D37" i="2" s="1"/>
  <c r="D36" i="2" a="1"/>
  <c r="D36" i="2" s="1"/>
  <c r="D35" i="2" a="1"/>
  <c r="D35" i="2" s="1"/>
  <c r="D34" i="2" a="1"/>
  <c r="D34" i="2" s="1"/>
  <c r="D33" i="2" a="1"/>
  <c r="D33" i="2" s="1"/>
  <c r="D32" i="2"/>
  <c r="D32" i="2" a="1"/>
  <c r="D31" i="2"/>
  <c r="D31" i="2" a="1"/>
  <c r="D30" i="2" a="1"/>
  <c r="D30" i="2" s="1"/>
  <c r="D29" i="2" a="1"/>
  <c r="D29" i="2" s="1"/>
  <c r="D28" i="2"/>
  <c r="D28" i="2" a="1"/>
  <c r="D27" i="2"/>
  <c r="D27" i="2" a="1"/>
  <c r="D26" i="2" a="1"/>
  <c r="D26" i="2" s="1"/>
  <c r="D25" i="2" a="1"/>
  <c r="D25" i="2" s="1"/>
  <c r="D24" i="2"/>
  <c r="D24" i="2" a="1"/>
  <c r="D23" i="2" a="1"/>
  <c r="D23" i="2" s="1"/>
  <c r="D22" i="2" a="1"/>
  <c r="D22" i="2" s="1"/>
  <c r="D21" i="2" a="1"/>
  <c r="D21" i="2" s="1"/>
  <c r="D20" i="2"/>
  <c r="D20" i="2" a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<sst xmlns="http://schemas.openxmlformats.org/spreadsheetml/2006/main" count="27790" uniqueCount="2139">
  <si>
    <t>DescricaoCargo</t>
  </si>
  <si>
    <t>DescricaoTipoAdmissao</t>
  </si>
  <si>
    <t>Situacao</t>
  </si>
  <si>
    <t>DescricaoSituacao</t>
  </si>
  <si>
    <t>DescricaoPosto</t>
  </si>
  <si>
    <t>Local</t>
  </si>
  <si>
    <t>CentroDeCusto</t>
  </si>
  <si>
    <t>ELIANE CARLA ALVES MONTANHEIRO</t>
  </si>
  <si>
    <t>ESPECIALISTA SUPRIMENTOS</t>
  </si>
  <si>
    <t>Reemprego</t>
  </si>
  <si>
    <t>001</t>
  </si>
  <si>
    <t>Trabalhando</t>
  </si>
  <si>
    <t>SUPRIMENTOS</t>
  </si>
  <si>
    <t>1000.02.01.014</t>
  </si>
  <si>
    <t>FERNANDO FERNANDES LEITE</t>
  </si>
  <si>
    <t>KELLY CRISTIANE DE CARVALHO</t>
  </si>
  <si>
    <t>COORD. FINANCEIRO</t>
  </si>
  <si>
    <t>Transferência s/ Ônus</t>
  </si>
  <si>
    <t>CONTROLADORIA</t>
  </si>
  <si>
    <t>1000.02.01.002</t>
  </si>
  <si>
    <t>JULIA STEFANNE DE SOUSA TEIXEIRA</t>
  </si>
  <si>
    <t>LEIDIANE CARVALHO E SILVA SENA</t>
  </si>
  <si>
    <t>SUPERVISOR ADM</t>
  </si>
  <si>
    <t>006</t>
  </si>
  <si>
    <t>Licença Maternidade</t>
  </si>
  <si>
    <t>APOIO ADM</t>
  </si>
  <si>
    <t>1040.02.02.013</t>
  </si>
  <si>
    <t>LAERCIO FELTES</t>
  </si>
  <si>
    <t>ALEVIR GONCALVES DA LUZ</t>
  </si>
  <si>
    <t>LIDER OPERACOES AGR</t>
  </si>
  <si>
    <t>LIDER AGR MANUT/PLANT</t>
  </si>
  <si>
    <t>1040.03.01.001</t>
  </si>
  <si>
    <t>CLAUDINEI VIANA DE SOUZA</t>
  </si>
  <si>
    <t>ARNALDO HILARIO</t>
  </si>
  <si>
    <t>OPERADOR MAQUINAS AGR</t>
  </si>
  <si>
    <t>OP. AGR DEF/SOLID F01</t>
  </si>
  <si>
    <t>1040.03.01.002</t>
  </si>
  <si>
    <t>VICTOR COSTA VILELA</t>
  </si>
  <si>
    <t>SIDNEY BACELAR DA SILVA</t>
  </si>
  <si>
    <t>GERENTE AGR 20K HA</t>
  </si>
  <si>
    <t>GESTAO AGR</t>
  </si>
  <si>
    <t>DOUGLAS MICHELS</t>
  </si>
  <si>
    <t>CLAUDINEI DOS SANTOS</t>
  </si>
  <si>
    <t>SUPERVISOR OPERACOES AGR</t>
  </si>
  <si>
    <t>SUPERVISOR AGR MANUT/PLANT/COLHE</t>
  </si>
  <si>
    <t>LILIANE ALVES VILELA</t>
  </si>
  <si>
    <t>ANALISTA FISCAL</t>
  </si>
  <si>
    <t>FISCAL</t>
  </si>
  <si>
    <t>1000.02.01.003</t>
  </si>
  <si>
    <t>HUTSON SYLLAS MACHADO PEREIRA</t>
  </si>
  <si>
    <t>REIBLESIS SENA DOS SANTOS</t>
  </si>
  <si>
    <t>SUPERVISOR ALMOXARIFADO</t>
  </si>
  <si>
    <t>ALMOXARIFADO ABAST</t>
  </si>
  <si>
    <t>1040.02.02.003</t>
  </si>
  <si>
    <t>SIDNEI CHAGAS DA SILVA</t>
  </si>
  <si>
    <t>VANDERLEY CHAGAS DA SILVA</t>
  </si>
  <si>
    <t>OP. AGR MANUT/COLHE F01</t>
  </si>
  <si>
    <t>SILMAR VIEIRA DE SOUZA</t>
  </si>
  <si>
    <t>OP. AGR MANUT/PREP/PLANT</t>
  </si>
  <si>
    <t>LEONARDO FERNANDO DA SILVA</t>
  </si>
  <si>
    <t>GILMAR EMMEL</t>
  </si>
  <si>
    <t>MECANICO</t>
  </si>
  <si>
    <t>MANUTENCAO AGR</t>
  </si>
  <si>
    <t>1040.03.03.002</t>
  </si>
  <si>
    <t>SUPERVISOR FISCAL</t>
  </si>
  <si>
    <t>COORD. MANUTENCAO</t>
  </si>
  <si>
    <t>1040.03.03.001</t>
  </si>
  <si>
    <t>MILENE SCHOSSLER</t>
  </si>
  <si>
    <t>GERENTE FINANCEIRO</t>
  </si>
  <si>
    <t>FINANCEIRO</t>
  </si>
  <si>
    <t>1000.02.01.006</t>
  </si>
  <si>
    <t>THOMAS MATIAS MICHELS</t>
  </si>
  <si>
    <t>CHARLESON MARTINS RESENDE</t>
  </si>
  <si>
    <t>SUPERVISOR FINANCEIRO</t>
  </si>
  <si>
    <t>GUSTAVO XAVIER MOREIRA</t>
  </si>
  <si>
    <t>LUCIANO BEZERRA MONTEIRO</t>
  </si>
  <si>
    <t>NATANAEL CORREIA DA COSTA</t>
  </si>
  <si>
    <t>PILOTO AERONAVE AGR</t>
  </si>
  <si>
    <t>PILOTO AGR</t>
  </si>
  <si>
    <t>DAVY JOSE CORREIA</t>
  </si>
  <si>
    <t>LIDER AGR MANUT/COLHE F01</t>
  </si>
  <si>
    <t>GABRIELA RODRIGUES MARTINS</t>
  </si>
  <si>
    <t>ESPECIALISTA PROCESSOS</t>
  </si>
  <si>
    <t>ADM</t>
  </si>
  <si>
    <t>1000.02.01.019</t>
  </si>
  <si>
    <t>GERENTE ADM AGR E LOGISTICA</t>
  </si>
  <si>
    <t>PLANEJAMENTO</t>
  </si>
  <si>
    <t>1000.02.01.015</t>
  </si>
  <si>
    <t>ELLEN MAYARA OLIVEIRA LIMA</t>
  </si>
  <si>
    <t>ANALISTA FINANCEIRO</t>
  </si>
  <si>
    <t>1001.02.01.006</t>
  </si>
  <si>
    <t>PATRICIO ROMUALDO DOS SANTOS</t>
  </si>
  <si>
    <t>TRAB. AGR POLIVALENTE</t>
  </si>
  <si>
    <t>TAP PATIO</t>
  </si>
  <si>
    <t>1040.02.02.004</t>
  </si>
  <si>
    <t>FERNANDO LOURENCETTI</t>
  </si>
  <si>
    <t>1040.02.02.015</t>
  </si>
  <si>
    <t>LEONARDO RESENDE SILVA</t>
  </si>
  <si>
    <t>ANALISTA SUPRIMENTOS</t>
  </si>
  <si>
    <t>LEONARDO PEDRIEL CARVALHO</t>
  </si>
  <si>
    <t>ESPECIALISTA AGR DIGITAL</t>
  </si>
  <si>
    <t>CIA</t>
  </si>
  <si>
    <t>1000.02.01.009</t>
  </si>
  <si>
    <t>LUIS FERNANDO OLIVEIRA VILELA</t>
  </si>
  <si>
    <t>ASSISTENTE ADM</t>
  </si>
  <si>
    <t>Primeiro Emprego</t>
  </si>
  <si>
    <t>FOLLOW UP INSUMOS</t>
  </si>
  <si>
    <t>LEONARDO PEREIRA LOPES</t>
  </si>
  <si>
    <t>ANALISTA ADM</t>
  </si>
  <si>
    <t>KARLA CRISTINA RODRIGUES NEUDES</t>
  </si>
  <si>
    <t>ESPECIALISTA CONTROLADORIA</t>
  </si>
  <si>
    <t>MURILO MARTINS DE ALMEIDA</t>
  </si>
  <si>
    <t>ESPECIALISTA PCP</t>
  </si>
  <si>
    <t>ADELINO LIMA DE MENEZES</t>
  </si>
  <si>
    <t>OP. AGR</t>
  </si>
  <si>
    <t>1010.03.01.002</t>
  </si>
  <si>
    <t>FABIANO VIEIRA</t>
  </si>
  <si>
    <t>EDUARDO OLIVEIRA MORAIS</t>
  </si>
  <si>
    <t>COMERCIAL</t>
  </si>
  <si>
    <t>1000.02.01.005</t>
  </si>
  <si>
    <t>003</t>
  </si>
  <si>
    <t>Auxílio Doença</t>
  </si>
  <si>
    <t>FACILITIES</t>
  </si>
  <si>
    <t>COORD. OPERACOES AGR</t>
  </si>
  <si>
    <t>SAMANTA MOSSOLINI LEWE</t>
  </si>
  <si>
    <t>KEILA SOARES DE LIMA DE MENEZES</t>
  </si>
  <si>
    <t>COZINHEIRO</t>
  </si>
  <si>
    <t>REFEITORIO</t>
  </si>
  <si>
    <t>1010.02.02.002</t>
  </si>
  <si>
    <t>CICERO PINHEIRO DOS SANTOS</t>
  </si>
  <si>
    <t>TORNEIRO MECANICO</t>
  </si>
  <si>
    <t>ELIDA SOUSA MACHADO OLIVEIRA</t>
  </si>
  <si>
    <t>AUXILIAR ADM</t>
  </si>
  <si>
    <t>THOMAS PF LCDPR</t>
  </si>
  <si>
    <t>0099.13.02.003</t>
  </si>
  <si>
    <t>RAFAEL RIBEIRO NEVES</t>
  </si>
  <si>
    <t>AURELIO PEREIRA DIAS</t>
  </si>
  <si>
    <t>LIDER ARMAZEM</t>
  </si>
  <si>
    <t>ARM KW</t>
  </si>
  <si>
    <t>1040.08.03.001</t>
  </si>
  <si>
    <t>JOAO GABRIEL TIERLING</t>
  </si>
  <si>
    <t>EVANDRO NUNES DA SILVEIRA NOGUEIRA</t>
  </si>
  <si>
    <t>GERENTE CONTROLADORIA E TI</t>
  </si>
  <si>
    <t>WELISMAR DOS SANTOS ATAIDES</t>
  </si>
  <si>
    <t>LEOMIR ESPOSITO OLIVEIRA CUNHA E SILVA</t>
  </si>
  <si>
    <t>SSMA</t>
  </si>
  <si>
    <t>1000.02.01.012</t>
  </si>
  <si>
    <t>VANESSA VITORIA DOS SANTOS SILVA</t>
  </si>
  <si>
    <t>ANALISTA DP</t>
  </si>
  <si>
    <t>DPTO PESSOAL</t>
  </si>
  <si>
    <t>1000.02.01.011</t>
  </si>
  <si>
    <t>VINICIUS NOGUEIRA RODRIGUES</t>
  </si>
  <si>
    <t>ROBERTO TEODOSIO DOS SANTOS</t>
  </si>
  <si>
    <t>MOTORISTA COMBOIO</t>
  </si>
  <si>
    <t>MOT COMBOIO</t>
  </si>
  <si>
    <t>1040.03.01.005</t>
  </si>
  <si>
    <t>LEANDRA CARRIJO SOUZA</t>
  </si>
  <si>
    <t>BRUNO FERREIRA DOURADO PEREIRA</t>
  </si>
  <si>
    <t>REYTLER SANTOS VILELA</t>
  </si>
  <si>
    <t>ESPECIALISTA TI</t>
  </si>
  <si>
    <t>TI</t>
  </si>
  <si>
    <t>1000.02.01.008</t>
  </si>
  <si>
    <t>RICARDO ALVES SILVA</t>
  </si>
  <si>
    <t>REGILVAN DA SILVA SANTOS</t>
  </si>
  <si>
    <t>ANDRESSA LUANE ALVES MOTA</t>
  </si>
  <si>
    <t>ALEX BRITO RODRIGUES</t>
  </si>
  <si>
    <t>VINICIUS REZENDE SANTOS</t>
  </si>
  <si>
    <t>ANTONIO GOMES FERREIRA</t>
  </si>
  <si>
    <t>AUXILIAR PRODUCAO AGR</t>
  </si>
  <si>
    <t>SERV GERAIS AGR</t>
  </si>
  <si>
    <t>1040.03.01.003</t>
  </si>
  <si>
    <t>GILDIMAR CAETANO DE SOUZA</t>
  </si>
  <si>
    <t>OPERADOR MOTONIVELADORA AGR</t>
  </si>
  <si>
    <t>LUCAS SILVESTRE DOS SANTOS</t>
  </si>
  <si>
    <t>LIDER AGR</t>
  </si>
  <si>
    <t>1010.03.01.001</t>
  </si>
  <si>
    <t>FELIX CARVALHO MIRANDA NETO</t>
  </si>
  <si>
    <t>OP. AGR DEF/SOLID F02</t>
  </si>
  <si>
    <t>ADAILTON ALVES DA CRUZ</t>
  </si>
  <si>
    <t>002</t>
  </si>
  <si>
    <t>Férias</t>
  </si>
  <si>
    <t>1001.02.01.001</t>
  </si>
  <si>
    <t>GILSIVANIA JESUS SILVA</t>
  </si>
  <si>
    <t>IGOR COSTA VILELA</t>
  </si>
  <si>
    <t>TRAINEE AGR</t>
  </si>
  <si>
    <t>MONITOR AGR</t>
  </si>
  <si>
    <t>1010.03.01.006</t>
  </si>
  <si>
    <t>MAURICIO THIAGO SILVA SOARES</t>
  </si>
  <si>
    <t>SAMUEL LUCAS CARVALHO</t>
  </si>
  <si>
    <t>GERENTE AGR ATE 3K HA</t>
  </si>
  <si>
    <t>FRANCISCO FURTADO DE SOUSA</t>
  </si>
  <si>
    <t>OP. AGR DEF CALDEIRO F01</t>
  </si>
  <si>
    <t>DION CARLOS DIAS</t>
  </si>
  <si>
    <t>MOTORISTA APOIO</t>
  </si>
  <si>
    <t>MOT APOIO AGR</t>
  </si>
  <si>
    <t>THIAGO MONTEIRO DA CUNHA</t>
  </si>
  <si>
    <t>1040.02.02.002</t>
  </si>
  <si>
    <t>LAURA MACEDO DE MORAES</t>
  </si>
  <si>
    <t>MODABY ADEILSON FRANCISCO DA SILVA LIMA</t>
  </si>
  <si>
    <t>FRANCIVALDO SANTOS ARAUJO</t>
  </si>
  <si>
    <t>ENDRIO CARMO SOUZA</t>
  </si>
  <si>
    <t>JOSE HENRIQUE DOS SANTOS OLIVEIRA</t>
  </si>
  <si>
    <t>BRUNO RESENDE VASQUES DE SOUZA</t>
  </si>
  <si>
    <t>ANALISTA PCP</t>
  </si>
  <si>
    <t>GILVAN APARECIDO COSTA ATAIDE</t>
  </si>
  <si>
    <t>SUELEN MARTINS DA SILVA</t>
  </si>
  <si>
    <t>COORD. CONTROLADORIA</t>
  </si>
  <si>
    <t>HIAGO ZANON BARBOSA</t>
  </si>
  <si>
    <t>OP. AGR MANUT/COLHE F02</t>
  </si>
  <si>
    <t>AUGUSTO ALVES SIQUEIRA FILHO</t>
  </si>
  <si>
    <t>KELWIM DO NASCIMENTO SILVA SCHAD</t>
  </si>
  <si>
    <t>MONITOR CAMPO</t>
  </si>
  <si>
    <t>1040.03.01.006</t>
  </si>
  <si>
    <t>GALBER CARDOSO SALES</t>
  </si>
  <si>
    <t>DENILSON PEREIRA DE JESUS</t>
  </si>
  <si>
    <t>ARTHUR ALVES RODRIGUES</t>
  </si>
  <si>
    <t>FABIANA DA CRUZ NEVES SENA</t>
  </si>
  <si>
    <t>ASSISTENTE CONTROLADORIA</t>
  </si>
  <si>
    <t>GERENTE SUPRIMENTOS E CIA</t>
  </si>
  <si>
    <t>JADSON AUGUSTO RIBEIRO DA SILVA</t>
  </si>
  <si>
    <t>FAXINEIRO</t>
  </si>
  <si>
    <t>KAELLANY SOUSA TAVARES MARQUES</t>
  </si>
  <si>
    <t>ASSISTENTE FISCAL</t>
  </si>
  <si>
    <t>LEYVISON ALMONDES OLIVEIRA DE SOUSA</t>
  </si>
  <si>
    <t>ALMOXARIFE</t>
  </si>
  <si>
    <t>MARCELO REZENDE MARTINS</t>
  </si>
  <si>
    <t>1000.02.01.021</t>
  </si>
  <si>
    <t>FRANCINALDO SILVA E SILVA</t>
  </si>
  <si>
    <t>GENESON LUCAS LIMA DE ARAUJO</t>
  </si>
  <si>
    <t>VICTOR GABRIEL DIAS DOS SANTOS</t>
  </si>
  <si>
    <t>SOLDADOR</t>
  </si>
  <si>
    <t>ANDRE LUIS BONIFACIO KORCZOVEI</t>
  </si>
  <si>
    <t>KLEWMIR FERREIRA SANTOS</t>
  </si>
  <si>
    <t>NAHIR SOARES SANTOS</t>
  </si>
  <si>
    <t>ANALISTA R&amp;S</t>
  </si>
  <si>
    <t>RH</t>
  </si>
  <si>
    <t>CAROLINE PALMA UCELLA</t>
  </si>
  <si>
    <t>SUPERVISOR DP</t>
  </si>
  <si>
    <t>MARIELY CALIXTO ANICESIO</t>
  </si>
  <si>
    <t>ANALISTA CONTABIL</t>
  </si>
  <si>
    <t>CONTABILIDADE</t>
  </si>
  <si>
    <t>1000.02.01.004</t>
  </si>
  <si>
    <t>CARLOS HENRIQUE SANTOS SOUZA</t>
  </si>
  <si>
    <t>ASSISTENTE CONTABIL</t>
  </si>
  <si>
    <t>ANDRESSA VILELA DA COSTA</t>
  </si>
  <si>
    <t>ALESSANDRO DA SILVA BARBOSA</t>
  </si>
  <si>
    <t>SUPERVISOR MANUTENCAO ELETRICA</t>
  </si>
  <si>
    <t>ELETRICA</t>
  </si>
  <si>
    <t>EZEQUIAS DE LIMA LINS</t>
  </si>
  <si>
    <t>ADM PRODUCAO</t>
  </si>
  <si>
    <t>MARCOS AURELIO RAMALHO DE SOUSA</t>
  </si>
  <si>
    <t>ANTONIO RODRIGO DA COSTA MARTINS</t>
  </si>
  <si>
    <t>JAISON CRISTIANO PIRES</t>
  </si>
  <si>
    <t>KATRINE MORGANA BERTOLINA RODRIGUES</t>
  </si>
  <si>
    <t>ASSISTENTE DP</t>
  </si>
  <si>
    <t>JANAINA DAIANE SOUSA FERREIRA SOARES</t>
  </si>
  <si>
    <t>ESPECIALISTA RH</t>
  </si>
  <si>
    <t>MARCOS MARCIO VANSOVSKI</t>
  </si>
  <si>
    <t>UELITON CESAR SILVA LOPES</t>
  </si>
  <si>
    <t>VINICIUS PADILHA</t>
  </si>
  <si>
    <t>WANDERSON RODRIGUES DE OLIVEIRA</t>
  </si>
  <si>
    <t>ODAIR JOSE DA LUZ GONCALVES</t>
  </si>
  <si>
    <t>1020.03.01.002</t>
  </si>
  <si>
    <t>OLIMPIO RODRIGUES DOS SANTOS</t>
  </si>
  <si>
    <t>ROSIMAR GONCALVES DE PAULA</t>
  </si>
  <si>
    <t>OPERADOR MAQ MANTENEDOR AGR</t>
  </si>
  <si>
    <t>1020.03.01.001</t>
  </si>
  <si>
    <t>VALERIA DA PENHA SOARES</t>
  </si>
  <si>
    <t>014</t>
  </si>
  <si>
    <t>Atestado</t>
  </si>
  <si>
    <t>1020.02.02.002</t>
  </si>
  <si>
    <t>VINICIUS TEODORO MICHELS</t>
  </si>
  <si>
    <t>OP. AGR DEF</t>
  </si>
  <si>
    <t>1030.03.01.002</t>
  </si>
  <si>
    <t>MOTORISTA</t>
  </si>
  <si>
    <t>MOT AGR</t>
  </si>
  <si>
    <t>OP. AGR F01</t>
  </si>
  <si>
    <t>VENILDE ULSENHEIMER</t>
  </si>
  <si>
    <t>PORTARIA</t>
  </si>
  <si>
    <t>1040.02.02.005</t>
  </si>
  <si>
    <t>JOANA PINHEIRO BORGES</t>
  </si>
  <si>
    <t>GERENTE AGR 3K A 7K HA</t>
  </si>
  <si>
    <t>1060.03.01.001</t>
  </si>
  <si>
    <t>MATEUS HENRIQUE SA DOS SANTOS</t>
  </si>
  <si>
    <t>1060.03.01.002</t>
  </si>
  <si>
    <t>PAULO HENRIQUE SOUSA PINHEIRO</t>
  </si>
  <si>
    <t>SUPERVISOR ARMAZEM</t>
  </si>
  <si>
    <t>SUP ARMAZEM</t>
  </si>
  <si>
    <t>1060.08.03.001</t>
  </si>
  <si>
    <t>FREDSON RODRIGUES DA COSTA</t>
  </si>
  <si>
    <t>TAP SEDE</t>
  </si>
  <si>
    <t>RAIMUNDO FRANCISCO BARROS SOARES</t>
  </si>
  <si>
    <t>1030.03.01.001</t>
  </si>
  <si>
    <t>OP. AGR F02</t>
  </si>
  <si>
    <t>OPERADOR ARMAZEM SECADOR</t>
  </si>
  <si>
    <t>ARMAZEM</t>
  </si>
  <si>
    <t>EVARISTO CARDOSO SOUZA</t>
  </si>
  <si>
    <t>MOISES CAETANO FERREIRA</t>
  </si>
  <si>
    <t>1060.03.01.005</t>
  </si>
  <si>
    <t>RODRIGO BEZERRA GAMA PATROCINIO</t>
  </si>
  <si>
    <t>PAULIMAR PEREIRA DA SILVA</t>
  </si>
  <si>
    <t>OP. PA CARREGADEIRA AGR</t>
  </si>
  <si>
    <t>JOSE MIRANDA DE FARIAS</t>
  </si>
  <si>
    <t>AUXILIAR ARMAZEM</t>
  </si>
  <si>
    <t>1060.08.03.003</t>
  </si>
  <si>
    <t>LEANDRO CARVALHO CRUZ</t>
  </si>
  <si>
    <t>1060.02.02.004</t>
  </si>
  <si>
    <t>MARCO ANTONIO RODRIGUES SANTOS</t>
  </si>
  <si>
    <t>HONORIO FERREIRA DA SILVA</t>
  </si>
  <si>
    <t>SUP OPERACAO AGR</t>
  </si>
  <si>
    <t>ELISEU DOS REIS FERREIRA</t>
  </si>
  <si>
    <t>1060.08.03.002</t>
  </si>
  <si>
    <t>JUNIO CESAR ALVES DE SA</t>
  </si>
  <si>
    <t>HYSADORA BERNARDES DE SOUZA</t>
  </si>
  <si>
    <t>1030.02.02.013</t>
  </si>
  <si>
    <t>KELLY PRISCILA PEREIRA LIMA</t>
  </si>
  <si>
    <t>ERIC AGUIAR COSTA</t>
  </si>
  <si>
    <t>RIVONALDO FERNANDES MELO</t>
  </si>
  <si>
    <t>DEYGLA PANDURO DOS SANTOS</t>
  </si>
  <si>
    <t>1060.02.02.002</t>
  </si>
  <si>
    <t>GLEIBSON CONCEICAO MACIEL</t>
  </si>
  <si>
    <t>1060.02.02.013</t>
  </si>
  <si>
    <t>MARCELO JUNIO MORAIS FERNANDES</t>
  </si>
  <si>
    <t>DIEGO SOUSA RAMOS</t>
  </si>
  <si>
    <t>MARCUS EVARISTO PINHEIRO</t>
  </si>
  <si>
    <t>RONISCLEY SOUSA MARQUES</t>
  </si>
  <si>
    <t>RONALDO MENDONCA FERREIRA</t>
  </si>
  <si>
    <t>ROGERIO DOS SANTOS PISMEL</t>
  </si>
  <si>
    <t>ISADORA DOURADO MORAIS</t>
  </si>
  <si>
    <t>1040.02.02.017</t>
  </si>
  <si>
    <t>LUIZ CARLOS DAMASCENO LEAL</t>
  </si>
  <si>
    <t>EDIVALDO PEREIRA DA SILVA</t>
  </si>
  <si>
    <t>TAP LAVOURA</t>
  </si>
  <si>
    <t>VALDIRENE DA SILVA RAMOS</t>
  </si>
  <si>
    <t>LUDYMILLA INGREDY LUCENA DOS SANTOS</t>
  </si>
  <si>
    <t>ALINE MENDES GONCALVES OLIVEIRA</t>
  </si>
  <si>
    <t>TAMIRES ALMEIDA MORAIS</t>
  </si>
  <si>
    <t>PEDRO EMANUEL RODRIGUES MENDONCA</t>
  </si>
  <si>
    <t>MARIA DA PAZ SANTOS DE SOUSA</t>
  </si>
  <si>
    <t>AUXILIAR COZINHA</t>
  </si>
  <si>
    <t>NILZA DA COSTA OLIVEIRA</t>
  </si>
  <si>
    <t>VERA LUCIA PEREIRA DA SILVA ROCHA</t>
  </si>
  <si>
    <t>CARLA CRISTINA SILVA OLIVEIRA</t>
  </si>
  <si>
    <t>KARIN TAUANI ULSENHEIMER EMMEL</t>
  </si>
  <si>
    <t>SANTIAGO GOMES VELOSO</t>
  </si>
  <si>
    <t>LIANE JACOMO DE SOUSA</t>
  </si>
  <si>
    <t>1030.02.02.002</t>
  </si>
  <si>
    <t>THAIS CASTRO DA SILVA</t>
  </si>
  <si>
    <t>MAYARA SILVA PIRES</t>
  </si>
  <si>
    <t>AUXILIAR PRODUCAO AGR SAFRISTA</t>
  </si>
  <si>
    <t>KAUANY MARQUE DOS SANTOS</t>
  </si>
  <si>
    <t>RAIURY FARIAS LEMES</t>
  </si>
  <si>
    <t>RAINON RIBEIRO CAVALCANTE</t>
  </si>
  <si>
    <t>ANGELA MARIA DA CRUZ SANTOS</t>
  </si>
  <si>
    <t>FABIO NEVES SOARES</t>
  </si>
  <si>
    <t>ALISSON BRUNO CARRIJO SOUZA</t>
  </si>
  <si>
    <t>ISMAEL ALVES MALTA</t>
  </si>
  <si>
    <t>WESLEY HENRIQUE PIOTROWSKI KAZMIERCZAK</t>
  </si>
  <si>
    <t>JENIFER RAIANI CORREA FINGER</t>
  </si>
  <si>
    <t>EMANUELY XAVIER MOREIRA</t>
  </si>
  <si>
    <t>SUZANA MARQUES BALDINO</t>
  </si>
  <si>
    <t>ELEANDRO ADEMIR HERMES</t>
  </si>
  <si>
    <t>RONALDO PEREIRA DE CAMARGO</t>
  </si>
  <si>
    <t>1070.03.01.001</t>
  </si>
  <si>
    <t>JOSE IONES LOBO SILVA</t>
  </si>
  <si>
    <t>JONES DEFAVERI</t>
  </si>
  <si>
    <t>NATALINA GONCALVES DOS SANTOS FERREIRA</t>
  </si>
  <si>
    <t>1030.02.02.004</t>
  </si>
  <si>
    <t>GENILSON DA SILVA PINHEIRO</t>
  </si>
  <si>
    <t>RONALDO MARQUES CASSEMIRO</t>
  </si>
  <si>
    <t>MARCILENE FERREIRA</t>
  </si>
  <si>
    <t>ANTONIA GRIZORTE DA SILVA</t>
  </si>
  <si>
    <t>ADEMILSON DA ANUNCIACAO DOS SANTOS</t>
  </si>
  <si>
    <t>LISSANDRO COSTA SILVA</t>
  </si>
  <si>
    <t>LUCAS DA SILVA COSTA</t>
  </si>
  <si>
    <t>GABRIEL BERNARDI</t>
  </si>
  <si>
    <t>MARCOS MACIEL PEREIRA SOUSA</t>
  </si>
  <si>
    <t>JUCELIA INACIA DOS REIS</t>
  </si>
  <si>
    <t>AUGUSTO COSTA MELGAREJO</t>
  </si>
  <si>
    <t>WESLEY DOS SANTOS MALHEIROS</t>
  </si>
  <si>
    <t>MARILDO DA SILVA GADELHA</t>
  </si>
  <si>
    <t>GERENTE AGROPECUARIA</t>
  </si>
  <si>
    <t>GESTAO PEC</t>
  </si>
  <si>
    <t>1070.06.07.003</t>
  </si>
  <si>
    <t>ALEXANDER MACHADO REIS</t>
  </si>
  <si>
    <t>CLAUDIA VIANA DA SILVA</t>
  </si>
  <si>
    <t>1002.02.01.001</t>
  </si>
  <si>
    <t>ADEILSON DOS SANTOS BERTOLDO</t>
  </si>
  <si>
    <t>TRAB. PECUARIA POLIVALENTE</t>
  </si>
  <si>
    <t>OP. PEC</t>
  </si>
  <si>
    <t>1070.06.07.006</t>
  </si>
  <si>
    <t>CLAUDENIR DE OLIVEIRA GADELHA</t>
  </si>
  <si>
    <t>FRANK ALVES DE ARAUJO</t>
  </si>
  <si>
    <t>GEOVANE DOS SANTOS DA SILVA</t>
  </si>
  <si>
    <t>MARDONIO DE OLIVEIRA GADELHA</t>
  </si>
  <si>
    <t>WILLIS OLIVEIRA DA SILVA</t>
  </si>
  <si>
    <t>JARDESON DE FREITAS MARQUES</t>
  </si>
  <si>
    <t>MARCELO GADELHA DA SILVA</t>
  </si>
  <si>
    <t>RAFAEL DA SILVA GADELHA</t>
  </si>
  <si>
    <t>ADALBERTO DA SILVA PEREIRA</t>
  </si>
  <si>
    <t>OP. PA CARREGADEIRA PEC</t>
  </si>
  <si>
    <t>MANOEL FERREIRA DE FREITAS</t>
  </si>
  <si>
    <t>JESSE DA SILVA ARAUJO</t>
  </si>
  <si>
    <t>RODRIGO SILVA DO NASCIMENTO</t>
  </si>
  <si>
    <t>YAN DE OLIVEIRA GADELHA</t>
  </si>
  <si>
    <t>NAILTON ALVES BARBOSA</t>
  </si>
  <si>
    <t>SUELY ALVES SOARES</t>
  </si>
  <si>
    <t>REFEITORIO PEC</t>
  </si>
  <si>
    <t>1070.02.02.002</t>
  </si>
  <si>
    <t>GEOVANI DE OLIVEIRA SILVA</t>
  </si>
  <si>
    <t>OPERADOR MAQUINAS PEC</t>
  </si>
  <si>
    <t>WESLEY DA SILVA OLIVEIRA</t>
  </si>
  <si>
    <t>MARIA MOREIRA DA SILVA</t>
  </si>
  <si>
    <t>BRUNA TAYS BRITO RODRIGUES</t>
  </si>
  <si>
    <t>DHEMES RODRIGUES TEIXEIRA</t>
  </si>
  <si>
    <t>OPERADOR ESCAVADEIRA HIDRA PEC</t>
  </si>
  <si>
    <t>SANDRA ROSA ALVES DO NASCIMENTO</t>
  </si>
  <si>
    <t>HUGO PIRES DOS SANTOS</t>
  </si>
  <si>
    <t>ADRIANO NASCIMENTO DA CUNHA</t>
  </si>
  <si>
    <t>EDIVALDO SILVA DA CUNHA</t>
  </si>
  <si>
    <t>FACILITIES PEC</t>
  </si>
  <si>
    <t>DANIELE SILVA VIEIRA</t>
  </si>
  <si>
    <t>GILVAN SILVA DOS SANTOS</t>
  </si>
  <si>
    <t>JEAN QUEIROZ DE OLIVEIRA</t>
  </si>
  <si>
    <t>EMERSON FERNANDO GADELHA</t>
  </si>
  <si>
    <t>JOAO VITOR SILVA SOUZA</t>
  </si>
  <si>
    <t>MARIA VARLEIA MOURA VIANA</t>
  </si>
  <si>
    <t>LUIS EDUARDO FERRAZ ATILIO</t>
  </si>
  <si>
    <t>JOEL SILVA DE LIMA</t>
  </si>
  <si>
    <t>ADONIAS BARBOSA DA SILVA</t>
  </si>
  <si>
    <t>ELISANDRO GOMES DA SILVA</t>
  </si>
  <si>
    <t>LUCAS FERNANDO VILARINO DE CAMARGO</t>
  </si>
  <si>
    <t>ANTONIO RAFAEL SILVA</t>
  </si>
  <si>
    <t>ALISSON CAMILO DA SILVA</t>
  </si>
  <si>
    <t>CASSIANO RAFAEL DESSBESELL</t>
  </si>
  <si>
    <t>LORISVALDO PEREIRA DE MAGALHAES JUNIOR</t>
  </si>
  <si>
    <t>1080.03.01.002</t>
  </si>
  <si>
    <t>LEANDRO DE SOUSA SILVA</t>
  </si>
  <si>
    <t>RAIMUNDO PEREIRA DA SILVA</t>
  </si>
  <si>
    <t>1050.03.01.002</t>
  </si>
  <si>
    <t>OSNEI BACELAR DA SILVA</t>
  </si>
  <si>
    <t>GERENTE AGR 7K A 12K HA</t>
  </si>
  <si>
    <t>1050.03.01.001</t>
  </si>
  <si>
    <t>ROBSON FAGNER ALVES DE SOUZA</t>
  </si>
  <si>
    <t>GUILHERME SOARES BACELAR</t>
  </si>
  <si>
    <t>ERIVAN ARAUJO DA SILVA</t>
  </si>
  <si>
    <t>LUCAS ARAUJO DA SILVA</t>
  </si>
  <si>
    <t>1080.03.01.001</t>
  </si>
  <si>
    <t>SUPERV PREP/PLANT/COLHE</t>
  </si>
  <si>
    <t>CLODOMIR PAIVA LIMA</t>
  </si>
  <si>
    <t>WILIAN ALVES DE OLIVEIRA</t>
  </si>
  <si>
    <t>RAFAEL BATISTA DA SILVA</t>
  </si>
  <si>
    <t>RAIMUNDO NONATO DOS SANTOS SOUSA</t>
  </si>
  <si>
    <t>ARM COMIL</t>
  </si>
  <si>
    <t>1040.08.03.003</t>
  </si>
  <si>
    <t>ANTONIO RAIMUNDO DE OLIVEIRA</t>
  </si>
  <si>
    <t>WANDERSON SILVA DE SOUSA</t>
  </si>
  <si>
    <t>RENILTON DOS SANTOS ARAGAO</t>
  </si>
  <si>
    <t>SANDER DA SILVA LOPES</t>
  </si>
  <si>
    <t>SUPERVISOR AGR TRAT DEF/SOLID</t>
  </si>
  <si>
    <t>JACKSON FARIAS DE SOUSA</t>
  </si>
  <si>
    <t>1050.03.01.005</t>
  </si>
  <si>
    <t>WENDER GOUVEIA DA SILVA</t>
  </si>
  <si>
    <t>FRANCISCO FERREIRA DA SILVA SANTOS</t>
  </si>
  <si>
    <t>ALDERLEI LEAO DE SOUZA</t>
  </si>
  <si>
    <t>BRUNO GOMES DA SILVA</t>
  </si>
  <si>
    <t>ANTIERES VIEIRA MARTINS</t>
  </si>
  <si>
    <t>DAIANE PEREIRA DA SILVA</t>
  </si>
  <si>
    <t>1050.02.02.002</t>
  </si>
  <si>
    <t>ERISVAN SILVA DOS SANTOS</t>
  </si>
  <si>
    <t>DENILSON VIANA SANTOS</t>
  </si>
  <si>
    <t>ADAO EVANGELISTA SOUSA</t>
  </si>
  <si>
    <t>1040.08.03.002</t>
  </si>
  <si>
    <t>LUCIVANIA PEREIRA DA SILVA</t>
  </si>
  <si>
    <t>1050.02.02.004</t>
  </si>
  <si>
    <t>DERISVALDO RODRIGUES DA SILVA OLIVEIRA</t>
  </si>
  <si>
    <t>MANUEL SILVA DE ALENCAR</t>
  </si>
  <si>
    <t>RICAELSON BARBOSA DO CARMO</t>
  </si>
  <si>
    <t>ANDERSON HENRIQUE MOREIRA</t>
  </si>
  <si>
    <t>RONALDO JOSE GEMINIANO</t>
  </si>
  <si>
    <t>1050.03.01.003</t>
  </si>
  <si>
    <t>WILMAR PEREIRA ALVES JUNIOR</t>
  </si>
  <si>
    <t>CARLOS MANUEL FERREIRA</t>
  </si>
  <si>
    <t>ADILSON PEREIRA DE SOUZA</t>
  </si>
  <si>
    <t>JANILSON DE SOUSA DO CARMO</t>
  </si>
  <si>
    <t>LORENA MARIA DA SILVA</t>
  </si>
  <si>
    <t>SUPERVISOR MANUTENCAO</t>
  </si>
  <si>
    <t>1050.03.03.001</t>
  </si>
  <si>
    <t>SILVIO PEREIRA DA SILVA NETO</t>
  </si>
  <si>
    <t>JOSE DOMINGOS PEREIRA DA SILVA</t>
  </si>
  <si>
    <t>NICOLAS ROCHA DA SILVA</t>
  </si>
  <si>
    <t>LIDER AGR SOLIDOS</t>
  </si>
  <si>
    <t>FRANCISCO ARLINS LIMA DA SILVA</t>
  </si>
  <si>
    <t>EDUARDO DE OLIVEIRA E SILVA</t>
  </si>
  <si>
    <t>JOAQUIM FRANKLIN MARTINS CARDOSO</t>
  </si>
  <si>
    <t>OP. AGR F03</t>
  </si>
  <si>
    <t>LAZARO TIAGO SIQUEIRA BISPO</t>
  </si>
  <si>
    <t>DOUGLAS RODRIGUES DE SOUZA</t>
  </si>
  <si>
    <t>GENARO DOS SANTOS SOARES</t>
  </si>
  <si>
    <t>JOSIEL CARVALHO DA SILVA</t>
  </si>
  <si>
    <t>1080.06.07.006</t>
  </si>
  <si>
    <t>DILMA MARTINS SOBRINHO</t>
  </si>
  <si>
    <t>1080.06.05.005</t>
  </si>
  <si>
    <t>LAILTON MARQUES COSTA</t>
  </si>
  <si>
    <t>JOCIVALDO SOUSA DA SILVA</t>
  </si>
  <si>
    <t>BRUNA DE OLIVEIRA CARDOSO</t>
  </si>
  <si>
    <t>1050.02.02.013</t>
  </si>
  <si>
    <t>GEOVANI LEAO DE SOUZA</t>
  </si>
  <si>
    <t>MAYCON GABRIEL PIRES RICARDO COSTA</t>
  </si>
  <si>
    <t>ANTONIA NIRA DA SILVA ARAUJO</t>
  </si>
  <si>
    <t>1080.02.02.002</t>
  </si>
  <si>
    <t>MANOEL PEREIRA BARROS</t>
  </si>
  <si>
    <t>1080.03.01.003</t>
  </si>
  <si>
    <t>GENILSON DOS SANTOS LINO</t>
  </si>
  <si>
    <t>OPERADOR ESCAVADEIRA HIDRA AGR</t>
  </si>
  <si>
    <t>DANIEL DE OLIVEIRA ALVES</t>
  </si>
  <si>
    <t>CONFINAMENTO PEC</t>
  </si>
  <si>
    <t>1080.06.07.004</t>
  </si>
  <si>
    <t>ANTONIO FRANCISCO GAIA LUSTOSA</t>
  </si>
  <si>
    <t>DENIS VIEIRA RAMOS</t>
  </si>
  <si>
    <t>JOAO GHUSTAVO MOREIRA BACELAR DA SILVA</t>
  </si>
  <si>
    <t>CLEUDE RIBEIRO DE ANDRADE</t>
  </si>
  <si>
    <t>ADAO LOZEIRO PEREIRA</t>
  </si>
  <si>
    <t>REGINALDO LIMA SANTANA</t>
  </si>
  <si>
    <t>1080.03.03.002</t>
  </si>
  <si>
    <t>IGOR GUSTAVO MARTINS CLAUDIO</t>
  </si>
  <si>
    <t>ALMOXARIFADO</t>
  </si>
  <si>
    <t>1050.02.02.003</t>
  </si>
  <si>
    <t>ANTONIO CARLOS PEREIRA DA SILVA</t>
  </si>
  <si>
    <t>1080.02.02.004</t>
  </si>
  <si>
    <t>MARIA APARECIDA DE JESUS</t>
  </si>
  <si>
    <t>DEUZINO PARENTE DA SILVA</t>
  </si>
  <si>
    <t>JOILSON GOMES DE MATOS</t>
  </si>
  <si>
    <t>MARCO ANTONIO CARDOSO NASCIMENTO</t>
  </si>
  <si>
    <t>GEANIS PEREIRA DOS SANTOS</t>
  </si>
  <si>
    <t>ROMULLO GUSTAVO LUNA DE CARVALHO FERREIR</t>
  </si>
  <si>
    <t>AUXILIAR MECANICO</t>
  </si>
  <si>
    <t>JEFERSON DOMINGOS MARDIAN PEREIRA</t>
  </si>
  <si>
    <t>JARDEL DE JESUS SILVA</t>
  </si>
  <si>
    <t>JOAO LUCAS PEREIRA DA COSTA</t>
  </si>
  <si>
    <t>VINICIUS ANDRE MIQUETICHU SAMPAIO</t>
  </si>
  <si>
    <t>CLASSIFICADOR GRAOS</t>
  </si>
  <si>
    <t>ANTONIO CARLOS MARTINS SILVA</t>
  </si>
  <si>
    <t>ANTONIO HELDER DE MENESES ARAUJO</t>
  </si>
  <si>
    <t>JADEILSON SILVA</t>
  </si>
  <si>
    <t>JOAO VICTOR MACHADO RODRIGUES</t>
  </si>
  <si>
    <t>DIEGO ALVES SOBRAL</t>
  </si>
  <si>
    <t>JOSE ALMEIDA DA SILVA</t>
  </si>
  <si>
    <t>JACIRENE RIBEIRO DA SILVA</t>
  </si>
  <si>
    <t>ANA FLAVIA GOMES DE FREITAS</t>
  </si>
  <si>
    <t>1080.02.02.013</t>
  </si>
  <si>
    <t>RANIEL ALVES DO NASCIMENTO</t>
  </si>
  <si>
    <t>NAZARENO LOPES FIGUEREDO</t>
  </si>
  <si>
    <t>AILTON RODRIGUES</t>
  </si>
  <si>
    <t>BENILDO FERREIRA DOS SANTOS</t>
  </si>
  <si>
    <t>RANIEL MILHOMEM DE ALMEIDA</t>
  </si>
  <si>
    <t>1080.03.01.005</t>
  </si>
  <si>
    <t>RAILSON BRUNE DE OLIVEIRA</t>
  </si>
  <si>
    <t>JOSE SILVA DE SOUZA</t>
  </si>
  <si>
    <t>ANIZAN ROMUALDO DOS SANTOS</t>
  </si>
  <si>
    <t>HAILTON SOUZA MIRANDA</t>
  </si>
  <si>
    <t>EDILSON SANTOS ALMEIDA</t>
  </si>
  <si>
    <t>VAQUEIRO</t>
  </si>
  <si>
    <t>WAGNER DA CRUZ ARAUJO</t>
  </si>
  <si>
    <t>MONITOR AGR PREP/PLANT</t>
  </si>
  <si>
    <t>1050.03.01.006</t>
  </si>
  <si>
    <t>SIMARA DOS SANTOS OLIVEIRA</t>
  </si>
  <si>
    <t>FABIO DO NASCIMENTO SANTOS</t>
  </si>
  <si>
    <t>FLAVIO RAMOS FARIA</t>
  </si>
  <si>
    <t>RAFAEL ALVES DA SILVA</t>
  </si>
  <si>
    <t>ANA CLEIDE PEREIRA SOBRAL ANDRADE</t>
  </si>
  <si>
    <t>JANAELE PIEDADE BRAGA</t>
  </si>
  <si>
    <t>ANTONIO ENIVALDO GOMES DA SILVA</t>
  </si>
  <si>
    <t>LUIZ HENRIQUE BASTOS DE SOUZA</t>
  </si>
  <si>
    <t>ADM PEC</t>
  </si>
  <si>
    <t>1080.06.05.008</t>
  </si>
  <si>
    <t>WELITON PIRES NASCIMENTO</t>
  </si>
  <si>
    <t>ANA GESSICA ARAUJO</t>
  </si>
  <si>
    <t>DIONES TAVEIRA DA CONCEICAO</t>
  </si>
  <si>
    <t>JOSIAS DOS SANTOS BARBOZA</t>
  </si>
  <si>
    <t>NICOLY DE JESUS COSTA</t>
  </si>
  <si>
    <t>LEANDRO BONFIM ARAUJO DA SILVA</t>
  </si>
  <si>
    <t>CAPATAZ PECUARIA</t>
  </si>
  <si>
    <t>1080.06.07.003</t>
  </si>
  <si>
    <t>DIOGO RIBEIRO DA SILVA</t>
  </si>
  <si>
    <t>IDILIO ALVES DE OLIVEIRA</t>
  </si>
  <si>
    <t>FRANCILANE MARQUES VIANA</t>
  </si>
  <si>
    <t>ALESSANDRO FERREIRA MUNIZ</t>
  </si>
  <si>
    <t>RONISCLEBESSON DOS SANTOS</t>
  </si>
  <si>
    <t>MANUTENCAO ARM</t>
  </si>
  <si>
    <t>ADONILDO ALVES BARROSO</t>
  </si>
  <si>
    <t>ELEUZINA ALVES DE OLIVEIRA NETA SILVA</t>
  </si>
  <si>
    <t>1080.06.05.006</t>
  </si>
  <si>
    <t>GUIBISON MARTINS DE CASTILHO</t>
  </si>
  <si>
    <t>ELSON SANTOS DA SILVA</t>
  </si>
  <si>
    <t>TIAGO ANDRADE DA SILVA</t>
  </si>
  <si>
    <t>JULIETI RODRIGUES SILVA</t>
  </si>
  <si>
    <t>DOUGLAS DOS SANTOS</t>
  </si>
  <si>
    <t>ANTONIO MARCIO COSTA AGUIAR</t>
  </si>
  <si>
    <t>JEVAIR FERREIRA DE SOUZA</t>
  </si>
  <si>
    <t>TIAGO MENDES DE OLIVEIRA</t>
  </si>
  <si>
    <t>LUCAS ALMEIDA COSTA</t>
  </si>
  <si>
    <t>1080.03.02.002</t>
  </si>
  <si>
    <t>ANTONIO MAELISON OLIVEIRA DE SOUSA</t>
  </si>
  <si>
    <t>MAURICIO FERREIRA DA CRUZ</t>
  </si>
  <si>
    <t>JACIANE MASSENO CARDOSO</t>
  </si>
  <si>
    <t>ESTELITO MALAQUIAS DE SOUZA CARDOSO</t>
  </si>
  <si>
    <t>1080.02.02.003</t>
  </si>
  <si>
    <t>JOABE DE OLIVEIRA SANTOS</t>
  </si>
  <si>
    <t>ANTONIO GALVAO DA COSTA</t>
  </si>
  <si>
    <t>MARIA HELENA BARROS RIBEIRO</t>
  </si>
  <si>
    <t>JOAO PEDRO SOARES LOTERO</t>
  </si>
  <si>
    <t>VANDO APARECIDO FERREIRA LINO</t>
  </si>
  <si>
    <t>LIDER OPERACOES PEC</t>
  </si>
  <si>
    <t>RAFAEL RIBEIRO DA SILVA</t>
  </si>
  <si>
    <t>MESSIAS DENILSON GOMES DA SILVA</t>
  </si>
  <si>
    <t>RAFAEL SILVA BARROSO</t>
  </si>
  <si>
    <t>LEVINO FERREIRA LIRA</t>
  </si>
  <si>
    <t>GENEZIO GOMES DA SILVA</t>
  </si>
  <si>
    <t>PAULO ALEX LUZ FERRAZ</t>
  </si>
  <si>
    <t>RONICLECIO MARQUES OJEDA</t>
  </si>
  <si>
    <t>HEITOR PIMENTA MARQUES</t>
  </si>
  <si>
    <t>HEVILIN AMANDA BORGES GORGEN</t>
  </si>
  <si>
    <t>1080.02.02.001</t>
  </si>
  <si>
    <t xml:space="preserve">MTRZ </t>
  </si>
  <si>
    <t xml:space="preserve"> SUPRIMENTOS/COMPRAS</t>
  </si>
  <si>
    <t xml:space="preserve"> CONTROLADORIA</t>
  </si>
  <si>
    <t xml:space="preserve">FESP </t>
  </si>
  <si>
    <t xml:space="preserve"> MDO ADM FAZENDA</t>
  </si>
  <si>
    <t xml:space="preserve"> MDO GESTAO AGRICOLA</t>
  </si>
  <si>
    <t xml:space="preserve"> MDO OPERADORES AGRICOLAS</t>
  </si>
  <si>
    <t xml:space="preserve"> FISCAL</t>
  </si>
  <si>
    <t xml:space="preserve"> ALMOXARIFADO</t>
  </si>
  <si>
    <t xml:space="preserve"> MECANICOS</t>
  </si>
  <si>
    <t xml:space="preserve"> MDO GESTAO MAN</t>
  </si>
  <si>
    <t xml:space="preserve"> FINANCEIRO</t>
  </si>
  <si>
    <t xml:space="preserve"> GESTAO DE PROCESSOS</t>
  </si>
  <si>
    <t xml:space="preserve"> PLANEJAMENTO AGRICOLA</t>
  </si>
  <si>
    <t xml:space="preserve">ECFO </t>
  </si>
  <si>
    <t xml:space="preserve"> FACILITIES</t>
  </si>
  <si>
    <t xml:space="preserve"> CIA</t>
  </si>
  <si>
    <t xml:space="preserve">FEAR </t>
  </si>
  <si>
    <t xml:space="preserve"> COMERCIAL</t>
  </si>
  <si>
    <t xml:space="preserve"> REFEITORIO</t>
  </si>
  <si>
    <t xml:space="preserve">RESI </t>
  </si>
  <si>
    <t xml:space="preserve"> THOMAS </t>
  </si>
  <si>
    <t xml:space="preserve"> PF LCDPR</t>
  </si>
  <si>
    <t xml:space="preserve"> MDO GESTAO ARMAZEM</t>
  </si>
  <si>
    <t xml:space="preserve"> SAÚDE E SEGURANÇA TRABALHO</t>
  </si>
  <si>
    <t xml:space="preserve"> GENTE E GESTAO</t>
  </si>
  <si>
    <t xml:space="preserve"> MDO MOTORISTAS AGRICOLAS</t>
  </si>
  <si>
    <t xml:space="preserve"> TI</t>
  </si>
  <si>
    <t xml:space="preserve"> MDO APOIO AGRICOLA</t>
  </si>
  <si>
    <t xml:space="preserve"> ESCRITORIO ADM</t>
  </si>
  <si>
    <t xml:space="preserve"> MDO MONITORES/TRAINEE</t>
  </si>
  <si>
    <t xml:space="preserve"> GESTAO PECUARIA</t>
  </si>
  <si>
    <t xml:space="preserve"> CONTABILIDADE</t>
  </si>
  <si>
    <t xml:space="preserve">FPER </t>
  </si>
  <si>
    <t xml:space="preserve">FPAR </t>
  </si>
  <si>
    <t xml:space="preserve"> MDO APOIO ARMAZEM</t>
  </si>
  <si>
    <t xml:space="preserve"> VIGILÂNCIA/PORTARIA</t>
  </si>
  <si>
    <t xml:space="preserve">FBAG </t>
  </si>
  <si>
    <t xml:space="preserve"> MDO OPERADORES ARMAZEM</t>
  </si>
  <si>
    <t xml:space="preserve"> MDO APOIO AGRICOLA TEMP</t>
  </si>
  <si>
    <t xml:space="preserve">FNOH </t>
  </si>
  <si>
    <t xml:space="preserve"> MDO GESTAO PECUARIA</t>
  </si>
  <si>
    <t xml:space="preserve">ERBR </t>
  </si>
  <si>
    <t xml:space="preserve"> MDO OPERACAO PASTAGEM</t>
  </si>
  <si>
    <t xml:space="preserve"> REFEITORIO PEC</t>
  </si>
  <si>
    <t xml:space="preserve"> FACILITIES PEC</t>
  </si>
  <si>
    <t xml:space="preserve">FBLA </t>
  </si>
  <si>
    <t xml:space="preserve">FSTV </t>
  </si>
  <si>
    <t xml:space="preserve"> MDO OPERACAO CONFINAMENTO</t>
  </si>
  <si>
    <t xml:space="preserve"> MDO ADM. FAZENDAS PEC</t>
  </si>
  <si>
    <t xml:space="preserve"> ADM. FAZENDAS</t>
  </si>
  <si>
    <t>Fazenda</t>
  </si>
  <si>
    <t>Liderado</t>
  </si>
  <si>
    <t xml:space="preserve">01.01.05-CIA </t>
  </si>
  <si>
    <t xml:space="preserve"> GERENTE SUPRIMENTOS E CIA</t>
  </si>
  <si>
    <t xml:space="preserve">01.01.08-CONTROLADORIA </t>
  </si>
  <si>
    <t xml:space="preserve"> COORD. CONTROLADORIA</t>
  </si>
  <si>
    <t xml:space="preserve">01.01.26-PLANEJAMENTO </t>
  </si>
  <si>
    <t xml:space="preserve"> GERENTE ADMINISTR. AGR E LOG</t>
  </si>
  <si>
    <t xml:space="preserve">01.13.36-MANUTENCAO AGR </t>
  </si>
  <si>
    <t xml:space="preserve"> COORD. MANUTENCAO</t>
  </si>
  <si>
    <t xml:space="preserve">01.13.24-GESTAO AGR </t>
  </si>
  <si>
    <t xml:space="preserve"> COORD. OPERACOES AGR</t>
  </si>
  <si>
    <t xml:space="preserve">01.02.09-DIRETORIA </t>
  </si>
  <si>
    <t xml:space="preserve"> DIRETOR OPERACOES AGRICOLAS</t>
  </si>
  <si>
    <t xml:space="preserve"> GERENTE AGR 20K HA</t>
  </si>
  <si>
    <t xml:space="preserve">01.01.14-FISCAL </t>
  </si>
  <si>
    <t xml:space="preserve"> SUPERVISOR FISCAL</t>
  </si>
  <si>
    <t xml:space="preserve">01.01.09-DIRETORIA </t>
  </si>
  <si>
    <t xml:space="preserve"> DIRETOR FINANCEIRO</t>
  </si>
  <si>
    <t xml:space="preserve">01.01.13-FINANCEIRO </t>
  </si>
  <si>
    <t xml:space="preserve"> GERENTE FINANCEIRO</t>
  </si>
  <si>
    <t xml:space="preserve"> SUPERVISOR FINANCEIRO</t>
  </si>
  <si>
    <t xml:space="preserve">01.10.24-GESTAO AGR </t>
  </si>
  <si>
    <t xml:space="preserve"> GERENTE AGR ATE 3K HA</t>
  </si>
  <si>
    <t xml:space="preserve"> GERENTE CONTROLADORIA E TI</t>
  </si>
  <si>
    <t xml:space="preserve">01.01.10-DPTO PESSOAL </t>
  </si>
  <si>
    <t xml:space="preserve"> SUPERVISOR DP</t>
  </si>
  <si>
    <t xml:space="preserve">01.13.78-SUP AGR MANUT/PLANT/COLHE </t>
  </si>
  <si>
    <t xml:space="preserve"> SUPERVISOR OPERACOES AGR</t>
  </si>
  <si>
    <t xml:space="preserve">01.13.01-ADM APOIO </t>
  </si>
  <si>
    <t xml:space="preserve"> SUPERVISOR ADM</t>
  </si>
  <si>
    <t xml:space="preserve"> ESPECIALISTA CONTROLADORIA</t>
  </si>
  <si>
    <t xml:space="preserve">01.13.05-ALMOXARIFADO ABAST </t>
  </si>
  <si>
    <t xml:space="preserve"> SUPERVISOR ALMOXARIFADO</t>
  </si>
  <si>
    <t xml:space="preserve">01.01.28-RH </t>
  </si>
  <si>
    <t xml:space="preserve"> GERENTE RH</t>
  </si>
  <si>
    <t xml:space="preserve">01.13.73-LIDER AGR MANUT/COLHE F02 </t>
  </si>
  <si>
    <t xml:space="preserve"> LIDER OPERACOES AGR</t>
  </si>
  <si>
    <t xml:space="preserve">01.11.43-OP. AGR </t>
  </si>
  <si>
    <t xml:space="preserve">01.15.24-GESTAO AGR </t>
  </si>
  <si>
    <t xml:space="preserve"> GERENTE AGR 3K A 7K HA</t>
  </si>
  <si>
    <t xml:space="preserve">01.15.63-SUP ARMAZEM </t>
  </si>
  <si>
    <t xml:space="preserve"> SUPERVISOR ARMAZEM</t>
  </si>
  <si>
    <t xml:space="preserve">01.15.65-SUP OPERACAO AGR </t>
  </si>
  <si>
    <t xml:space="preserve">01.12.24-GESTAO AGR </t>
  </si>
  <si>
    <t xml:space="preserve">01.17.31-GESTAO PEC </t>
  </si>
  <si>
    <t xml:space="preserve"> GERENTE AGROPECUARIA</t>
  </si>
  <si>
    <t xml:space="preserve">01.16.31-GESTAO PEC </t>
  </si>
  <si>
    <t xml:space="preserve">01.17.76-SUPERV PREP/PLANT/COLHE </t>
  </si>
  <si>
    <t xml:space="preserve">01.17.24-GESTAO AGR </t>
  </si>
  <si>
    <t xml:space="preserve">01.14.36-MANUTENCAO AGR </t>
  </si>
  <si>
    <t xml:space="preserve"> SUPERVISOR MANUTENCAO</t>
  </si>
  <si>
    <t xml:space="preserve">01.13.70-ARM COMIL </t>
  </si>
  <si>
    <t xml:space="preserve"> LIDER ARMAZEM</t>
  </si>
  <si>
    <t xml:space="preserve">01.13.69-ARM KW </t>
  </si>
  <si>
    <t xml:space="preserve">01.14.70-MONITOR AGR PREP/PLANT </t>
  </si>
  <si>
    <t xml:space="preserve"> MONITOR CAMPO</t>
  </si>
  <si>
    <t xml:space="preserve">01.14.24-GESTAO AGR </t>
  </si>
  <si>
    <t xml:space="preserve"> GERENTE AGR 7K A 12K HA</t>
  </si>
  <si>
    <t>Cargo Lider</t>
  </si>
  <si>
    <t>N1</t>
  </si>
  <si>
    <t>Coluna2</t>
  </si>
  <si>
    <t>N2</t>
  </si>
  <si>
    <t>Setor</t>
  </si>
  <si>
    <t>N3</t>
  </si>
  <si>
    <t>N4</t>
  </si>
  <si>
    <t>N5</t>
  </si>
  <si>
    <t>Area</t>
  </si>
  <si>
    <t>Nivel</t>
  </si>
  <si>
    <t>Lider</t>
  </si>
  <si>
    <t>Coluna1</t>
  </si>
  <si>
    <t>Coluna3</t>
  </si>
  <si>
    <t>Coluna4</t>
  </si>
  <si>
    <t>Coluna5</t>
  </si>
  <si>
    <t>Diretor</t>
  </si>
  <si>
    <t>Gerente</t>
  </si>
  <si>
    <t>Supervisor</t>
  </si>
  <si>
    <t>Empresa</t>
  </si>
  <si>
    <t>NomeEmpresa</t>
  </si>
  <si>
    <t>Filial</t>
  </si>
  <si>
    <t>Tipo</t>
  </si>
  <si>
    <t>Cadastro</t>
  </si>
  <si>
    <t>CPF</t>
  </si>
  <si>
    <t>Diretores N1</t>
  </si>
  <si>
    <t>Unidade de negócio</t>
  </si>
  <si>
    <t>Gerentes N2</t>
  </si>
  <si>
    <t>Coordenadores N3</t>
  </si>
  <si>
    <t>Supervisores N4</t>
  </si>
  <si>
    <t>Líder N5</t>
  </si>
  <si>
    <t>NomeFuncionario</t>
  </si>
  <si>
    <t>Nascimento</t>
  </si>
  <si>
    <t>Sexo</t>
  </si>
  <si>
    <t>DescricaoSexo</t>
  </si>
  <si>
    <t>EstadoCivil</t>
  </si>
  <si>
    <t>DescricaoEstadoCivil</t>
  </si>
  <si>
    <t>Raça</t>
  </si>
  <si>
    <t>DescricaoRaca</t>
  </si>
  <si>
    <t>GrauInstrucao</t>
  </si>
  <si>
    <t>DescricaoGrau</t>
  </si>
  <si>
    <t>Cargo</t>
  </si>
  <si>
    <t>DataCargo</t>
  </si>
  <si>
    <t>Causa</t>
  </si>
  <si>
    <t>DescricaoCausa</t>
  </si>
  <si>
    <t>Admissao</t>
  </si>
  <si>
    <t>Deficiencia</t>
  </si>
  <si>
    <t>CodigoNacionalidade</t>
  </si>
  <si>
    <t>Nacionalidade</t>
  </si>
  <si>
    <t>Afastamento</t>
  </si>
  <si>
    <t>TipoAdmissao</t>
  </si>
  <si>
    <t>Posto</t>
  </si>
  <si>
    <t>DescricaoLocal</t>
  </si>
  <si>
    <t>DescricaoCentroDeCusto</t>
  </si>
  <si>
    <t>DataCentroDeCusto</t>
  </si>
  <si>
    <t>Classe</t>
  </si>
  <si>
    <t>Faixa</t>
  </si>
  <si>
    <t>Salario</t>
  </si>
  <si>
    <t>DataSalario</t>
  </si>
  <si>
    <t>%Periculosidade</t>
  </si>
  <si>
    <t>%Insalubridade</t>
  </si>
  <si>
    <t>Complemento</t>
  </si>
  <si>
    <t>Gratificacao</t>
  </si>
  <si>
    <t>Suplementar</t>
  </si>
  <si>
    <t>Interjornada</t>
  </si>
  <si>
    <t>Escala</t>
  </si>
  <si>
    <t>DescricaoEscala</t>
  </si>
  <si>
    <t>Turma</t>
  </si>
  <si>
    <t>CadastroLider</t>
  </si>
  <si>
    <t>NomeLider</t>
  </si>
  <si>
    <t>PostoLider</t>
  </si>
  <si>
    <t>Área de atuação</t>
  </si>
  <si>
    <t>Fixo/Safrista</t>
  </si>
  <si>
    <t>JOSE MATIAS MICHELS</t>
  </si>
  <si>
    <t>1</t>
  </si>
  <si>
    <t>402.148.931-20</t>
  </si>
  <si>
    <t>F</t>
  </si>
  <si>
    <t>Feminino</t>
  </si>
  <si>
    <t>2</t>
  </si>
  <si>
    <t>Casado</t>
  </si>
  <si>
    <t>Branca</t>
  </si>
  <si>
    <t>7</t>
  </si>
  <si>
    <t>Ensino Médio Completo</t>
  </si>
  <si>
    <t>0130</t>
  </si>
  <si>
    <t>00</t>
  </si>
  <si>
    <t>010</t>
  </si>
  <si>
    <t>Brasileiro</t>
  </si>
  <si>
    <t>00/00/0000</t>
  </si>
  <si>
    <t>02</t>
  </si>
  <si>
    <t>E002.F003.MTRZ.0036</t>
  </si>
  <si>
    <t>01.01.31-SUPRIMENTOS | ESPECIALISTA SUPRIMENTOS</t>
  </si>
  <si>
    <t>MTRZ - SUPRIMENTOS/COMPRAS</t>
  </si>
  <si>
    <t>A</t>
  </si>
  <si>
    <t>07:30 11:00 13:00 17:30</t>
  </si>
  <si>
    <t>19033</t>
  </si>
  <si>
    <t>E002.F003.MTRZ.0254</t>
  </si>
  <si>
    <t>01.01.05-CIA | GERENTE SUPRIMENTOS E CIA</t>
  </si>
  <si>
    <t>Suprimentos</t>
  </si>
  <si>
    <t>776.515.371-49</t>
  </si>
  <si>
    <t>9</t>
  </si>
  <si>
    <t>Superior Completo</t>
  </si>
  <si>
    <t>0080</t>
  </si>
  <si>
    <t>04</t>
  </si>
  <si>
    <t>E002.F003.MTRZ.0258</t>
  </si>
  <si>
    <t>01.01.08-CONTROLADORIA | COORD. FINANCEIRO</t>
  </si>
  <si>
    <t>MTRZ - CONTROLADORIA</t>
  </si>
  <si>
    <t>ADM 08:00 AS 18:00 RIGIDO</t>
  </si>
  <si>
    <t>18280</t>
  </si>
  <si>
    <t>E002.F003.MTRZ.0015</t>
  </si>
  <si>
    <t>01.01.08-CONTROLADORIA | COORD. CONTROLADORIA</t>
  </si>
  <si>
    <t>Controladoria/Financeiro</t>
  </si>
  <si>
    <t>053.766.201-40</t>
  </si>
  <si>
    <t>0201</t>
  </si>
  <si>
    <t>E002.F005.FESP.0208</t>
  </si>
  <si>
    <t>01.13.01-ADM APOIO | SUPERVISOR ADM</t>
  </si>
  <si>
    <t>FESP - MDO ADM FAZENDA</t>
  </si>
  <si>
    <t>ADM 07:30 AS 18:00 RIGIDO</t>
  </si>
  <si>
    <t>9533</t>
  </si>
  <si>
    <t>E002.F003.MTRZ.0257</t>
  </si>
  <si>
    <t>01.01.26-PLANEJAMENTO | GERENTE ADMINISTR. AGR E LOG</t>
  </si>
  <si>
    <t>Administrativo</t>
  </si>
  <si>
    <t>024.189.791-21</t>
  </si>
  <si>
    <t>M</t>
  </si>
  <si>
    <t>Masculino</t>
  </si>
  <si>
    <t>Solteiro</t>
  </si>
  <si>
    <t>0163</t>
  </si>
  <si>
    <t>E002.F005.FESP.0340</t>
  </si>
  <si>
    <t>01.13.73-LIDER AGR MANUT/PLANT | LIDER OPERACOES AGR</t>
  </si>
  <si>
    <t>FESP - MDO GESTAO AGRICOLA</t>
  </si>
  <si>
    <t>ESCALA PADRAO FESP</t>
  </si>
  <si>
    <t>5614</t>
  </si>
  <si>
    <t>E002.F005.FESP.0053</t>
  </si>
  <si>
    <t>01.13.36-MANUTENCAO AGR | COORD. MANUTENCAO</t>
  </si>
  <si>
    <t>Preparo/Plantio</t>
  </si>
  <si>
    <t>780.876.512-00</t>
  </si>
  <si>
    <t>4</t>
  </si>
  <si>
    <t>Parda</t>
  </si>
  <si>
    <t>Até 5º Ano Incompleto Ens.Fun.</t>
  </si>
  <si>
    <t>0185</t>
  </si>
  <si>
    <t>E002.F005.FESP.0362</t>
  </si>
  <si>
    <t>01.13.83-OP. AGR DEF/SOLID F01 | OPERADOR MAQUINAS AGR</t>
  </si>
  <si>
    <t>FESP - MDO OPERADORES AGRICOLAS</t>
  </si>
  <si>
    <t>12998</t>
  </si>
  <si>
    <t>E002.F005.FESP.0048</t>
  </si>
  <si>
    <t>01.13.24-GESTAO AGR | COORD. OPERACOES AGR</t>
  </si>
  <si>
    <t>Pulverização</t>
  </si>
  <si>
    <t>002.095.151-55</t>
  </si>
  <si>
    <t>5</t>
  </si>
  <si>
    <t>Ensino Fundamental Completo</t>
  </si>
  <si>
    <t>0141</t>
  </si>
  <si>
    <t>E002.F005.FESP.0499</t>
  </si>
  <si>
    <t>01.13.24-GESTAO AGR | GERENTE AGR 20K HA</t>
  </si>
  <si>
    <t>16</t>
  </si>
  <si>
    <t>E002.F005.ECFO.0231</t>
  </si>
  <si>
    <t>01.02.09-DIRETORIA | DIRETOR OPERACOES AGRICOLAS</t>
  </si>
  <si>
    <t>Gerência</t>
  </si>
  <si>
    <t>013.173.111-40</t>
  </si>
  <si>
    <t>0214</t>
  </si>
  <si>
    <t>E002.F005.FESP.0326</t>
  </si>
  <si>
    <t>01.13.78-SUP AGR MANUT/PLANT/COLHE | SUPERVISOR OPERACOES AGR</t>
  </si>
  <si>
    <t>171</t>
  </si>
  <si>
    <t>Operações</t>
  </si>
  <si>
    <t>031.841.821-50</t>
  </si>
  <si>
    <t>0018</t>
  </si>
  <si>
    <t>E002.F003.MTRZ.0024</t>
  </si>
  <si>
    <t>01.01.14-FISCAL | ANALISTA FISCAL</t>
  </si>
  <si>
    <t>MTRZ - FISCAL</t>
  </si>
  <si>
    <t>ADM 08:00 AS 18:30 RIGIDO</t>
  </si>
  <si>
    <t>5161</t>
  </si>
  <si>
    <t>E002.F003.MTRZ.0026</t>
  </si>
  <si>
    <t>01.01.14-FISCAL | SUPERVISOR FISCAL</t>
  </si>
  <si>
    <t>Controladoria/Fiscal</t>
  </si>
  <si>
    <t>026.697.211-09</t>
  </si>
  <si>
    <t>Preta/Negra</t>
  </si>
  <si>
    <t>0202</t>
  </si>
  <si>
    <t>E002.F005.FESP.0211</t>
  </si>
  <si>
    <t>01.13.05-ALMOXARIFADO ABAST | SUPERVISOR ALMOXARIFADO</t>
  </si>
  <si>
    <t>FESP - ALMOXARIFADO</t>
  </si>
  <si>
    <t>I</t>
  </si>
  <si>
    <t>038.476.851-20</t>
  </si>
  <si>
    <t>6º ao 9º Incompleto Ens.Fund.</t>
  </si>
  <si>
    <t>E002.F005.FESP.0342</t>
  </si>
  <si>
    <t>01.13.73-LIDER AGR MANUT/COLHE F02 | LIDER OPERACOES AGR</t>
  </si>
  <si>
    <t>Colheita/Manutenção</t>
  </si>
  <si>
    <t>040.626.021-48</t>
  </si>
  <si>
    <t>E002.F005.FESP.0358</t>
  </si>
  <si>
    <t>01.13.77-OP. AGR MANUT/COLHE F01 | OPERADOR MAQUINAS AGR</t>
  </si>
  <si>
    <t>004.254.681-86</t>
  </si>
  <si>
    <t>E002.F005.FESP.0361</t>
  </si>
  <si>
    <t>01.13.82-OP. AGR MANUT/PREP/PLANT | OPERADOR MAQUINAS AGR</t>
  </si>
  <si>
    <t>094.068.889-12</t>
  </si>
  <si>
    <t>041.989.949-94</t>
  </si>
  <si>
    <t>0164</t>
  </si>
  <si>
    <t>E002.F005.FESP.0054</t>
  </si>
  <si>
    <t>01.13.36-MANUTENCAO AGR | MECANICO</t>
  </si>
  <si>
    <t>FESP - MECANICOS</t>
  </si>
  <si>
    <t>Manutenção</t>
  </si>
  <si>
    <t>033.809.931-07</t>
  </si>
  <si>
    <t>0209</t>
  </si>
  <si>
    <t>745.445.519-00</t>
  </si>
  <si>
    <t>0085</t>
  </si>
  <si>
    <t>FESP - MDO GESTAO MAN</t>
  </si>
  <si>
    <t>752.985.541-72</t>
  </si>
  <si>
    <t>0149</t>
  </si>
  <si>
    <t>E002.F003.MTRZ.0022</t>
  </si>
  <si>
    <t>01.01.13-FINANCEIRO | GERENTE FINANCEIRO</t>
  </si>
  <si>
    <t>MTRZ - FINANCEIRO</t>
  </si>
  <si>
    <t>10</t>
  </si>
  <si>
    <t>E002.F003.MTRZ.0229</t>
  </si>
  <si>
    <t>01.01.09-DIRETORIA | DIRETOR FINANCEIRO</t>
  </si>
  <si>
    <t>Gerência Financeiro</t>
  </si>
  <si>
    <t>022.996.391-95</t>
  </si>
  <si>
    <t>0208</t>
  </si>
  <si>
    <t>E002.F003.MTRZ.0023</t>
  </si>
  <si>
    <t>01.01.13-FINANCEIRO | SUPERVISOR FINANCEIRO</t>
  </si>
  <si>
    <t>6457</t>
  </si>
  <si>
    <t>Financeiro</t>
  </si>
  <si>
    <t>105.023.219-46</t>
  </si>
  <si>
    <t>6</t>
  </si>
  <si>
    <t>Ensino Médio Incompleto</t>
  </si>
  <si>
    <t>605.452.953-60</t>
  </si>
  <si>
    <t>027.927.581-12</t>
  </si>
  <si>
    <t>0193</t>
  </si>
  <si>
    <t>E002.F005.FESP.0063</t>
  </si>
  <si>
    <t>01.13.51-PILOTO AGR | PILOTO AERONAVE AGR</t>
  </si>
  <si>
    <t>754.859.071-72</t>
  </si>
  <si>
    <t>E002.F005.FESP.0341</t>
  </si>
  <si>
    <t>01.13.74-LIDER AGR MANUT/COLHE F01 | LIDER OPERACOES AGR</t>
  </si>
  <si>
    <t>016.681.281-10</t>
  </si>
  <si>
    <t>0128</t>
  </si>
  <si>
    <t>E002.F003.MTRZ.0007</t>
  </si>
  <si>
    <t>01.01.01-ADM | ESPECIALISTA PROCESSOS</t>
  </si>
  <si>
    <t>MTRZ - GESTAO DE PROCESSOS</t>
  </si>
  <si>
    <t>Processos</t>
  </si>
  <si>
    <t>048.583.729-36</t>
  </si>
  <si>
    <t>0137</t>
  </si>
  <si>
    <t>GERENTE ADMINISTR. AGR E LOG</t>
  </si>
  <si>
    <t>MTRZ - PLANEJAMENTO AGRICOLA</t>
  </si>
  <si>
    <t>Adm Agr e Log</t>
  </si>
  <si>
    <t>021.621.921-36</t>
  </si>
  <si>
    <t>0017</t>
  </si>
  <si>
    <t>E002.F005.ECFO.0041</t>
  </si>
  <si>
    <t>01.02.13-FINANCEIRO | ANALISTA FINANCEIRO</t>
  </si>
  <si>
    <t>ECFO - FINANCEIRO</t>
  </si>
  <si>
    <t>7421</t>
  </si>
  <si>
    <t>030.859.931-42</t>
  </si>
  <si>
    <t>0227</t>
  </si>
  <si>
    <t>E002.F005.FESP.0466</t>
  </si>
  <si>
    <t>01.13.87-TAP PATIO | TRAB. AGR POLIVALENTE</t>
  </si>
  <si>
    <t>FESP - FACILITIES</t>
  </si>
  <si>
    <t>Apoio</t>
  </si>
  <si>
    <t>406.934.288-56</t>
  </si>
  <si>
    <t>E002.F005.FESP.0065</t>
  </si>
  <si>
    <t>01.13.67-SUPRIMENTOS | ESPECIALISTA SUPRIMENTOS</t>
  </si>
  <si>
    <t>FESP - SUPRIMENTOS/COMPRAS</t>
  </si>
  <si>
    <t>007.455.761-09</t>
  </si>
  <si>
    <t>0031</t>
  </si>
  <si>
    <t>E002.F003.MTRZ.0034</t>
  </si>
  <si>
    <t>01.01.31-SUPRIMENTOS | ANALISTA SUPRIMENTOS</t>
  </si>
  <si>
    <t>010.781.181-24</t>
  </si>
  <si>
    <t>0113</t>
  </si>
  <si>
    <t>E002.F003.MTRZ.0032</t>
  </si>
  <si>
    <t>01.01.05-CIA | ESPECIALISTA AGR DIGITAL</t>
  </si>
  <si>
    <t>MTRZ - CIA</t>
  </si>
  <si>
    <t>049.447.601-08</t>
  </si>
  <si>
    <t>0034</t>
  </si>
  <si>
    <t>01</t>
  </si>
  <si>
    <t>E002.F003.MTRZ.0256</t>
  </si>
  <si>
    <t>01.01.34-FOLLOW UP INSUMOS | ASSISTENTE ADM</t>
  </si>
  <si>
    <t>Adm Agr</t>
  </si>
  <si>
    <t>064.281.221-70</t>
  </si>
  <si>
    <t>0007</t>
  </si>
  <si>
    <t>E002.F005.FESP.0052</t>
  </si>
  <si>
    <t>01.13.36-MANUTENCAO AGR | ANALISTA ADM</t>
  </si>
  <si>
    <t>036.685.071-71</t>
  </si>
  <si>
    <t>0118</t>
  </si>
  <si>
    <t>E002.F003.MTRZ.0243</t>
  </si>
  <si>
    <t>01.01.08-CONTROLADORIA | ESPECIALISTA CONTROLADORIA</t>
  </si>
  <si>
    <t>Controladoria</t>
  </si>
  <si>
    <t>015.956.131-02</t>
  </si>
  <si>
    <t>0126</t>
  </si>
  <si>
    <t>E002.F003.MTRZ.0027</t>
  </si>
  <si>
    <t>01.01.26-PLANEJAMENTO | ESPECIALISTA PCP</t>
  </si>
  <si>
    <t>710.317.662-00</t>
  </si>
  <si>
    <t>0</t>
  </si>
  <si>
    <t>E002.F002.FEAR.0004</t>
  </si>
  <si>
    <t>01.10.43-OP. AGR | OPERADOR MAQUINAS AGR</t>
  </si>
  <si>
    <t>FEAR - MDO OPERADORES AGRICOLAS</t>
  </si>
  <si>
    <t>16035</t>
  </si>
  <si>
    <t>E002.F002.FEAR.0002</t>
  </si>
  <si>
    <t>01.10.24-GESTAO AGR | GERENTE AGR ATE 3K HA</t>
  </si>
  <si>
    <t>041.236.871-48</t>
  </si>
  <si>
    <t>E002.F003.MTRZ.0011</t>
  </si>
  <si>
    <t>01.01.06-COMERCIAL | ASSISTENTE ADM</t>
  </si>
  <si>
    <t>MTRZ - COMERCIAL</t>
  </si>
  <si>
    <t>Comercial</t>
  </si>
  <si>
    <t>625.911.691-87</t>
  </si>
  <si>
    <t>SELMA SILVA VIEIRA</t>
  </si>
  <si>
    <t>3</t>
  </si>
  <si>
    <t>Divorciado</t>
  </si>
  <si>
    <t>0135</t>
  </si>
  <si>
    <t>FAXINEIRO ADM</t>
  </si>
  <si>
    <t>E002.F003.MTRZ.0018</t>
  </si>
  <si>
    <t>01.01.12-FACILITIES | FAXINEIRO ADM</t>
  </si>
  <si>
    <t>1000.02.01.010</t>
  </si>
  <si>
    <t>MTRZ - RECEPCAO/FACILITIES</t>
  </si>
  <si>
    <t>ADM FAXINEIRA VESPERTINO</t>
  </si>
  <si>
    <t>Gente &amp; Gestão/Facilities</t>
  </si>
  <si>
    <t>700.886.711-51</t>
  </si>
  <si>
    <t>0086</t>
  </si>
  <si>
    <t>01.13.24-GESTAO AGR | GERENTE AGR 20K HÁ</t>
  </si>
  <si>
    <t>Área técnica</t>
  </si>
  <si>
    <t>700.819.911-26</t>
  </si>
  <si>
    <t>8</t>
  </si>
  <si>
    <t>Superior Incompleto</t>
  </si>
  <si>
    <t>E002.F003.MTRZ.0019</t>
  </si>
  <si>
    <t>01.01.13-FINANCEIRO | ANALISTA FINANCEIRO</t>
  </si>
  <si>
    <t>631.603.072-04</t>
  </si>
  <si>
    <t>0096</t>
  </si>
  <si>
    <t>E002.F002.FEAR.0005</t>
  </si>
  <si>
    <t>01.10.55-REFEITORIO | COZINHEIRO</t>
  </si>
  <si>
    <t>FEAR - REFEITORIO</t>
  </si>
  <si>
    <t>Facilities</t>
  </si>
  <si>
    <t>304.496.771-68</t>
  </si>
  <si>
    <t>0226</t>
  </si>
  <si>
    <t>E002.F005.FESP.0055</t>
  </si>
  <si>
    <t>01.13.36-MANUTENCAO AGR | TORNEIRO MECANICO</t>
  </si>
  <si>
    <t>625.953.181-87</t>
  </si>
  <si>
    <t>NA</t>
  </si>
  <si>
    <t>0057</t>
  </si>
  <si>
    <t>E002.F003.FPER.0515</t>
  </si>
  <si>
    <t>01.99.03-THOMAS PF LCDPR | AUXILIAR ADM</t>
  </si>
  <si>
    <t>RESI - THOMAS - PF LCDPR</t>
  </si>
  <si>
    <t>X</t>
  </si>
  <si>
    <t>029.173.281-00</t>
  </si>
  <si>
    <t>011.746.333-79</t>
  </si>
  <si>
    <t>0161</t>
  </si>
  <si>
    <t>E002.F005.FESP.0464</t>
  </si>
  <si>
    <t>01.13.69-ARM KW | LIDER ARMAZEM</t>
  </si>
  <si>
    <t>FESP - MDO GESTAO ARMAZEM</t>
  </si>
  <si>
    <t>Armazém</t>
  </si>
  <si>
    <t>009.879.030-71</t>
  </si>
  <si>
    <t>União Estável</t>
  </si>
  <si>
    <t>019.538.521-73</t>
  </si>
  <si>
    <t>Pós-Graduação/Espec.Completo</t>
  </si>
  <si>
    <t>0244</t>
  </si>
  <si>
    <t>E002.F003.MTRZ.0255</t>
  </si>
  <si>
    <t>01.01.08-CONTROLADORIA | GERENTE CONTROLADORIA E TI</t>
  </si>
  <si>
    <t>Gerência Controladoria e TI</t>
  </si>
  <si>
    <t>043.029.971-09</t>
  </si>
  <si>
    <t>047.754.621-80</t>
  </si>
  <si>
    <t>E002.F003.MTRZ.0033</t>
  </si>
  <si>
    <t>01.01.30-SSMA | ANALISTA ADM</t>
  </si>
  <si>
    <t>MTRZ - SAÚDE E SEGURANÇA TRABALHO</t>
  </si>
  <si>
    <t>07:12 11:00 13:00 18:00</t>
  </si>
  <si>
    <t>13403</t>
  </si>
  <si>
    <t>Gente &amp; Gestão/SST</t>
  </si>
  <si>
    <t>707.929.401-05</t>
  </si>
  <si>
    <t>0016</t>
  </si>
  <si>
    <t>E002.F003.MTRZ.0247</t>
  </si>
  <si>
    <t>01.01.10-DPTO PESSOAL | ANALISTA DP</t>
  </si>
  <si>
    <t>MTRZ - GENTE E GESTAO</t>
  </si>
  <si>
    <t>20330</t>
  </si>
  <si>
    <t>E002.F003.MTRZ.0248</t>
  </si>
  <si>
    <t>01.01.10-DPTO PESSOAL | SUPERVISOR DP</t>
  </si>
  <si>
    <t>Gente &amp; Gestão/DP</t>
  </si>
  <si>
    <t>019.922.311-41</t>
  </si>
  <si>
    <t>5º Ano Completo Ensino Fund.</t>
  </si>
  <si>
    <t>0171</t>
  </si>
  <si>
    <t>E002.F005.FESP.0058</t>
  </si>
  <si>
    <t>01.13.40-MOT COMBOIO | MOTORISTA COMBOIO</t>
  </si>
  <si>
    <t>FESP - MDO MOTORISTAS AGRICOLAS</t>
  </si>
  <si>
    <t>060.221.551-00</t>
  </si>
  <si>
    <t>E002.F003.MTRZ.0035</t>
  </si>
  <si>
    <t>01.01.31-SUPRIMENTOS | ASSISTENTE ADM</t>
  </si>
  <si>
    <t>032.962.665-50</t>
  </si>
  <si>
    <t>JUCILENE PEREIRA DA SILVA</t>
  </si>
  <si>
    <t>053.859.401-27</t>
  </si>
  <si>
    <t>019.826.921-89</t>
  </si>
  <si>
    <t>0132</t>
  </si>
  <si>
    <t>E002.F003.MTRZ.0037</t>
  </si>
  <si>
    <t>01.01.32-TI | ESPECIALISTA TI</t>
  </si>
  <si>
    <t>MTRZ - TI</t>
  </si>
  <si>
    <t>022.539.861-35</t>
  </si>
  <si>
    <t>085.856.005-43</t>
  </si>
  <si>
    <t>Adubação</t>
  </si>
  <si>
    <t>700.246.081-14</t>
  </si>
  <si>
    <t>043.381.861-19</t>
  </si>
  <si>
    <t>913.737.001-49</t>
  </si>
  <si>
    <t>007.871.303-03</t>
  </si>
  <si>
    <t>0066</t>
  </si>
  <si>
    <t>E002.F005.FESP.0494</t>
  </si>
  <si>
    <t>01.13.58-SERV GERAIS AGR | AUXILIAR PRODUCAO AGR</t>
  </si>
  <si>
    <t>FESP - MDO APOIO AGRICOLA</t>
  </si>
  <si>
    <t>843.404.521-49</t>
  </si>
  <si>
    <t>0188</t>
  </si>
  <si>
    <t>E002.F005.FESP.0062</t>
  </si>
  <si>
    <t>01.13.43-OP. AGR | OPERADOR MOTONIVELADORA AGR</t>
  </si>
  <si>
    <t>038.877.861-06</t>
  </si>
  <si>
    <t>E002.F002.FEAR.0210</t>
  </si>
  <si>
    <t>01.10.34-LIDER AGR | LIDER OPERACOES AGR</t>
  </si>
  <si>
    <t>FEAR - MDO GESTAO AGRICOLA</t>
  </si>
  <si>
    <t>066.150.851-00</t>
  </si>
  <si>
    <t>E002.F005.FESP.0363</t>
  </si>
  <si>
    <t>01.13.84-OP. AGR DEF/SOLID F02 | OPERADOR MAQUINAS AGR</t>
  </si>
  <si>
    <t>175</t>
  </si>
  <si>
    <t>074.269.181-06</t>
  </si>
  <si>
    <t>E002.F005.ECFO.0038</t>
  </si>
  <si>
    <t>01.02.01-ADM | ANALISTA ADM</t>
  </si>
  <si>
    <t>ECFO - ESCRITORIO ADM</t>
  </si>
  <si>
    <t>007.285.441-30</t>
  </si>
  <si>
    <t>700.886.701-80</t>
  </si>
  <si>
    <t>0230</t>
  </si>
  <si>
    <t>E002.F002.FEAR.0237</t>
  </si>
  <si>
    <t>01.10.37-MONITOR AGR | TRAINEE AGR</t>
  </si>
  <si>
    <t>FEAR - MDO MONITORES/TRAINEE</t>
  </si>
  <si>
    <t>047.513.381-10</t>
  </si>
  <si>
    <t>035.129.171-78</t>
  </si>
  <si>
    <t>053.457.369-01</t>
  </si>
  <si>
    <t>0143</t>
  </si>
  <si>
    <t>003.283.133-19</t>
  </si>
  <si>
    <t>E002.F005.FESP.0364</t>
  </si>
  <si>
    <t>01.13.85-OP. AGR DEF CALDEIRO F01 | OPERADOR MAQUINAS AGR</t>
  </si>
  <si>
    <t>548.511.901-82</t>
  </si>
  <si>
    <t>0170</t>
  </si>
  <si>
    <t>E002.F005.FESP.0057</t>
  </si>
  <si>
    <t>01.13.39-MOT APOIO AGR | MOTORISTA APOIO</t>
  </si>
  <si>
    <t>19</t>
  </si>
  <si>
    <t>704.262.171-95</t>
  </si>
  <si>
    <t>THAMELLA FERREIRA DA SILVA</t>
  </si>
  <si>
    <t>E002.F003.MTRZ.0017</t>
  </si>
  <si>
    <t>01.01.12-FACILITIES | ASSISTENTE ADM</t>
  </si>
  <si>
    <t>046.212.481-97</t>
  </si>
  <si>
    <t>088.443.413-36</t>
  </si>
  <si>
    <t>ELIZETE DE SOUSA SANTOS</t>
  </si>
  <si>
    <t>0162</t>
  </si>
  <si>
    <t>LIDER COZINHA</t>
  </si>
  <si>
    <t>E002.F005.FESP.0519</t>
  </si>
  <si>
    <t>01.13.55-REFEITORIO | LIDER COZINHA</t>
  </si>
  <si>
    <t>FESP - REFEITORIO</t>
  </si>
  <si>
    <t>FESP 07h 12h 15h 18h REF</t>
  </si>
  <si>
    <t>707.409.981-37</t>
  </si>
  <si>
    <t>130.238.016-81</t>
  </si>
  <si>
    <t>048.250.573-73</t>
  </si>
  <si>
    <t>E002.F005.FESP.0061</t>
  </si>
  <si>
    <t>01.13.43-OP. AGR | OPERADOR MAQUINAS AGR</t>
  </si>
  <si>
    <t>038.000.501-88</t>
  </si>
  <si>
    <t>420.026.238-05</t>
  </si>
  <si>
    <t>002.045.301-99</t>
  </si>
  <si>
    <t>0025</t>
  </si>
  <si>
    <t>E002.F003.MTRZ.0008</t>
  </si>
  <si>
    <t>01.01.05-CIA | ANALISTA PCP</t>
  </si>
  <si>
    <t>014.701.691-69</t>
  </si>
  <si>
    <t>004.910.811-54</t>
  </si>
  <si>
    <t>E002.F005.FESP.0043</t>
  </si>
  <si>
    <t>01.13.01-ADM APOIO | ASSISTENTE ADM</t>
  </si>
  <si>
    <t>047.198.101-01</t>
  </si>
  <si>
    <t>0078</t>
  </si>
  <si>
    <t>701.870.001-90</t>
  </si>
  <si>
    <t>E002.F005.FESP.0328</t>
  </si>
  <si>
    <t>01.13.80-SUP AGR PLANTIO | SUPERVISOR OPERACOES AGR</t>
  </si>
  <si>
    <t>036.414.691-55</t>
  </si>
  <si>
    <t>055.524.031-26</t>
  </si>
  <si>
    <t>0167</t>
  </si>
  <si>
    <t>E002.F005.FESP.0056</t>
  </si>
  <si>
    <t>01.13.37-MONITOR AGR | MONITOR CAMPO</t>
  </si>
  <si>
    <t>FESP - MDO MONITORES/TRAINEE</t>
  </si>
  <si>
    <t>038.093.441-84</t>
  </si>
  <si>
    <t>075.988.771-30</t>
  </si>
  <si>
    <t>061.649.251-00</t>
  </si>
  <si>
    <t>LUCAS GABRIEL OLIVEIRA LIMA</t>
  </si>
  <si>
    <t>E002.F005.ECFO.0039</t>
  </si>
  <si>
    <t>01.02.12-FACILITIES | AUXILIAR ADM</t>
  </si>
  <si>
    <t>1001.02.01.010</t>
  </si>
  <si>
    <t>ECFO - RECEPCAO/FACILITIES</t>
  </si>
  <si>
    <t>034.935.511-85</t>
  </si>
  <si>
    <t>061.537.611-86</t>
  </si>
  <si>
    <t>0242</t>
  </si>
  <si>
    <t>E002.F003.MTRZ.0244</t>
  </si>
  <si>
    <t>01.01.08-CONTROLADORIA | ASSISTENTE CONTROLADORIA</t>
  </si>
  <si>
    <t>11930</t>
  </si>
  <si>
    <t>074.036.496-05</t>
  </si>
  <si>
    <t>0243</t>
  </si>
  <si>
    <t>Gerência Suprimentos e CIA</t>
  </si>
  <si>
    <t>046.075.141-79</t>
  </si>
  <si>
    <t>015.966.541-80</t>
  </si>
  <si>
    <t>ROSILDA PARENTE AGUIAR</t>
  </si>
  <si>
    <t>0134</t>
  </si>
  <si>
    <t>E002.F005.ECFO.0040</t>
  </si>
  <si>
    <t>01.02.12-FACILITIES | FAXINEIRO</t>
  </si>
  <si>
    <t>06:00 a 12:00(Meio P)seg a Sab</t>
  </si>
  <si>
    <t>706.246.121-04</t>
  </si>
  <si>
    <t>0043</t>
  </si>
  <si>
    <t>E002.F003.MTRZ.0245</t>
  </si>
  <si>
    <t>01.01.14-FISCAL | ASSISTENTE FISCAL</t>
  </si>
  <si>
    <t>068.305.813-46</t>
  </si>
  <si>
    <t>0006</t>
  </si>
  <si>
    <t>E002.F005.FESP.0044</t>
  </si>
  <si>
    <t>01.13.05-ALMOXARIFADO ABAST | ALMOXARIFE</t>
  </si>
  <si>
    <t>780</t>
  </si>
  <si>
    <t>024.814.591-64</t>
  </si>
  <si>
    <t>E002.F003.MTRZ.0178</t>
  </si>
  <si>
    <t>01.01.01-ADM | ANALISTA PCP</t>
  </si>
  <si>
    <t>MTRZ - GESTAO PECUARIA</t>
  </si>
  <si>
    <t>Adm Pec</t>
  </si>
  <si>
    <t>605.005.533-51</t>
  </si>
  <si>
    <t>630.345.003-27</t>
  </si>
  <si>
    <t>704.527.591-96</t>
  </si>
  <si>
    <t>0200</t>
  </si>
  <si>
    <t>E002.F005.FESP.0196</t>
  </si>
  <si>
    <t>01.13.60-SOLDADOR | SOLDADOR</t>
  </si>
  <si>
    <t>07:30 11:30 13:00 17:00</t>
  </si>
  <si>
    <t>046.395.761-02</t>
  </si>
  <si>
    <t>978.763.641-87</t>
  </si>
  <si>
    <t>700.305.571-60</t>
  </si>
  <si>
    <t>0237</t>
  </si>
  <si>
    <t>E002.F003.MTRZ.0224</t>
  </si>
  <si>
    <t>01.01.28-RH | ANALISTA R&amp;S</t>
  </si>
  <si>
    <t>18965</t>
  </si>
  <si>
    <t>E002.F003.MTRZ.0232</t>
  </si>
  <si>
    <t>01.01.28-RH | GERENTE RH</t>
  </si>
  <si>
    <t>Gente &amp; Gestão/RH</t>
  </si>
  <si>
    <t>701.911.951-46</t>
  </si>
  <si>
    <t>0207</t>
  </si>
  <si>
    <t>706.567.291-39</t>
  </si>
  <si>
    <t>0012</t>
  </si>
  <si>
    <t>E002.F003.MTRZ.0012</t>
  </si>
  <si>
    <t>01.01.07-CONTABILIDADE | ANALISTA CONTABIL</t>
  </si>
  <si>
    <t>MTRZ - CONTABILIDADE</t>
  </si>
  <si>
    <t>Controladoria/Contábil</t>
  </si>
  <si>
    <t>077.045.801-75</t>
  </si>
  <si>
    <t>0038</t>
  </si>
  <si>
    <t>E002.F003.MTRZ.0238</t>
  </si>
  <si>
    <t>01.01.07-CONTABILIDADE | ASSISTENTE CONTABIL</t>
  </si>
  <si>
    <t>708.771.041-90</t>
  </si>
  <si>
    <t>263.494.548-55</t>
  </si>
  <si>
    <t>0239</t>
  </si>
  <si>
    <t>E002.F005.FESP.0242</t>
  </si>
  <si>
    <t>01.13.16-ELETRICA | SUPERVISOR MANUTENCAO ELETRICA</t>
  </si>
  <si>
    <t>923.864.234-68</t>
  </si>
  <si>
    <t>E002.F005.FESP.0504</t>
  </si>
  <si>
    <t>01.13.21-ADM PRODUCAO | SUPERVISOR ADM</t>
  </si>
  <si>
    <t>286.177.358-80</t>
  </si>
  <si>
    <t>618.252.113-96</t>
  </si>
  <si>
    <t>003.097.282-58</t>
  </si>
  <si>
    <t>E002.F005.FESP.0359</t>
  </si>
  <si>
    <t>01.13.80-OP. AGR MANUT/COLHE F02 | OPERADOR MAQUINAS AGR</t>
  </si>
  <si>
    <t>3153</t>
  </si>
  <si>
    <t>027.585.941-02</t>
  </si>
  <si>
    <t>0041</t>
  </si>
  <si>
    <t>E002.F003.MTRZ.0246</t>
  </si>
  <si>
    <t>01.01.10-DPTO PESSOAL | ASSISTENTE DP</t>
  </si>
  <si>
    <t>024.660.011-01</t>
  </si>
  <si>
    <t>0129</t>
  </si>
  <si>
    <t>E002.F003.MTRZ.0508</t>
  </si>
  <si>
    <t>01.01.28-RH | ESPECIALISTA T&amp;D</t>
  </si>
  <si>
    <t>026.797.501-52</t>
  </si>
  <si>
    <t>JOSÉ SERGIO DA COSTA SILVA</t>
  </si>
  <si>
    <t>E002.F005.ECFO.0251</t>
  </si>
  <si>
    <t>01.02.10-DPTO PESSOAL | ANALISTA DP</t>
  </si>
  <si>
    <t>1001.02.01.011</t>
  </si>
  <si>
    <t>ECFO - GENTE E GESTAO</t>
  </si>
  <si>
    <t>ECFO 07h 11h30 13h 17h30</t>
  </si>
  <si>
    <t>900.256.281-00</t>
  </si>
  <si>
    <t>FESP 07h 11h30 13h 17h AGR</t>
  </si>
  <si>
    <t>803.117.501-25</t>
  </si>
  <si>
    <t>ESCALA 07:00 AS 17:30</t>
  </si>
  <si>
    <t>255.041.528-01</t>
  </si>
  <si>
    <t>MARIA HELENA LENGUER</t>
  </si>
  <si>
    <t>009.143.681-84</t>
  </si>
  <si>
    <t>SEBASTIANA ALVES DE AMORIM</t>
  </si>
  <si>
    <t>089.237.769-04</t>
  </si>
  <si>
    <t>E002.F005.FESP.0050</t>
  </si>
  <si>
    <t>01.13.24-GESTAO AGR | LIDER OPERACOES AGR</t>
  </si>
  <si>
    <t>103.303.906-35</t>
  </si>
  <si>
    <t>EURIDES SANTEIRO MICHELS</t>
  </si>
  <si>
    <t>018.273.779-92</t>
  </si>
  <si>
    <t>E003.F003.FPER.0068</t>
  </si>
  <si>
    <t>01.11.43-OP. AGR | OPERADOR MAQUINAS AGR</t>
  </si>
  <si>
    <t>FPER - MDO OPERADORES AGRICOLAS</t>
  </si>
  <si>
    <t>158</t>
  </si>
  <si>
    <t>E003.F003.FPER.0066</t>
  </si>
  <si>
    <t>01.11.43-OP. AGR | GERENTE AGR ATE 3K HA</t>
  </si>
  <si>
    <t>886.735.611-91</t>
  </si>
  <si>
    <t>0182</t>
  </si>
  <si>
    <t>E003.F003.FPER.0067</t>
  </si>
  <si>
    <t>01.11.43-OP. AGR | OPERADOR MAQ MANTENEDOR AGR</t>
  </si>
  <si>
    <t>305.059.171-49</t>
  </si>
  <si>
    <t>FPER - MDO GESTAO AGRICOLA</t>
  </si>
  <si>
    <t>026.373.121-90</t>
  </si>
  <si>
    <t>E003.F003.FPER.0069</t>
  </si>
  <si>
    <t>01.11.55-REFEITORIO | COZINHEIRO</t>
  </si>
  <si>
    <t>FPER - REFEITORIO</t>
  </si>
  <si>
    <t>035.773.979-50</t>
  </si>
  <si>
    <t>MAYCON CHARLES MOREIRA</t>
  </si>
  <si>
    <t>SARTILHO GONCALVES DA LUZ</t>
  </si>
  <si>
    <t>E004.F004.FPAR.0284</t>
  </si>
  <si>
    <t>01.12.70-OP AGR DEF | OPERADOR MAQUINAS AGR</t>
  </si>
  <si>
    <t>FPAR - MDO OPERADORES AGRICOLAS</t>
  </si>
  <si>
    <t>642.050.371-04</t>
  </si>
  <si>
    <t>ALEXANDRE GOUVEIA SOUZA</t>
  </si>
  <si>
    <t>0169</t>
  </si>
  <si>
    <t>E004.F004.FPAR.0072</t>
  </si>
  <si>
    <t>01.12.38-MOT AGR | MOTORISTA</t>
  </si>
  <si>
    <t>1030.03.01.005</t>
  </si>
  <si>
    <t>FPAR - MDO MOTORISTAS AGRICOLAS</t>
  </si>
  <si>
    <t>009.447.081-29</t>
  </si>
  <si>
    <t>RAY RIBEIRO CAVALCANTE</t>
  </si>
  <si>
    <t>EDINEI CARRIJO DA SILVA</t>
  </si>
  <si>
    <t>E004.F004.FPAR.0285</t>
  </si>
  <si>
    <t>01.12.71-OP AGR F01 | OPERADOR MAQUINAS AGR</t>
  </si>
  <si>
    <t>492.214.851-53</t>
  </si>
  <si>
    <t>JOSEMAR DE JESUS DAMASCENO</t>
  </si>
  <si>
    <t>E004.F004.FPAR.0301</t>
  </si>
  <si>
    <t>01.12.71-OP AGR F01 | OPERADOR MAQ MANTENEDOR AGR</t>
  </si>
  <si>
    <t>004.569.401-03</t>
  </si>
  <si>
    <t>MARIANO SANTOS RIBEIRO</t>
  </si>
  <si>
    <t>049.469.629-05</t>
  </si>
  <si>
    <t>EVANILDO CASTILHO PEREIRA</t>
  </si>
  <si>
    <t>E004.F004.FPAR.0071</t>
  </si>
  <si>
    <t>01.12.25-GESTAO ARMAZEM | LIDER ARMAZEM</t>
  </si>
  <si>
    <t>GESTAO ARMAZEM</t>
  </si>
  <si>
    <t>1030.08.03.001</t>
  </si>
  <si>
    <t>FPAR - MDO GESTAO ARMAZEM</t>
  </si>
  <si>
    <t>042.467.071-20</t>
  </si>
  <si>
    <t>RENAM AUGUSTO PEREIRA DOS SANTOS</t>
  </si>
  <si>
    <t>016.834.663-06</t>
  </si>
  <si>
    <t>NILTON CESAR COSTA DA SILVA</t>
  </si>
  <si>
    <t>E004.F004.FPAR.0260</t>
  </si>
  <si>
    <t>01.12.06-APOIO ARMAZEM | TRAB. AGR POLIVALENTE</t>
  </si>
  <si>
    <t>APOIO ARMAZEM</t>
  </si>
  <si>
    <t>1030.08.03.003</t>
  </si>
  <si>
    <t>FPAR - MDO APOIO ARMAZEM</t>
  </si>
  <si>
    <t>048.290.379-11</t>
  </si>
  <si>
    <t>E004.F005.FESP.0083</t>
  </si>
  <si>
    <t>01.13.53-PORTARIA | AUXILIAR ADM</t>
  </si>
  <si>
    <t>FESP - VIGILÂNCIA/PORTARIA</t>
  </si>
  <si>
    <t>FESP 12X36 PORTARIA</t>
  </si>
  <si>
    <t>026.980.021-23</t>
  </si>
  <si>
    <t>DIONISCLAY BENTO CABRAL</t>
  </si>
  <si>
    <t>058.245.521-93</t>
  </si>
  <si>
    <t>0142</t>
  </si>
  <si>
    <t>E004.F007.FBAG.0093</t>
  </si>
  <si>
    <t>01.15.24-GESTAO AGR | GERENTE AGR 3K A 7K HA</t>
  </si>
  <si>
    <t>FBAG - MDO GESTAO AGRICOLA</t>
  </si>
  <si>
    <t>11</t>
  </si>
  <si>
    <t>E002.F003.MTRZ.0230</t>
  </si>
  <si>
    <t>01.01.09-DIRETORIA | DIRETOR OPERACOES AGRICOLAS</t>
  </si>
  <si>
    <t>704.364.631-64</t>
  </si>
  <si>
    <t>E004.F007.FBAG.0098</t>
  </si>
  <si>
    <t>01.15.43-OP. AGR | OPERADOR MAQUINAS AGR</t>
  </si>
  <si>
    <t>FBAG - MDO OPERADORES AGRICOLAS</t>
  </si>
  <si>
    <t>8011</t>
  </si>
  <si>
    <t>616.698.053-10</t>
  </si>
  <si>
    <t>0203</t>
  </si>
  <si>
    <t>E004.F007.FBAG.0501</t>
  </si>
  <si>
    <t>01.15.63-SUP ARMAZEM | SUPERVISOR ARMAZEM</t>
  </si>
  <si>
    <t>FBAG - MDO GESTAO ARMAZEM</t>
  </si>
  <si>
    <t>847.537.813-72</t>
  </si>
  <si>
    <t>E004.F005.FESP.0473</t>
  </si>
  <si>
    <t>01.13.88-TAP SEDE | TRAB. AGR POLIVALENTE</t>
  </si>
  <si>
    <t>810.619.783-20</t>
  </si>
  <si>
    <t>E004.F005.FESP.0472</t>
  </si>
  <si>
    <t>050.374.981-80</t>
  </si>
  <si>
    <t>E004.F004.FPAR.0510</t>
  </si>
  <si>
    <t>01.12.24-GESTAO AGR | LIDER OPERACOES AGR</t>
  </si>
  <si>
    <t>FPAR - MDO GESTAO AGRICOLA</t>
  </si>
  <si>
    <t>057.490.681-96</t>
  </si>
  <si>
    <t>DEANGELUS ALVES DOS SANTOS</t>
  </si>
  <si>
    <t>E004.F007.FBAG.0266</t>
  </si>
  <si>
    <t>01.15.71-OP. AGR F02 | OPERADOR MAQUINAS AGR</t>
  </si>
  <si>
    <t>305.004.238-90</t>
  </si>
  <si>
    <t>CICERO ALVES DA SILVA</t>
  </si>
  <si>
    <t>0177</t>
  </si>
  <si>
    <t>E004.F004.FPAR.0070</t>
  </si>
  <si>
    <t>01.12.07-ARMAZEM | OPERADOR ARMAZEM SECADOR</t>
  </si>
  <si>
    <t>1030.08.03.002</t>
  </si>
  <si>
    <t>FPAR - MDO OPERADORES ARMAZEM</t>
  </si>
  <si>
    <t>027.923.441-48</t>
  </si>
  <si>
    <t>ELISVAN CARLOS DE JESUS</t>
  </si>
  <si>
    <t>073.150.801-71</t>
  </si>
  <si>
    <t>E004.F004.FPAR.0521</t>
  </si>
  <si>
    <t>01.12.24-GESTAO AGR | GERENTE AGR 3K A 7K HA</t>
  </si>
  <si>
    <t>041.287.061-40</t>
  </si>
  <si>
    <t>ADELSON RIBEIRO BORGES</t>
  </si>
  <si>
    <t>596.675.671-68</t>
  </si>
  <si>
    <t>E004.F007.FBAG.0096</t>
  </si>
  <si>
    <t>01.15.40-MOT COMBOIO | MOTORISTA COMBOIO</t>
  </si>
  <si>
    <t>FBAG - MDO MOTORISTAS AGRICOLAS</t>
  </si>
  <si>
    <t>041.635.392-47</t>
  </si>
  <si>
    <t>E004.F005.FESP.0385</t>
  </si>
  <si>
    <t>020.603.433-48</t>
  </si>
  <si>
    <t>0175</t>
  </si>
  <si>
    <t>E004.F007.FBAG.0097</t>
  </si>
  <si>
    <t>01.15.43-OP. AGR | OP. PA CARREGADEIRA AGR</t>
  </si>
  <si>
    <t>614.928.063-23</t>
  </si>
  <si>
    <t>Analfabeto</t>
  </si>
  <si>
    <t>0059</t>
  </si>
  <si>
    <t>E004.F007.FBAG.0090</t>
  </si>
  <si>
    <t>01.15.07-ARMAZEM | AUXILIAR ARMAZEM</t>
  </si>
  <si>
    <t>FBAG - MDO APOIO ARMAZEM</t>
  </si>
  <si>
    <t>12063</t>
  </si>
  <si>
    <t>936.276.613-20</t>
  </si>
  <si>
    <t>E004.F007.FBAG.0101</t>
  </si>
  <si>
    <t>01.15.58-SERV GERAIS AGR | TRAB. AGR POLIVALENTE</t>
  </si>
  <si>
    <t>FBAG - FACILITIES</t>
  </si>
  <si>
    <t>17544</t>
  </si>
  <si>
    <t>E004.F007.FBAG.0094</t>
  </si>
  <si>
    <t>01.15.24-GESTAO AGR | LIDER OPERACOES AGR</t>
  </si>
  <si>
    <t>555.207.661-34</t>
  </si>
  <si>
    <t>E004.F007.FBAG.0263</t>
  </si>
  <si>
    <t>01.15.65-SUP OPERACAO AGR | SUPERVISOR OPERACOES AGR</t>
  </si>
  <si>
    <t>097.959.789-77</t>
  </si>
  <si>
    <t>ALISSON PEREIRA DE JESUS</t>
  </si>
  <si>
    <t>085.481.321-75</t>
  </si>
  <si>
    <t>E004.F007.FBAG.0088</t>
  </si>
  <si>
    <t>01.15.07-ARMAZEM | OPERADOR ARMAZEM SECADOR</t>
  </si>
  <si>
    <t>FBAG - MDO OPERADORES ARMAZEM</t>
  </si>
  <si>
    <t>002.513.891-03</t>
  </si>
  <si>
    <t>E004.F007.FBAG.0092</t>
  </si>
  <si>
    <t>01.15.18-FACILITIES | TRAB. AGR POLIVALENTE</t>
  </si>
  <si>
    <t>116.842.799-17</t>
  </si>
  <si>
    <t>E004.F004.FPAR.0226</t>
  </si>
  <si>
    <t>01.12.01-ADM | ASSISTENTE ADM</t>
  </si>
  <si>
    <t>FPAR - MDO ADM FAZENDA</t>
  </si>
  <si>
    <t>106.489.431-35</t>
  </si>
  <si>
    <t>E004.F005.FESP.0227</t>
  </si>
  <si>
    <t>01.13.18-FACILITIES | FAXINEIRO</t>
  </si>
  <si>
    <t>048.802.101-45</t>
  </si>
  <si>
    <t>DIEGO MARTINS DE SENA</t>
  </si>
  <si>
    <t>106.575.324-10</t>
  </si>
  <si>
    <t>E004.F007.FBAG.0265</t>
  </si>
  <si>
    <t>01.15.70-OP. AGR F01 | OPERADOR MAQUINAS AGR</t>
  </si>
  <si>
    <t>14204</t>
  </si>
  <si>
    <t>031.961.982-60</t>
  </si>
  <si>
    <t>E004.F007.FBAG.0100</t>
  </si>
  <si>
    <t>01.15.55-REFEITORIO | COZINHEIRO</t>
  </si>
  <si>
    <t>FBAG - REFEITORIO</t>
  </si>
  <si>
    <t>FBAG 08:00 12:40 16:00 19:20</t>
  </si>
  <si>
    <t>058.064.951-24</t>
  </si>
  <si>
    <t>E004.F007.FBAG.0087</t>
  </si>
  <si>
    <t>01.15.01-ADM | ASSISTENTE ADM</t>
  </si>
  <si>
    <t>FBAG - MDO ADM FAZENDA</t>
  </si>
  <si>
    <t>063.162.861-47</t>
  </si>
  <si>
    <t>704.527.291-06</t>
  </si>
  <si>
    <t>E004.F005.FESP.0080</t>
  </si>
  <si>
    <t>034.448.511-03</t>
  </si>
  <si>
    <t>045.805.791-60</t>
  </si>
  <si>
    <t>E004.F005.FESP.0382</t>
  </si>
  <si>
    <t>036.183.242-78</t>
  </si>
  <si>
    <t>E004.F007.FBAG.0264</t>
  </si>
  <si>
    <t>01.15.69-OP. AGR DEF | OPERADOR MAQUINAS AGR</t>
  </si>
  <si>
    <t>545.902.212-68</t>
  </si>
  <si>
    <t>621.528.733-43</t>
  </si>
  <si>
    <t>JOSE WILLAN PONTES PEREIRA</t>
  </si>
  <si>
    <t>0067</t>
  </si>
  <si>
    <t>AUXILIAR PRODUCAO AGR DOSADOR</t>
  </si>
  <si>
    <t>E004.F005.FESP.0518</t>
  </si>
  <si>
    <t>01.13.85-OP. AGR DEF CALDEIRO F01 | AUXILIAR PRODUCAO AGR DOSADOR</t>
  </si>
  <si>
    <t>703.921.951-43</t>
  </si>
  <si>
    <t>118.238.864-77</t>
  </si>
  <si>
    <t>GERCIANO DANTAS SILVA</t>
  </si>
  <si>
    <t>054.720.801-42</t>
  </si>
  <si>
    <t>E004.F005.FESP.0079</t>
  </si>
  <si>
    <t>01.13.20-FISCAL | ASSISTENTE ADM</t>
  </si>
  <si>
    <t>FESP - FISCAL</t>
  </si>
  <si>
    <t>470.130.872-20</t>
  </si>
  <si>
    <t>846.109.303-82</t>
  </si>
  <si>
    <t>E004.F005.FESP.0474</t>
  </si>
  <si>
    <t>01.13.89-TAP LAVOURA | TRAB. AGR POLIVALENTE</t>
  </si>
  <si>
    <t>072.051.431-28</t>
  </si>
  <si>
    <t>IZAQUE CASTILHO CARDOSO</t>
  </si>
  <si>
    <t>841.850.822-15</t>
  </si>
  <si>
    <t>E004.F007.FBAG.0091</t>
  </si>
  <si>
    <t>01.15.18-FACILITIES | FAXINEIRO</t>
  </si>
  <si>
    <t>070.217.491-20</t>
  </si>
  <si>
    <t>020.799.162-62</t>
  </si>
  <si>
    <t>E004.F005.FESP.0084</t>
  </si>
  <si>
    <t>01.13.55-REFEITORIO | COZINHEIRO</t>
  </si>
  <si>
    <t>FESP 04h 11h 11h30 12h30 REF</t>
  </si>
  <si>
    <t>061.233.621-27</t>
  </si>
  <si>
    <t>E004.F005.FESP.0188</t>
  </si>
  <si>
    <t>01.13.01-ADM APOIO | AUXILIAR ADM</t>
  </si>
  <si>
    <t>078.347.191-22</t>
  </si>
  <si>
    <t>039.120.173-52</t>
  </si>
  <si>
    <t>0061</t>
  </si>
  <si>
    <t>E004.F005.FESP.0217</t>
  </si>
  <si>
    <t>01.13.55-REFEITORIO | AUXILIAR COZINHA</t>
  </si>
  <si>
    <t>FESP ESCALA 12X36 REFEITORIO</t>
  </si>
  <si>
    <t>034.658.721-26</t>
  </si>
  <si>
    <t>009.833.741-63</t>
  </si>
  <si>
    <t>715.464.421-46</t>
  </si>
  <si>
    <t>092.154.299-21</t>
  </si>
  <si>
    <t>704.365.041-03</t>
  </si>
  <si>
    <t>042.761.221-71</t>
  </si>
  <si>
    <t>E004.F004.FPAR.0075</t>
  </si>
  <si>
    <t>01.12.55-REFEITORIO | COZINHEIRO</t>
  </si>
  <si>
    <t>FPAR - REFEITORIO</t>
  </si>
  <si>
    <t>FPAR ESCALA 12X36 REFEITORIO</t>
  </si>
  <si>
    <t>088.325.233-37</t>
  </si>
  <si>
    <t>06:00 11:00 11:30 14:00</t>
  </si>
  <si>
    <t>048.543.601-94</t>
  </si>
  <si>
    <t>706.968.221-21</t>
  </si>
  <si>
    <t>EDUARDO ROSA TAVARES</t>
  </si>
  <si>
    <t>E004.F004.FPAR.0259</t>
  </si>
  <si>
    <t>01.12.07-ARMAZEM | AUXILIAR ARMAZEM</t>
  </si>
  <si>
    <t>627.962.343-20</t>
  </si>
  <si>
    <t>KAYCK SANTOS DAMASCENO</t>
  </si>
  <si>
    <t>0068</t>
  </si>
  <si>
    <t>E004.F007.FBAG.0527</t>
  </si>
  <si>
    <t>01.15.58-SERV GERAIS AGR | AUX PRODUCAO AGR SAFRISTA</t>
  </si>
  <si>
    <t>1060.03.02.002</t>
  </si>
  <si>
    <t>FBAG - MDO APOIO AGRICOLA TEMP</t>
  </si>
  <si>
    <t>091.255.271-93</t>
  </si>
  <si>
    <t>FBLA ESCALA 12X36 REFEITORIO</t>
  </si>
  <si>
    <t>068.568.601-96</t>
  </si>
  <si>
    <t>050.374.991-51</t>
  </si>
  <si>
    <t>E004.F004.FPAR.0074</t>
  </si>
  <si>
    <t>01.12.43-OP. AGR | OPERADOR MAQUINAS AGR</t>
  </si>
  <si>
    <t>14055</t>
  </si>
  <si>
    <t>045.599.712-85</t>
  </si>
  <si>
    <t>931.805.191-34</t>
  </si>
  <si>
    <t>FBLA 07h 11h30 13h 17h00 AGR</t>
  </si>
  <si>
    <t>013.177.224-42</t>
  </si>
  <si>
    <t>ELISANGELA FERREIRA DE MELO LINS</t>
  </si>
  <si>
    <t>E004.F005.FESP.0523</t>
  </si>
  <si>
    <t>01.13.18-FACILITIES | FAXINEIRO TEMPORARIO</t>
  </si>
  <si>
    <t>1040.02.03.004</t>
  </si>
  <si>
    <t>FESP - FACILITIES TEMP</t>
  </si>
  <si>
    <t>060.221.771-70</t>
  </si>
  <si>
    <t>627.962.133-23</t>
  </si>
  <si>
    <t>CARLOS VITOR SANTOS DAMASCENO</t>
  </si>
  <si>
    <t>023.723.001-13</t>
  </si>
  <si>
    <t>E005.F005.FESP.0117</t>
  </si>
  <si>
    <t>015.093.511-08</t>
  </si>
  <si>
    <t>Viúvo</t>
  </si>
  <si>
    <t>E005.F001.FEAR.0102</t>
  </si>
  <si>
    <t>01.10.43-OP. AGR | OPERADOR MAQ MANTENEDOR AGR</t>
  </si>
  <si>
    <t>045.428.421-77</t>
  </si>
  <si>
    <t>EDMARCIO CARRIJO DA SILVA</t>
  </si>
  <si>
    <t>E005.F004.FPAR.0281</t>
  </si>
  <si>
    <t>009.756.181-99</t>
  </si>
  <si>
    <t>ELSON CLAUDINO DA SILVA</t>
  </si>
  <si>
    <t>058.045.699-45</t>
  </si>
  <si>
    <t>E005.F008.FNOH.0239</t>
  </si>
  <si>
    <t>01.16.24-GESTAO AGR | GERENTE AGR ATE 3K HA</t>
  </si>
  <si>
    <t>FNOH - MDO GESTAO AGRICOLA</t>
  </si>
  <si>
    <t>044.033.361-08</t>
  </si>
  <si>
    <t>E005.F005.FESP.0406</t>
  </si>
  <si>
    <t>030.966.319-99</t>
  </si>
  <si>
    <t>ANTONIO FERREIRA</t>
  </si>
  <si>
    <t>Amarela</t>
  </si>
  <si>
    <t>E005.F004.FPAR.0280</t>
  </si>
  <si>
    <t>000.944.261-80</t>
  </si>
  <si>
    <t>E005.F005.FESP.0119</t>
  </si>
  <si>
    <t>01.13.43-OP. AGR | OP. PA CARREGADEIRA AGR</t>
  </si>
  <si>
    <t>080.220.739-11</t>
  </si>
  <si>
    <t>E005.F004.FPAR.0106</t>
  </si>
  <si>
    <t>01.12.18-FACILITIES | FAXINEIRO</t>
  </si>
  <si>
    <t>FPAR - FACILITIES</t>
  </si>
  <si>
    <t>626.363.753-68</t>
  </si>
  <si>
    <t>977.277.091-15</t>
  </si>
  <si>
    <t>HIGO CARRIJO DA SILVA</t>
  </si>
  <si>
    <t>0233</t>
  </si>
  <si>
    <t>VIGILANTE</t>
  </si>
  <si>
    <t>E005.F004.FPAR.0112</t>
  </si>
  <si>
    <t>01.12.53-PORTARIA | VIGILANTE</t>
  </si>
  <si>
    <t>1030.02.02.005</t>
  </si>
  <si>
    <t>FPAR - VIGILÂNCIA/PORTARIA</t>
  </si>
  <si>
    <t>043.308.889-39</t>
  </si>
  <si>
    <t>VAGUINER SCARPETA</t>
  </si>
  <si>
    <t>801.531.941-20</t>
  </si>
  <si>
    <t>E005.F005.FESP.0410</t>
  </si>
  <si>
    <t>704.527.221-95</t>
  </si>
  <si>
    <t>028.002.341-30</t>
  </si>
  <si>
    <t>982.419.071-68</t>
  </si>
  <si>
    <t>049.043.011-29</t>
  </si>
  <si>
    <t>LUCAS MARQUES DE ALMEIDA</t>
  </si>
  <si>
    <t>E005.F001.FEAR.0103</t>
  </si>
  <si>
    <t>013.443.441-27</t>
  </si>
  <si>
    <t>GILSON DA SILVA FERREIRA</t>
  </si>
  <si>
    <t>605.905.103-04</t>
  </si>
  <si>
    <t>626.958.913-42</t>
  </si>
  <si>
    <t>046.973.130-38</t>
  </si>
  <si>
    <t>409.344.868-08</t>
  </si>
  <si>
    <t>E005.F005.FESP.0412</t>
  </si>
  <si>
    <t>035.893.953-46</t>
  </si>
  <si>
    <t>536.122.131-72</t>
  </si>
  <si>
    <t>E005.F005.FESP.0118</t>
  </si>
  <si>
    <t>01.13.18-FACILITIES | TRAB. AGR POLIVALENTE</t>
  </si>
  <si>
    <t>048.999.951-48</t>
  </si>
  <si>
    <t>E005.F005.FESP.0480</t>
  </si>
  <si>
    <t>654.141.442-49</t>
  </si>
  <si>
    <t>0144</t>
  </si>
  <si>
    <t>E005.F008.FNOH.0124</t>
  </si>
  <si>
    <t>01.16.31-GESTAO PEC | GERENTE AGROPECUARIA</t>
  </si>
  <si>
    <t>FNOH - MDO GESTAO PECUARIA</t>
  </si>
  <si>
    <t>18114</t>
  </si>
  <si>
    <t>E006.F009.FBLA.0234</t>
  </si>
  <si>
    <t>01.17.31-GESTAO PEC | GERENTE AGROPECUARIA</t>
  </si>
  <si>
    <t>517.207.872-04</t>
  </si>
  <si>
    <t>E005.F008.ERBR.0123</t>
  </si>
  <si>
    <t>01.03.01-ADM | ASSISTENTE ADM</t>
  </si>
  <si>
    <t>ERBR - ESCRITORIO ADM</t>
  </si>
  <si>
    <t>027.472.802-84</t>
  </si>
  <si>
    <t>0229</t>
  </si>
  <si>
    <t>E005.F008.FNOH.0129</t>
  </si>
  <si>
    <t>01.16.48-OP. PEC | TRAB. PECUARIA POLIVALENTE</t>
  </si>
  <si>
    <t>FNOH - MDO OPERACAO PASTAGEM</t>
  </si>
  <si>
    <t>15600</t>
  </si>
  <si>
    <t>Retiro 1</t>
  </si>
  <si>
    <t>034.641.292-76</t>
  </si>
  <si>
    <t>Fábrica de ração</t>
  </si>
  <si>
    <t>098.140.582-70</t>
  </si>
  <si>
    <t>Retiro 5</t>
  </si>
  <si>
    <t>081.700.942-67</t>
  </si>
  <si>
    <t>Retiro 2</t>
  </si>
  <si>
    <t>034.659.092-24</t>
  </si>
  <si>
    <t>Retiro 3</t>
  </si>
  <si>
    <t>040.265.412-90</t>
  </si>
  <si>
    <t>042.157.262-04</t>
  </si>
  <si>
    <t>073.764.812-06</t>
  </si>
  <si>
    <t>Retiro 4</t>
  </si>
  <si>
    <t>019.578.742-01</t>
  </si>
  <si>
    <t>772.607.912-68</t>
  </si>
  <si>
    <t>0190</t>
  </si>
  <si>
    <t>E005.F008.FNOH.0125</t>
  </si>
  <si>
    <t>01.16.48-OP. PEC | OP. PA CARREGADEIRA PEC</t>
  </si>
  <si>
    <t>Operação Máquinas</t>
  </si>
  <si>
    <t>036.969.892-40</t>
  </si>
  <si>
    <t>601.489.713-50</t>
  </si>
  <si>
    <t>060.180.322-10</t>
  </si>
  <si>
    <t>108.474.942-41</t>
  </si>
  <si>
    <t>826.613.595-91</t>
  </si>
  <si>
    <t>Retiro 6</t>
  </si>
  <si>
    <t>002.829.405-02</t>
  </si>
  <si>
    <t>E005.F008.FNOH.0131</t>
  </si>
  <si>
    <t>01.16.55-REFEITORIO PEC | COZINHEIRO</t>
  </si>
  <si>
    <t>FNOH - REFEITORIO</t>
  </si>
  <si>
    <t>029.089.522-70</t>
  </si>
  <si>
    <t>0187</t>
  </si>
  <si>
    <t>E005.F008.FNOH.0128</t>
  </si>
  <si>
    <t>01.16.48-OP. PEC | OPERADOR MAQUINAS PEC</t>
  </si>
  <si>
    <t>089.029.363-50</t>
  </si>
  <si>
    <t>E005.F005.FESP.0122</t>
  </si>
  <si>
    <t>016.171.152-90</t>
  </si>
  <si>
    <t>E005.F005.FESP.0121</t>
  </si>
  <si>
    <t>043.381.871-90</t>
  </si>
  <si>
    <t>FESP 07h00 13h00 - REF</t>
  </si>
  <si>
    <t>550.827.692-00</t>
  </si>
  <si>
    <t>0180</t>
  </si>
  <si>
    <t>E005.F008.FNOH.0127</t>
  </si>
  <si>
    <t>01.16.48-OP. PEC | OPERADOR ESCAVADEIRA HIDRA PEC</t>
  </si>
  <si>
    <t>926.684.371-72</t>
  </si>
  <si>
    <t>JOAO CARLOS OLIVEIRA DE FREITAS</t>
  </si>
  <si>
    <t>E005.F004.FPAR.0113</t>
  </si>
  <si>
    <t>01.12.58-SERV GERAIS AGR | TRAB. AGR POLIVALENTE</t>
  </si>
  <si>
    <t>007.093.029-59</t>
  </si>
  <si>
    <t>060.605.711-07</t>
  </si>
  <si>
    <t>E005.F005.FESP.0120</t>
  </si>
  <si>
    <t>037.271.211-81</t>
  </si>
  <si>
    <t>WANDERSON DE FREITAS RIBEIRO</t>
  </si>
  <si>
    <t>013.535.540-07</t>
  </si>
  <si>
    <t>BIANCA CAMPOS DE LIMA</t>
  </si>
  <si>
    <t>E005.F005.FESP.0525</t>
  </si>
  <si>
    <t>01.13.10-CIA | ANALISTA ADM</t>
  </si>
  <si>
    <t>1040.02.02.019</t>
  </si>
  <si>
    <t>FESP - CIA</t>
  </si>
  <si>
    <t>061.860.932-63</t>
  </si>
  <si>
    <t>061.476.382-70</t>
  </si>
  <si>
    <t>E005.F008.FNOH.0126</t>
  </si>
  <si>
    <t>Retiro 7/8</t>
  </si>
  <si>
    <t>050.151.302-79</t>
  </si>
  <si>
    <t>LARISSA CRISTINA BRITO DA COSTA</t>
  </si>
  <si>
    <t>0246</t>
  </si>
  <si>
    <t>AUXILIAR SERVICOS GERAIS PEC</t>
  </si>
  <si>
    <t>E005.F008.FNOH.0517</t>
  </si>
  <si>
    <t>01.16.55-REFEITORIO PEC | AUXILIAR SERVICOS GERAIS</t>
  </si>
  <si>
    <t>1070.06.05.005</t>
  </si>
  <si>
    <t>FNOH - REFEITORIO PEC</t>
  </si>
  <si>
    <t>031.388.122-79</t>
  </si>
  <si>
    <t>KALITA MACHADO DA SILVA</t>
  </si>
  <si>
    <t>E005.F008.FNOH.0516</t>
  </si>
  <si>
    <t>01.16.69- FACILITIES PEC | AUXILIAR SERVIÇOS GERAIS</t>
  </si>
  <si>
    <t>1070.06.05.006</t>
  </si>
  <si>
    <t>FNOH - FACILITIES PEC</t>
  </si>
  <si>
    <t>104.103.426-10</t>
  </si>
  <si>
    <t>E005.F004.FPAR.0105</t>
  </si>
  <si>
    <t>103.269.152-22</t>
  </si>
  <si>
    <t>041.339.012-82</t>
  </si>
  <si>
    <t>083.312.922-86</t>
  </si>
  <si>
    <t>028.696.272-11</t>
  </si>
  <si>
    <t>001.104.632-50</t>
  </si>
  <si>
    <t>511.734.092-20</t>
  </si>
  <si>
    <t>MARIA SONIA BARBOSA CARNEIRO</t>
  </si>
  <si>
    <t>703.067.132-50</t>
  </si>
  <si>
    <t>FBLA 07h 11h30 13h 17h PEC</t>
  </si>
  <si>
    <t>918.232.342-91</t>
  </si>
  <si>
    <t>FBLA 07H 11H 13H 17H PEC</t>
  </si>
  <si>
    <t>344.793.683-53</t>
  </si>
  <si>
    <t>838.654.382-53</t>
  </si>
  <si>
    <t>002.354.441-46</t>
  </si>
  <si>
    <t>E006.F009.FBLA.0170</t>
  </si>
  <si>
    <t>01.17.43-OP. AGR | OP. PA CARREGADEIRA AGR</t>
  </si>
  <si>
    <t>FBLA - MDO OPERADORES AGRICOLAS</t>
  </si>
  <si>
    <t>10331</t>
  </si>
  <si>
    <t>E006.F009.FBLA.0270</t>
  </si>
  <si>
    <t>01.17.76-SUPERV PREP/PLANT/COLHE | SUPERVISOR OPERACOES AGR</t>
  </si>
  <si>
    <t>948.880.431-91</t>
  </si>
  <si>
    <t>E006.F005.FESP.0133</t>
  </si>
  <si>
    <t>040.989.139-84</t>
  </si>
  <si>
    <t>FABRICIO DE MOURA</t>
  </si>
  <si>
    <t>ADENILSON DOS SANTOS</t>
  </si>
  <si>
    <t>E006.F006.FSTV.0313</t>
  </si>
  <si>
    <t>01.14.71-OP. AGR DEF | OPERADOR MAQ MANTENEDOR AGR</t>
  </si>
  <si>
    <t>FSTV - MDO OPERADORES AGRICOLAS</t>
  </si>
  <si>
    <t>062.656.969-98</t>
  </si>
  <si>
    <t>0139</t>
  </si>
  <si>
    <t>GERENTE AGR  7K A 12K HA</t>
  </si>
  <si>
    <t>E006.F006.FSTV.0143</t>
  </si>
  <si>
    <t>01.14.24-GESTAO AGR | GERENTE AGR 7K A 12K HA</t>
  </si>
  <si>
    <t>FSTV - MDO GESTAO AGRICOLA</t>
  </si>
  <si>
    <t>029.813.141-22</t>
  </si>
  <si>
    <t>E006.F005.FESP.0430</t>
  </si>
  <si>
    <t>049.452.083-36</t>
  </si>
  <si>
    <t>E006.F005.FESP.0431</t>
  </si>
  <si>
    <t>610.065.173-40</t>
  </si>
  <si>
    <t>702.803.061-05</t>
  </si>
  <si>
    <t>ANDERSON LODI SCHNEIDER</t>
  </si>
  <si>
    <t>024</t>
  </si>
  <si>
    <t>Paraguaio</t>
  </si>
  <si>
    <t>E006.F006.FSTV.0314</t>
  </si>
  <si>
    <t>01.14.72-OP. AGR F01 | OPERADOR MAQ MANTENEDOR AGR</t>
  </si>
  <si>
    <t>15949</t>
  </si>
  <si>
    <t>E006.F006.FSTV.0145</t>
  </si>
  <si>
    <t>01.14.36-MANUTENCAO AGR | SUPERVISOR MANUTENCAO</t>
  </si>
  <si>
    <t>709.052.481-71</t>
  </si>
  <si>
    <t>E006.F009.FBLA.0520</t>
  </si>
  <si>
    <t>01.17.24-GESTAO AGR | GERENTE AGR 3K A 7K HA</t>
  </si>
  <si>
    <t>FBLA - MDO GESTAO AGRICOLA</t>
  </si>
  <si>
    <t>FBLA NAO REGISTRA PONTO - PEC</t>
  </si>
  <si>
    <t>015.842.451-40</t>
  </si>
  <si>
    <t>9659</t>
  </si>
  <si>
    <t>026.344.701-42</t>
  </si>
  <si>
    <t>E006.F009.FBLA.0274</t>
  </si>
  <si>
    <t>01.17.80-OP. AGR F02 | OPERADOR MAQUINAS AGR</t>
  </si>
  <si>
    <t>076.963.789-29</t>
  </si>
  <si>
    <t>LUCAS EDUARDO DOS SANTOS</t>
  </si>
  <si>
    <t>E006.F006.FSTV.0308</t>
  </si>
  <si>
    <t>01.14.71-OP. AGR DEF | OPERADOR MAQUINAS AGR</t>
  </si>
  <si>
    <t>057.784.483-09</t>
  </si>
  <si>
    <t>E006.F006.FSTV.0309</t>
  </si>
  <si>
    <t>01.14.72-OP. AGR F01 | OPERADOR MAQUINAS AGR</t>
  </si>
  <si>
    <t>991.781.411-68</t>
  </si>
  <si>
    <t>059.334.493-69</t>
  </si>
  <si>
    <t>E006.F005.FESP.0457</t>
  </si>
  <si>
    <t>01.13.70-ARM COMIL | AUXILIAR ARMAZEM</t>
  </si>
  <si>
    <t>FESP - MDO APOIO ARMAZEM</t>
  </si>
  <si>
    <t>19817</t>
  </si>
  <si>
    <t>E006.F005.FESP.0455</t>
  </si>
  <si>
    <t>01.13.70-ARM COMIL | LIDER ARMAZEM</t>
  </si>
  <si>
    <t>607.630.643-27</t>
  </si>
  <si>
    <t>E006.F005.FESP.0456</t>
  </si>
  <si>
    <t>01.13.69-ARM KW | AUXILIAR ARMAZEM</t>
  </si>
  <si>
    <t>13358</t>
  </si>
  <si>
    <t>093.732.975-46</t>
  </si>
  <si>
    <t>E006.F005.FESP.0434</t>
  </si>
  <si>
    <t>044.065.820-96</t>
  </si>
  <si>
    <t>E006.F005.FESP.0336</t>
  </si>
  <si>
    <t>01.13.79-SUP AGR TRAT DEF/SOLID | SUPERVISOR OPERACOES AGR</t>
  </si>
  <si>
    <t>015.060.781-41</t>
  </si>
  <si>
    <t>E006.F006.FSTV.0149</t>
  </si>
  <si>
    <t>01.14.40-MOT COMBOIO | MOTORISTA COMBOIO</t>
  </si>
  <si>
    <t>FSTV - MDO MOTORISTAS AGRICOLAS</t>
  </si>
  <si>
    <t>048.471.371-08</t>
  </si>
  <si>
    <t>050.787.102-21</t>
  </si>
  <si>
    <t>DOUGLAS RODRIGUES MILHOMEM</t>
  </si>
  <si>
    <t>E006.F009.FBLA.0272</t>
  </si>
  <si>
    <t>01.17.78-OP. AGR DEF | OPERADOR MAQUINAS AGR</t>
  </si>
  <si>
    <t>019.979.193-70</t>
  </si>
  <si>
    <t>E006.F005.FESP.0138</t>
  </si>
  <si>
    <t>607.479.813-37</t>
  </si>
  <si>
    <t>JADSON BARBOSA DE ALMEIDA</t>
  </si>
  <si>
    <t>E006.F006.FSTV.0310</t>
  </si>
  <si>
    <t>01.14.73-OP. AGR F02 | OPERADOR MAQUINAS AGR</t>
  </si>
  <si>
    <t>019.768.631-12</t>
  </si>
  <si>
    <t>027.482.161-30</t>
  </si>
  <si>
    <t>010.098.981-08</t>
  </si>
  <si>
    <t>063.377.861-30</t>
  </si>
  <si>
    <t>E006.F006.FSTV.0152</t>
  </si>
  <si>
    <t>01.14.55-REFEITORIO | AUXILIAR COZINHA</t>
  </si>
  <si>
    <t>FSTV - REFEITORIO</t>
  </si>
  <si>
    <t>FSTV ESCALA 12X36 REFEITORIO</t>
  </si>
  <si>
    <t>090.667.653-30</t>
  </si>
  <si>
    <t>090.494.763-76</t>
  </si>
  <si>
    <t>061.047.103-10</t>
  </si>
  <si>
    <t>E006.F005.FESP.0460</t>
  </si>
  <si>
    <t>01.13.69-ARM KW | OPERADOR ARMAZEM SECADOR</t>
  </si>
  <si>
    <t>FESP - MDO OPERADORES ARMAZEM</t>
  </si>
  <si>
    <t>029.971.011-40</t>
  </si>
  <si>
    <t>E006.F006.FSTV.0142</t>
  </si>
  <si>
    <t>01.14.18-FACILITIES | FAXINEIRO</t>
  </si>
  <si>
    <t>FSTV - FACILITIES</t>
  </si>
  <si>
    <t>064.551.291-56</t>
  </si>
  <si>
    <t>E006.F009.FBLA.0172</t>
  </si>
  <si>
    <t>01.17.43-OP. AGR | OPERADOR MAQUINAS AGR</t>
  </si>
  <si>
    <t>871.755.503-59</t>
  </si>
  <si>
    <t>121.884.724-70</t>
  </si>
  <si>
    <t>JOSE CARLOS FERREIRA</t>
  </si>
  <si>
    <t>540.386.828-38</t>
  </si>
  <si>
    <t>069.956.849-82</t>
  </si>
  <si>
    <t>091.171.244-50</t>
  </si>
  <si>
    <t>E006.F006.FSTV.0155</t>
  </si>
  <si>
    <t>01.14.58-SERV GERAIS AGR | AUXILIAR PRODUCAO AGR</t>
  </si>
  <si>
    <t>FSTV - MDO APOIO AGRICOLA</t>
  </si>
  <si>
    <t>20561</t>
  </si>
  <si>
    <t>E006.F006.FSTV.0305</t>
  </si>
  <si>
    <t>01.14.70-MONITOR AGR PREP/PLANT | MONITOR CAMPO</t>
  </si>
  <si>
    <t>713.392.834-50</t>
  </si>
  <si>
    <t>E006.F006.FSTV.0191</t>
  </si>
  <si>
    <t>01.14.43-OP. AGR | AUXILIAR PRODUCAO AGR</t>
  </si>
  <si>
    <t>703.374.021-24</t>
  </si>
  <si>
    <t>618.947.573-60</t>
  </si>
  <si>
    <t>E006.F006.FSTV.0204</t>
  </si>
  <si>
    <t>01.14.43-OP. AGR | OP. PA CARREGADEIRA AGR</t>
  </si>
  <si>
    <t>108.495.926-74</t>
  </si>
  <si>
    <t>EUGENIO MOREIRA LEITE</t>
  </si>
  <si>
    <t>E006.F006.FSTV.0324</t>
  </si>
  <si>
    <t>01.14.79-MOT AGR DISTRIB SOLIDOS | MOTORISTA</t>
  </si>
  <si>
    <t>MOT AGR DISTRIB SOLIDOS</t>
  </si>
  <si>
    <t>055.918.811-06</t>
  </si>
  <si>
    <t>E006.F006.FSTV.0153</t>
  </si>
  <si>
    <t>01.14.55-REFEITORIO | COZINHEIRO</t>
  </si>
  <si>
    <t>016.300.941-45</t>
  </si>
  <si>
    <t>0213</t>
  </si>
  <si>
    <t>FSTV - MDO GESTAO MAN</t>
  </si>
  <si>
    <t>195</t>
  </si>
  <si>
    <t>041.155.011-03</t>
  </si>
  <si>
    <t>E006.F006.FSTV.0144</t>
  </si>
  <si>
    <t>01.14.24-GESTAO AGR | LIDER OPERACOES AGR</t>
  </si>
  <si>
    <t>051.870.153-03</t>
  </si>
  <si>
    <t>FRANCISCO VANDERLAN SOUSA DA SILVA FILHO</t>
  </si>
  <si>
    <t>012.941.223-63</t>
  </si>
  <si>
    <t>103.264.719-10</t>
  </si>
  <si>
    <t>E006.F009.FBLA.0164</t>
  </si>
  <si>
    <t>01.17.37-MONITOR AGR | MONITOR CAMPO</t>
  </si>
  <si>
    <t>1080.03.01.006</t>
  </si>
  <si>
    <t>FBLA - MDO MONITORES/TRAINEE</t>
  </si>
  <si>
    <t>056.709.360-35</t>
  </si>
  <si>
    <t>E006.F005.FESP.0354</t>
  </si>
  <si>
    <t>01.13.72-LIDER AGR SOLIDOS | LIDER OPERACOES AGR</t>
  </si>
  <si>
    <t>071.493.271-09</t>
  </si>
  <si>
    <t>051.916.693-04</t>
  </si>
  <si>
    <t>055.872.171-08</t>
  </si>
  <si>
    <t>E006.F006.FSTV.0311</t>
  </si>
  <si>
    <t>01.14.74-OP. AGR F03 | OPERADOR MAQUINAS AGR</t>
  </si>
  <si>
    <t>076.417.261-19</t>
  </si>
  <si>
    <t>016.487.471-24</t>
  </si>
  <si>
    <t>629.996.243-79</t>
  </si>
  <si>
    <t>E006.F005.FESP.0136</t>
  </si>
  <si>
    <t>912.729.553-20</t>
  </si>
  <si>
    <t>E006.F009.FBLA.0174</t>
  </si>
  <si>
    <t>01.17.48-OP. PEC | TRAB. PECUARIA POLIVALENTE</t>
  </si>
  <si>
    <t>FBLA - MDO OPERACAO PASTAGEM</t>
  </si>
  <si>
    <t>Recria Apoio</t>
  </si>
  <si>
    <t>006.869.851-84</t>
  </si>
  <si>
    <t>E006.F009.FBLA.0240</t>
  </si>
  <si>
    <t>01.17.91-REFEITORIO PEC | COZINHEIRO</t>
  </si>
  <si>
    <t>FBLA - REFEITORIO PEC</t>
  </si>
  <si>
    <t>621.054.133-07</t>
  </si>
  <si>
    <t>613.112.913-42</t>
  </si>
  <si>
    <t>057.884.271-85</t>
  </si>
  <si>
    <t>E006.F006.FSTV.0505</t>
  </si>
  <si>
    <t>01.14.01-ADM | ASSISTENTE ADM</t>
  </si>
  <si>
    <t>FSTV - MDO ADM FAZENDA</t>
  </si>
  <si>
    <t>064.934.381-60</t>
  </si>
  <si>
    <t>628.765.073-74</t>
  </si>
  <si>
    <t>711.252.311-73</t>
  </si>
  <si>
    <t>LUCAS DA SILVA DOS SANTOS</t>
  </si>
  <si>
    <t>011.810.792-50</t>
  </si>
  <si>
    <t>E006.F009.FBLA.0175</t>
  </si>
  <si>
    <t>01.17.55-REFEITORIO | COZINHEIRO</t>
  </si>
  <si>
    <t>FBLA - REFEITORIO</t>
  </si>
  <si>
    <t>060.390.883-70</t>
  </si>
  <si>
    <t>FELIPE MENDES DUTRA</t>
  </si>
  <si>
    <t>013.734.771-56</t>
  </si>
  <si>
    <t>E006.F009.FBLA.0169</t>
  </si>
  <si>
    <t>01.17.43-OP. AGR | AUXILIAR PRODUCAO AGR</t>
  </si>
  <si>
    <t>FBLA - MDO APOIO AGRICOLA</t>
  </si>
  <si>
    <t>031.197.491-09</t>
  </si>
  <si>
    <t>0179</t>
  </si>
  <si>
    <t>E006.F009.FBLA.0171</t>
  </si>
  <si>
    <t>01.17.43-OP. AGR | OPERADOR ESCAVADEIRA HIDRA AGR</t>
  </si>
  <si>
    <t>623.540.653-37</t>
  </si>
  <si>
    <t>E006.F009.FBLA.0166</t>
  </si>
  <si>
    <t>01.17.41-CONFINAMENTO PEC | OP. PA CARREGADEIRA PEC</t>
  </si>
  <si>
    <t>FBLA - MDO OPERACAO CONFINAMENTO</t>
  </si>
  <si>
    <t>FBLA ESCALA 12X36 PEC</t>
  </si>
  <si>
    <t>Confinamento Trato</t>
  </si>
  <si>
    <t>601.958.293-01</t>
  </si>
  <si>
    <t>063.842.681-24</t>
  </si>
  <si>
    <t>004</t>
  </si>
  <si>
    <t>Acidente Trabalho</t>
  </si>
  <si>
    <t>751.007.621-87</t>
  </si>
  <si>
    <t>LUY JUNIOR DE JESUS SCHWINGEL</t>
  </si>
  <si>
    <t>706.451.501-69</t>
  </si>
  <si>
    <t>E006.F006.FSTV.0140</t>
  </si>
  <si>
    <t>01.14.01-ADM | AUXILIAR ADM</t>
  </si>
  <si>
    <t>ADM 1/2 PERIODO 13:00 17:00</t>
  </si>
  <si>
    <t>006.450.961-30</t>
  </si>
  <si>
    <t>007.070.501-11</t>
  </si>
  <si>
    <t>898.508.231-00</t>
  </si>
  <si>
    <t>E006.F009.FBLA.0163</t>
  </si>
  <si>
    <t>01.17.36-MANUTENCAO AGR | MECANICO</t>
  </si>
  <si>
    <t>FBLA - MECANICOS</t>
  </si>
  <si>
    <t>084.990.051-44</t>
  </si>
  <si>
    <t>CLEBERSON DA SILVA SANTOS</t>
  </si>
  <si>
    <t>056.947.261-03</t>
  </si>
  <si>
    <t>E006.F006.FSTV.0141</t>
  </si>
  <si>
    <t>01.14.04-ALMOXARIFADO | AUXILIAR ADM</t>
  </si>
  <si>
    <t>FSTV - ALMOXARIFADO</t>
  </si>
  <si>
    <t>977.403.223-34</t>
  </si>
  <si>
    <t>E006.F009.FBLA.0159</t>
  </si>
  <si>
    <t>01.17.18-FACILITIES | TRAB. AGR POLIVALENTE</t>
  </si>
  <si>
    <t>FBLA - FACILITIES</t>
  </si>
  <si>
    <t>075.981.191-12</t>
  </si>
  <si>
    <t>DALVAN SILVA BORGES</t>
  </si>
  <si>
    <t>037.187.761-03</t>
  </si>
  <si>
    <t>046.637.451-80</t>
  </si>
  <si>
    <t>888.685.751-91</t>
  </si>
  <si>
    <t>099.806.901-94</t>
  </si>
  <si>
    <t>GEOVANE AGUIAR LORENZO</t>
  </si>
  <si>
    <t>0247</t>
  </si>
  <si>
    <t>VAQUEIRO TEMP</t>
  </si>
  <si>
    <t>E006.F009.FBLA.0524</t>
  </si>
  <si>
    <t>01.17.48-OP. PEC | VAQUEIRO TEMP</t>
  </si>
  <si>
    <t>1080.06.08.002</t>
  </si>
  <si>
    <t>FBLA - MDO OPERACAO PASTAGEM TEMP</t>
  </si>
  <si>
    <t>SAFRISTA</t>
  </si>
  <si>
    <t>068.696.392-05</t>
  </si>
  <si>
    <t>020.191.213-95</t>
  </si>
  <si>
    <t>607.259.473-57</t>
  </si>
  <si>
    <t>0065</t>
  </si>
  <si>
    <t>E006.F009.FBLA.0268</t>
  </si>
  <si>
    <t>01.17.36-MANUTENCAO AGR | AUXILIAR MECANICO</t>
  </si>
  <si>
    <t>621.364.173-47</t>
  </si>
  <si>
    <t>606.081.653-36</t>
  </si>
  <si>
    <t>045.062.250-90</t>
  </si>
  <si>
    <t>MURILO MEZAROBA</t>
  </si>
  <si>
    <t>127.231.249-67</t>
  </si>
  <si>
    <t>ERNANI GALETTI MOREIRA</t>
  </si>
  <si>
    <t>080.875.033-09</t>
  </si>
  <si>
    <t>022.507.979-86</t>
  </si>
  <si>
    <t>0071</t>
  </si>
  <si>
    <t>E006.F005.FESP.0202</t>
  </si>
  <si>
    <t>01.13.07-ARMAZEM | CLASSIFICADOR GRAOS</t>
  </si>
  <si>
    <t>069.829.311-88</t>
  </si>
  <si>
    <t>051.145.183-05</t>
  </si>
  <si>
    <t>051.247.173-86</t>
  </si>
  <si>
    <t>144.227.696-77</t>
  </si>
  <si>
    <t>E006.F005.FESP.0135</t>
  </si>
  <si>
    <t>071.111.051-41</t>
  </si>
  <si>
    <t>788.005.444-87</t>
  </si>
  <si>
    <t>E006.F005.FESP.0461</t>
  </si>
  <si>
    <t>01.13.70-ARM COMIL | OPERADOR ARMAZEM SECADOR</t>
  </si>
  <si>
    <t>043.615.131-63</t>
  </si>
  <si>
    <t>030.554.701-17</t>
  </si>
  <si>
    <t>054.272.221-62</t>
  </si>
  <si>
    <t>ARINELTON ALMEIDA SOUSA</t>
  </si>
  <si>
    <t>E006.F009.FBLA.0194</t>
  </si>
  <si>
    <t>01.17.04-ALMOXARIFADO | ALMOXARIFE</t>
  </si>
  <si>
    <t>FBLA - ALMOXARIFADO</t>
  </si>
  <si>
    <t>055.822.901-84</t>
  </si>
  <si>
    <t>E006.F009.FBLA.0156</t>
  </si>
  <si>
    <t>01.17.01-ADM | ASSISTENTE ADM</t>
  </si>
  <si>
    <t>FBLA - MDO ADM FAZENDA</t>
  </si>
  <si>
    <t>082.401.713-70</t>
  </si>
  <si>
    <t>114.139.122-81</t>
  </si>
  <si>
    <t>E006.F009.FBLA.0168</t>
  </si>
  <si>
    <t>01.17.41-CONFINAMENTO PEC | TRAB. PECUARIA POLIVALENTE</t>
  </si>
  <si>
    <t>Confinamento Apoio Cocho</t>
  </si>
  <si>
    <t>868.368.203-00</t>
  </si>
  <si>
    <t>048.927.811-69</t>
  </si>
  <si>
    <t>063.032.331-39</t>
  </si>
  <si>
    <t>E006.F009.FBLA.0507</t>
  </si>
  <si>
    <t>01.17.38-MOT AGR | MOTORISTA</t>
  </si>
  <si>
    <t>FBLA - MDO MOTORISTAS AGRICOLAS</t>
  </si>
  <si>
    <t>039.000.171-66</t>
  </si>
  <si>
    <t>ELTON PEREIRA DO NASCIMENTO</t>
  </si>
  <si>
    <t>066.018.931-37</t>
  </si>
  <si>
    <t>581.997.131-00</t>
  </si>
  <si>
    <t>E006.F009.FBLA.0165</t>
  </si>
  <si>
    <t>01.17.40-MOT COMBOIO | MOTORISTA COMBOIO</t>
  </si>
  <si>
    <t>932.915.661-49</t>
  </si>
  <si>
    <t>818.612.902-25</t>
  </si>
  <si>
    <t>615.911.893-57</t>
  </si>
  <si>
    <t>0232</t>
  </si>
  <si>
    <t>E006.F009.FBLA.0206</t>
  </si>
  <si>
    <t>01.17.48-OP. PEC | VAQUEIRO</t>
  </si>
  <si>
    <t>Confinamento Operação</t>
  </si>
  <si>
    <t>704.565.642-41</t>
  </si>
  <si>
    <t>FBLA 05H 11H 13H 15H PEC</t>
  </si>
  <si>
    <t>705.642.831-26</t>
  </si>
  <si>
    <t>FSTV - MDO MONITORES/TRAINEE</t>
  </si>
  <si>
    <t>721.964.912-68</t>
  </si>
  <si>
    <t>067.663.752-30</t>
  </si>
  <si>
    <t>ANTONIO LUCAS LIMA DE SOUSA</t>
  </si>
  <si>
    <t>086.061.683-51</t>
  </si>
  <si>
    <t>Confinamento Apoio Fábrica</t>
  </si>
  <si>
    <t>864.539.201-15</t>
  </si>
  <si>
    <t>038.429.853-20</t>
  </si>
  <si>
    <t>E006.F006.FSTV.0151</t>
  </si>
  <si>
    <t>01.14.43-OP. AGR | OPERADOR MAQUINAS AGR</t>
  </si>
  <si>
    <t>028.040.441-73</t>
  </si>
  <si>
    <t>065.247.092-09</t>
  </si>
  <si>
    <t>E006.F009.FBLA.0158</t>
  </si>
  <si>
    <t>01.17.18-FACILITIES | FAXINEIRO</t>
  </si>
  <si>
    <t>702.211.192-80</t>
  </si>
  <si>
    <t>Recria Retiro 1</t>
  </si>
  <si>
    <t>705.869.141-02</t>
  </si>
  <si>
    <t>E006.F009.FBLA.0503</t>
  </si>
  <si>
    <t>01.17.22-ADM PEC | ANALISTA PCP</t>
  </si>
  <si>
    <t>FBLA - MDO ADM. FAZENDAS PEC</t>
  </si>
  <si>
    <t>048.201.402-48</t>
  </si>
  <si>
    <t>602.200.853-07</t>
  </si>
  <si>
    <t>631.259.073-90</t>
  </si>
  <si>
    <t>CLEITON MORAIS SILVA</t>
  </si>
  <si>
    <t>058.470.631-64</t>
  </si>
  <si>
    <t>044.692.541-18</t>
  </si>
  <si>
    <t>088.169.531-95</t>
  </si>
  <si>
    <t>026.715.031-80</t>
  </si>
  <si>
    <t>0070</t>
  </si>
  <si>
    <t>E006.F009.FBLA.0162</t>
  </si>
  <si>
    <t>01.17.31-GESTAO PEC | CAPATAZ PECUARIA</t>
  </si>
  <si>
    <t>FBLA - MDO GESTAO PECUARIA</t>
  </si>
  <si>
    <t>Recria Retiro 2</t>
  </si>
  <si>
    <t>088.979.521-51</t>
  </si>
  <si>
    <t>040.514.782-11</t>
  </si>
  <si>
    <t>611.122.053-57</t>
  </si>
  <si>
    <t>098.471.641-69</t>
  </si>
  <si>
    <t>GUSTAVO FERREIRA DOS SANTOS</t>
  </si>
  <si>
    <t>E006.F006.FSTV.0323</t>
  </si>
  <si>
    <t>01.14.78-MOT AGR CALDEIRO | MOTORISTA</t>
  </si>
  <si>
    <t>MOT. AGR CALDEIRO</t>
  </si>
  <si>
    <t>058.974.051-23</t>
  </si>
  <si>
    <t>025.915.902-65</t>
  </si>
  <si>
    <t>E006.F005.FESP.0511</t>
  </si>
  <si>
    <t>01.13.90-MANUTENCAO ARM | MECANICO</t>
  </si>
  <si>
    <t>FESP 07h 11h30 13h 17h ARM</t>
  </si>
  <si>
    <t>028.645.973-65</t>
  </si>
  <si>
    <t>010.326.931-26</t>
  </si>
  <si>
    <t>E006.F009.FBLA.0261</t>
  </si>
  <si>
    <t>01.17.92-FACILITIES PEC | FAXINEIRO</t>
  </si>
  <si>
    <t>FBLA - FACILITIES PEC</t>
  </si>
  <si>
    <t>608.567.393-08</t>
  </si>
  <si>
    <t>JOAQUIM WESLLEY DO SANTOS</t>
  </si>
  <si>
    <t>058.737.261-32</t>
  </si>
  <si>
    <t>032.958.170-81</t>
  </si>
  <si>
    <t>078.563.683-81</t>
  </si>
  <si>
    <t>E006.F009.FBLA.0177</t>
  </si>
  <si>
    <t>01.17.60-SOLDADOR | SOLDADOR</t>
  </si>
  <si>
    <t>024.607.572-47</t>
  </si>
  <si>
    <t>039.761.441-18</t>
  </si>
  <si>
    <t>072.776.062-99</t>
  </si>
  <si>
    <t>NIRLIANE ARAUJO DOS SANTOS</t>
  </si>
  <si>
    <t>0062</t>
  </si>
  <si>
    <t>AUXILIAR COZINHA SAFRISTA</t>
  </si>
  <si>
    <t>E006.F009.FBLA.0195</t>
  </si>
  <si>
    <t>01.17.55-REFEITORIO | AUXILIAR COZINHA SAFRISTA</t>
  </si>
  <si>
    <t>1080.02.03.002</t>
  </si>
  <si>
    <t>FBLA - REFEITORIO TEMP</t>
  </si>
  <si>
    <t>076.781.743-57</t>
  </si>
  <si>
    <t>048.288.001-58</t>
  </si>
  <si>
    <t>620.237.553-10</t>
  </si>
  <si>
    <t>095.556.969-93</t>
  </si>
  <si>
    <t>SAMUEL MACIEL</t>
  </si>
  <si>
    <t>E006.F009.FBLA.0512</t>
  </si>
  <si>
    <t>01.17.43-OP. AGR | AUXILIAR PRODUCAO AGR SAFRISTA</t>
  </si>
  <si>
    <t>FBLA - MDO APOIO AGRICOLA TEMP</t>
  </si>
  <si>
    <t>105.994.671-85</t>
  </si>
  <si>
    <t>052.587.172-16</t>
  </si>
  <si>
    <t>050.911.841-04</t>
  </si>
  <si>
    <t>119.441.404-41</t>
  </si>
  <si>
    <t>E006.F009.FBLA.0513</t>
  </si>
  <si>
    <t>01.17.01-ADM | ANALISTA ADM</t>
  </si>
  <si>
    <t>068.646.155-02</t>
  </si>
  <si>
    <t>964.666.691-49</t>
  </si>
  <si>
    <t>008.047.583-36</t>
  </si>
  <si>
    <t>834.941.382-49</t>
  </si>
  <si>
    <t>078.596.243-38</t>
  </si>
  <si>
    <t>025.116.691-02</t>
  </si>
  <si>
    <t>0245</t>
  </si>
  <si>
    <t>E006.F009.FBLA.0514</t>
  </si>
  <si>
    <t>01.17.41-CONFINAMENTO PEC | LIDER OPERACOES PEC</t>
  </si>
  <si>
    <t>054.376.221-12</t>
  </si>
  <si>
    <t>618.180.653-98</t>
  </si>
  <si>
    <t>E006.F009.FBLA.0167</t>
  </si>
  <si>
    <t>01.17.41-CONFINAMENTO PEC | OPERADOR MAQUINAS PEC</t>
  </si>
  <si>
    <t>627.282.863-29</t>
  </si>
  <si>
    <t>GUILHERME LIMA DE OLIVEIRA</t>
  </si>
  <si>
    <t>031.729.711-20</t>
  </si>
  <si>
    <t>017.568.072-80</t>
  </si>
  <si>
    <t>RESIDENCIA</t>
  </si>
  <si>
    <t>Coordenador</t>
  </si>
  <si>
    <t>RESI</t>
  </si>
  <si>
    <t>Gestor?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</si>
</sst>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2" formatCode="_-&quot;R$&quot;\ * #,##0_-;\-&quot;R$&quot;\ * #,##0_-;_-&quot;R$&quot;\ * &quot;-&quot;_-;_-@_-"/>
    <numFmt numFmtId="164" formatCode="0000"/>
    <numFmt numFmtId="165" formatCode="##0000"/>
    <numFmt numFmtId="166" formatCode="000&quot;.&quot;000&quot;.&quot;000&quot;-&quot;00"/>
  </numFmts>
  <fonts count="14" x14ac:knownFonts="1">
    <font>
      <sz val="11"/>
      <color rgb="FF000000"/>
      <name val="Calibri"/>
    </font>
    <font>
      <sz val="8"/>
      <color rgb="FF000000"/>
      <name val="Arial"/>
      <family val="1"/>
    </font>
    <font>
      <sz val="8"/>
      <color rgb="FF000000"/>
      <name val="Arial"/>
      <family val="1"/>
    </font>
    <font>
      <b/>
      <sz val="11"/>
      <color theme="3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color theme="0"/>
      <name val="Arial"/>
      <family val="1"/>
    </font>
    <font>
      <sz val="8"/>
      <name val="Calibri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8"/>
      <color rgb="FF000000"/>
      <name val="Arial"/>
      <family val="2"/>
    </font>
    <font>
      <sz val="11"/>
      <color rgb="FF000000"/>
      <name val="Calibri"/>
      <family val="2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theme="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</borders>
  <cellStyleXfs count="11">
    <xf numFmtId="0" fontId="0" fillId="0" borderId="0" applyNumberFormat="0"/>
    <xf numFmtId="0" fontId="4" fillId="2" borderId="0" applyNumberFormat="0" applyBorder="0" applyAlignment="0" applyProtection="0"/>
    <xf numFmtId="0" fontId="3" fillId="0" borderId="1" applyNumberFormat="0" applyFill="0" applyAlignment="0" applyProtection="0"/>
    <xf numFmtId="0" fontId="7" fillId="0" borderId="0" applyNumberFormat="0" applyFill="0" applyBorder="0" applyAlignment="0" applyProtection="0"/>
    <xf numFmtId="0" fontId="9" fillId="0" borderId="3" applyNumberFormat="0" applyFill="0" applyAlignment="0" applyProtection="0"/>
    <xf numFmtId="0" fontId="3" fillId="0" borderId="0" applyNumberFormat="0" applyFill="0" applyBorder="0" applyAlignment="0" applyProtection="0"/>
    <xf numFmtId="0" fontId="10" fillId="3" borderId="0" applyNumberFormat="0" applyBorder="0" applyAlignment="0" applyProtection="0"/>
    <xf numFmtId="0" fontId="12" fillId="0" borderId="0" applyNumberFormat="0"/>
    <xf numFmtId="0" fontId="8" fillId="0" borderId="2" applyNumberFormat="0" applyFill="0" applyAlignment="0" applyProtection="0"/>
    <xf numFmtId="9" fontId="12" fillId="0" borderId="0" applyFont="0" applyFill="0" applyBorder="0" applyAlignment="0" applyProtection="0"/>
    <xf numFmtId="42" fontId="12" fillId="0" borderId="0" applyFont="0" applyFill="0" applyBorder="0" applyAlignment="0" applyProtection="0"/>
  </cellStyleXfs>
  <cellXfs count="30">
    <xf numFmtId="0" fontId="0" fillId="0" borderId="0" xfId="0"/>
    <xf numFmtId="0" fontId="1" fillId="0" borderId="0" xfId="1" applyFont="1" applyFill="1" applyAlignment="1">
      <alignment horizontal="left"/>
    </xf>
    <xf numFmtId="0" fontId="2" fillId="0" borderId="0" xfId="2" applyFont="1" applyBorder="1" applyAlignment="1">
      <alignment horizontal="right"/>
    </xf>
    <xf numFmtId="0" fontId="5" fillId="0" borderId="0" xfId="1" applyFont="1" applyFill="1" applyAlignment="1">
      <alignment horizontal="left"/>
    </xf>
    <xf numFmtId="0" fontId="11" fillId="4" borderId="0" xfId="1" applyFont="1" applyFill="1" applyAlignment="1">
      <alignment horizontal="center"/>
    </xf>
    <xf numFmtId="0" fontId="11" fillId="4" borderId="0" xfId="1" applyFont="1" applyFill="1" applyAlignment="1">
      <alignment horizontal="left"/>
    </xf>
    <xf numFmtId="0" fontId="12" fillId="0" borderId="0" xfId="7"/>
    <xf numFmtId="164" fontId="1" fillId="0" borderId="0" xfId="6" applyNumberFormat="1" applyFont="1" applyFill="1" applyAlignment="1">
      <alignment horizontal="right"/>
    </xf>
    <xf numFmtId="165" fontId="1" fillId="0" borderId="0" xfId="5" applyNumberFormat="1" applyFont="1" applyAlignment="1">
      <alignment horizontal="right"/>
    </xf>
    <xf numFmtId="0" fontId="1" fillId="0" borderId="0" xfId="2" applyFont="1" applyBorder="1" applyAlignment="1">
      <alignment horizontal="right"/>
    </xf>
    <xf numFmtId="0" fontId="1" fillId="0" borderId="0" xfId="4" applyFont="1" applyBorder="1" applyAlignment="1">
      <alignment horizontal="right"/>
    </xf>
    <xf numFmtId="166" fontId="1" fillId="0" borderId="0" xfId="8" applyNumberFormat="1" applyFont="1" applyBorder="1" applyAlignment="1">
      <alignment horizontal="right"/>
    </xf>
    <xf numFmtId="166" fontId="1" fillId="0" borderId="0" xfId="8" applyNumberFormat="1" applyFont="1" applyBorder="1" applyAlignment="1">
      <alignment horizontal="left"/>
    </xf>
    <xf numFmtId="0" fontId="1" fillId="5" borderId="0" xfId="1" applyFont="1" applyFill="1" applyAlignment="1">
      <alignment horizontal="center"/>
    </xf>
    <xf numFmtId="14" fontId="1" fillId="0" borderId="0" xfId="3" applyNumberFormat="1" applyFont="1" applyAlignment="1">
      <alignment horizontal="left"/>
    </xf>
    <xf numFmtId="0" fontId="1" fillId="0" borderId="0" xfId="9" applyNumberFormat="1" applyFont="1" applyAlignment="1">
      <alignment horizontal="center"/>
    </xf>
    <xf numFmtId="4" fontId="1" fillId="0" borderId="0" xfId="10" applyNumberFormat="1" applyFont="1" applyAlignment="1">
      <alignment horizontal="right"/>
    </xf>
    <xf numFmtId="0" fontId="13" fillId="0" borderId="0" xfId="1" applyFont="1" applyFill="1" applyAlignment="1">
      <alignment horizontal="left"/>
    </xf>
    <xf numFmtId="0" fontId="13" fillId="0" borderId="0" xfId="1" applyFont="1" applyFill="1" applyAlignment="1">
      <alignment horizontal="center"/>
    </xf>
    <xf numFmtId="0" fontId="12" fillId="0" borderId="0" xfId="7" applyAlignment="1">
      <alignment horizontal="left"/>
    </xf>
    <xf numFmtId="0" fontId="13" fillId="0" borderId="0" xfId="7" applyFont="1" applyAlignment="1">
      <alignment horizontal="left"/>
    </xf>
    <xf numFmtId="0" fontId="13" fillId="0" borderId="0" xfId="7" applyFont="1" applyAlignment="1">
      <alignment horizontal="center"/>
    </xf>
    <xf numFmtId="0" fontId="1" fillId="6" borderId="0" xfId="1" applyFont="1" applyFill="1" applyAlignment="1">
      <alignment horizontal="center"/>
    </xf>
    <xf numFmtId="0" fontId="1" fillId="6" borderId="0" xfId="1" applyFont="1" applyFill="1" applyAlignment="1">
      <alignment horizontal="left"/>
    </xf>
    <xf numFmtId="0" fontId="1" fillId="0" borderId="0" xfId="1" applyFont="1" applyFill="1" applyAlignment="1">
      <alignment horizontal="center"/>
    </xf>
    <xf numFmtId="0" fontId="13" fillId="6" borderId="0" xfId="7" applyFont="1" applyFill="1" applyAlignment="1">
      <alignment horizontal="left"/>
    </xf>
    <xf numFmtId="0" fontId="13" fillId="6" borderId="0" xfId="7" applyFont="1" applyFill="1" applyAlignment="1">
      <alignment horizontal="center"/>
    </xf>
    <xf numFmtId="0" fontId="12" fillId="6" borderId="0" xfId="7" applyFill="1" applyAlignment="1">
      <alignment horizontal="left"/>
    </xf>
    <xf numFmtId="0" fontId="13" fillId="0" borderId="0" xfId="7" applyFont="1"/>
    <xf numFmtId="0" fontId="0" fillId="0" borderId="0" xfId="0" applyNumberFormat="1"/>
  </cellXfs>
  <cellStyles count="11">
    <cellStyle name="Bom" xfId="6" builtinId="26"/>
    <cellStyle name="Moeda [0] 2" xfId="10" xr:uid="{9CF142A4-10F4-47FF-96C7-087DDE52D85C}"/>
    <cellStyle name="Normal" xfId="0" builtinId="0"/>
    <cellStyle name="Normal 2" xfId="7" xr:uid="{816A9CB8-CE69-4765-9BCF-0E4CA17906B7}"/>
    <cellStyle name="Porcentagem 2" xfId="9" xr:uid="{D97C628E-27D9-4717-BD92-02338FF9D2B4}"/>
    <cellStyle name="Ruim" xfId="1" builtinId="27"/>
    <cellStyle name="Título" xfId="3" builtinId="15"/>
    <cellStyle name="Título 1 2" xfId="8" xr:uid="{7D63AC76-9AAF-4D8F-9F80-36D1B57BCC2F}"/>
    <cellStyle name="Título 2" xfId="4" builtinId="17"/>
    <cellStyle name="Título 3" xfId="2" builtinId="18"/>
    <cellStyle name="Título 4" xfId="5" builtinId="19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1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1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1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1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1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1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1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1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1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1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1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1"/>
        <scheme val="none"/>
      </font>
      <fill>
        <patternFill patternType="none">
          <fgColor rgb="FF000000"/>
          <bgColor rgb="FFFFFFFF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rial"/>
        <family val="1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1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1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1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1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1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1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1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1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1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1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1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1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1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rial"/>
        <family val="1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Desenvolvimento\html\organograma\Estrutura%20organizacional%20v.5%20-Murilo.xlsx" TargetMode="External"/><Relationship Id="rId1" Type="http://schemas.openxmlformats.org/officeDocument/2006/relationships/externalLinkPath" Target="/Desenvolvimento/html/organograma/Estrutura%20organizacional%20v.5%20-Muril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iagrama de Operações"/>
      <sheetName val="Estrutura &amp; Reporte"/>
      <sheetName val="GO -&gt;"/>
      <sheetName val="FEAR"/>
      <sheetName val="FPER"/>
      <sheetName val="FPAR"/>
      <sheetName val="MT -&gt;"/>
      <sheetName val="FBAG"/>
      <sheetName val="FSTV"/>
      <sheetName val="FESP"/>
      <sheetName val="FBLA AGR"/>
      <sheetName val="FBLA PEC"/>
      <sheetName val="AC -&gt;"/>
      <sheetName val="FNOH"/>
      <sheetName val="ADM -&gt;"/>
      <sheetName val="MTRZ e ECFO"/>
      <sheetName val="ListaColaboradores"/>
      <sheetName val="Lista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1">
          <cell r="A1" t="str">
            <v>DescricaoCentroDeCusto</v>
          </cell>
          <cell r="B1" t="str">
            <v>Unidade de negocio</v>
          </cell>
        </row>
        <row r="2">
          <cell r="A2" t="str">
            <v>MTRZ - SUPRIMENTOS/COMPRAS</v>
          </cell>
          <cell r="B2" t="str">
            <v xml:space="preserve">MTRZ </v>
          </cell>
        </row>
        <row r="3">
          <cell r="A3" t="str">
            <v>MTRZ - CONTROLADORIA</v>
          </cell>
          <cell r="B3" t="str">
            <v xml:space="preserve">MTRZ </v>
          </cell>
        </row>
        <row r="4">
          <cell r="A4" t="str">
            <v>FESP - MDO ADM FAZENDA</v>
          </cell>
          <cell r="B4" t="str">
            <v xml:space="preserve">FESP </v>
          </cell>
        </row>
        <row r="5">
          <cell r="A5" t="str">
            <v>MDO LAVOURA FIXO - FESP</v>
          </cell>
          <cell r="B5" t="str">
            <v xml:space="preserve">FESP </v>
          </cell>
        </row>
        <row r="6">
          <cell r="A6" t="str">
            <v>MDO LAVOURA FIXO - FPAR</v>
          </cell>
          <cell r="B6" t="str">
            <v xml:space="preserve">FPAR </v>
          </cell>
        </row>
        <row r="7">
          <cell r="A7" t="str">
            <v>ADMINISTRATIVO - FEAR</v>
          </cell>
          <cell r="B7" t="str">
            <v xml:space="preserve">FEAR </v>
          </cell>
        </row>
        <row r="8">
          <cell r="A8" t="str">
            <v>MDO LAVOURA FIXO - FPER</v>
          </cell>
          <cell r="B8" t="str">
            <v xml:space="preserve">FPER </v>
          </cell>
        </row>
        <row r="9">
          <cell r="A9" t="str">
            <v>MDO LAVOURA FIXO - FEAR</v>
          </cell>
          <cell r="B9" t="str">
            <v xml:space="preserve">FEAR </v>
          </cell>
        </row>
        <row r="10">
          <cell r="A10" t="str">
            <v>FESP - MDO GESTAO AGRICOLA</v>
          </cell>
          <cell r="B10" t="str">
            <v xml:space="preserve">FESP </v>
          </cell>
        </row>
        <row r="11">
          <cell r="A11" t="str">
            <v>FESP - MDO OPERADORES AGRICOLAS</v>
          </cell>
          <cell r="B11" t="str">
            <v xml:space="preserve">FESP </v>
          </cell>
        </row>
        <row r="12">
          <cell r="A12" t="str">
            <v>FEAR - MDO OPERADORES AGRICOLAS</v>
          </cell>
          <cell r="B12" t="str">
            <v xml:space="preserve">FEAR </v>
          </cell>
        </row>
        <row r="13">
          <cell r="A13" t="str">
            <v>FPER - MDO OPERADORES AGRICOLAS TEMP</v>
          </cell>
          <cell r="B13" t="str">
            <v xml:space="preserve">FPER </v>
          </cell>
        </row>
        <row r="14">
          <cell r="A14" t="str">
            <v>MDO ARMAZEM FIXO - FPAR</v>
          </cell>
          <cell r="B14" t="str">
            <v xml:space="preserve">FPAR </v>
          </cell>
        </row>
        <row r="15">
          <cell r="A15" t="str">
            <v>MTRZ - FISCAL</v>
          </cell>
          <cell r="B15" t="str">
            <v xml:space="preserve">MTRZ </v>
          </cell>
        </row>
        <row r="16">
          <cell r="A16" t="str">
            <v>ADMINISTRATIVO - FPER</v>
          </cell>
          <cell r="B16" t="str">
            <v xml:space="preserve">FPER </v>
          </cell>
        </row>
        <row r="17">
          <cell r="A17" t="str">
            <v>FESP - ALMOXARIFADO</v>
          </cell>
          <cell r="B17" t="str">
            <v xml:space="preserve">FESP </v>
          </cell>
        </row>
        <row r="18">
          <cell r="A18" t="str">
            <v>FESP - MECANICOS</v>
          </cell>
          <cell r="B18" t="str">
            <v xml:space="preserve">FESP </v>
          </cell>
        </row>
        <row r="19">
          <cell r="A19" t="str">
            <v>FESP - MDO GESTAO MAN</v>
          </cell>
          <cell r="B19" t="str">
            <v xml:space="preserve">FESP </v>
          </cell>
        </row>
        <row r="20">
          <cell r="A20" t="str">
            <v>MTRZ - FINANCEIRO</v>
          </cell>
          <cell r="B20" t="str">
            <v xml:space="preserve">MTRZ </v>
          </cell>
        </row>
        <row r="21">
          <cell r="A21" t="str">
            <v>MDO LAVOURA TEMPORARIO - FPER</v>
          </cell>
          <cell r="B21" t="str">
            <v xml:space="preserve">FPER </v>
          </cell>
        </row>
        <row r="22">
          <cell r="A22" t="str">
            <v>MDO LAVOURA TEMPORARIO - FESP</v>
          </cell>
          <cell r="B22" t="str">
            <v xml:space="preserve">FESP </v>
          </cell>
        </row>
        <row r="23">
          <cell r="A23" t="str">
            <v>MTRZ - GESTAO DE PROCESSOS</v>
          </cell>
          <cell r="B23" t="str">
            <v xml:space="preserve">MTRZ </v>
          </cell>
        </row>
        <row r="24">
          <cell r="A24" t="str">
            <v>MTRZ - GENTE E GESTAO</v>
          </cell>
          <cell r="B24" t="str">
            <v xml:space="preserve">MTRZ </v>
          </cell>
        </row>
        <row r="25">
          <cell r="A25" t="str">
            <v>MTRZ - PLANEJAMENTO AGRICOLA</v>
          </cell>
          <cell r="B25" t="str">
            <v xml:space="preserve">MTRZ </v>
          </cell>
        </row>
        <row r="26">
          <cell r="A26" t="str">
            <v>ECFO - FINANCEIRO</v>
          </cell>
          <cell r="B26" t="str">
            <v xml:space="preserve">ECFO </v>
          </cell>
        </row>
        <row r="27">
          <cell r="A27" t="str">
            <v>AERONAVE - FEAR</v>
          </cell>
          <cell r="B27" t="str">
            <v xml:space="preserve">FEAR </v>
          </cell>
        </row>
        <row r="28">
          <cell r="A28" t="str">
            <v>FESP - FACILITIES</v>
          </cell>
          <cell r="B28" t="str">
            <v xml:space="preserve">FESP </v>
          </cell>
        </row>
        <row r="29">
          <cell r="A29" t="str">
            <v>FESP - SUPRIMENTOS/COMPRAS</v>
          </cell>
          <cell r="B29" t="str">
            <v xml:space="preserve">FESP </v>
          </cell>
        </row>
        <row r="30">
          <cell r="A30" t="str">
            <v>MDO LAVOURA TEMPORARIO - FEAR</v>
          </cell>
          <cell r="B30" t="str">
            <v xml:space="preserve">FEAR </v>
          </cell>
        </row>
        <row r="31">
          <cell r="A31" t="str">
            <v>MTRZ - CONTABILIDADE</v>
          </cell>
          <cell r="B31" t="str">
            <v xml:space="preserve">MTRZ </v>
          </cell>
        </row>
        <row r="32">
          <cell r="A32" t="str">
            <v>MTRZ - CIA</v>
          </cell>
          <cell r="B32" t="str">
            <v xml:space="preserve">MTRZ </v>
          </cell>
        </row>
        <row r="33">
          <cell r="A33" t="str">
            <v>MTRZ - COMERCIAL</v>
          </cell>
          <cell r="B33" t="str">
            <v xml:space="preserve">MTRZ </v>
          </cell>
        </row>
        <row r="34">
          <cell r="A34" t="str">
            <v>MTRZ - RECEPCAO/FACILITIES</v>
          </cell>
          <cell r="B34" t="str">
            <v xml:space="preserve">MTRZ </v>
          </cell>
        </row>
        <row r="35">
          <cell r="A35" t="str">
            <v>ADMINISTRATIVO - FESP</v>
          </cell>
          <cell r="B35" t="str">
            <v xml:space="preserve">FESP </v>
          </cell>
        </row>
        <row r="36">
          <cell r="A36" t="str">
            <v>FEAR - REFEITORIO</v>
          </cell>
          <cell r="B36" t="str">
            <v xml:space="preserve">FEAR </v>
          </cell>
        </row>
        <row r="37">
          <cell r="A37" t="str">
            <v>MTRZ - DIRETORIA FINANCEIRA</v>
          </cell>
          <cell r="B37" t="str">
            <v xml:space="preserve">MTRZ </v>
          </cell>
        </row>
        <row r="38">
          <cell r="A38" t="str">
            <v>FESP - MDO GESTAO ARMAZEM</v>
          </cell>
          <cell r="B38" t="str">
            <v xml:space="preserve">FESP </v>
          </cell>
        </row>
        <row r="39">
          <cell r="A39" t="str">
            <v>FESP - ADM. FAZENDAS</v>
          </cell>
          <cell r="B39" t="str">
            <v xml:space="preserve">FESP </v>
          </cell>
        </row>
        <row r="40">
          <cell r="A40" t="str">
            <v>MTRZ - SAÚDE E SEGURANÇA TRABALHO</v>
          </cell>
          <cell r="B40" t="str">
            <v xml:space="preserve">MTRZ </v>
          </cell>
        </row>
        <row r="41">
          <cell r="A41" t="str">
            <v>FESP - MDO MOTORISTAS AGRICOLAS</v>
          </cell>
          <cell r="B41" t="str">
            <v xml:space="preserve">FESP </v>
          </cell>
        </row>
        <row r="42">
          <cell r="A42" t="str">
            <v>MTRZ - TI</v>
          </cell>
          <cell r="B42" t="str">
            <v xml:space="preserve">MTRZ </v>
          </cell>
        </row>
        <row r="43">
          <cell r="A43" t="str">
            <v>FEAR - MDO OPERADORES AGRICOLAS TEMP</v>
          </cell>
          <cell r="B43" t="str">
            <v xml:space="preserve">FEAR </v>
          </cell>
        </row>
        <row r="44">
          <cell r="A44" t="str">
            <v>ECFO - GENTE E GESTAO</v>
          </cell>
          <cell r="B44" t="str">
            <v xml:space="preserve">ECFO </v>
          </cell>
        </row>
        <row r="45">
          <cell r="A45" t="str">
            <v>FESP - MDO APOIO AGRICOLA</v>
          </cell>
          <cell r="B45" t="str">
            <v xml:space="preserve">FESP </v>
          </cell>
        </row>
        <row r="46">
          <cell r="A46" t="str">
            <v>MTRZ - GESTAO DE PROJETOS</v>
          </cell>
          <cell r="B46" t="str">
            <v xml:space="preserve">MTRZ </v>
          </cell>
        </row>
        <row r="47">
          <cell r="A47" t="str">
            <v>FEAR - MDO GESTAO AGRICOLA</v>
          </cell>
          <cell r="B47" t="str">
            <v xml:space="preserve">FEAR </v>
          </cell>
        </row>
        <row r="48">
          <cell r="A48" t="str">
            <v>ECFO - ESCRITORIO ADM</v>
          </cell>
          <cell r="B48" t="str">
            <v xml:space="preserve">ECFO </v>
          </cell>
        </row>
        <row r="49">
          <cell r="A49" t="str">
            <v>FEAR - MDO MONITORES/TRAINEE</v>
          </cell>
          <cell r="B49" t="str">
            <v xml:space="preserve">FEAR </v>
          </cell>
        </row>
        <row r="50">
          <cell r="A50" t="str">
            <v>FESP - MDO OPERADORES AGRICOLAS TEMP</v>
          </cell>
          <cell r="B50" t="str">
            <v xml:space="preserve">FESP </v>
          </cell>
        </row>
        <row r="51">
          <cell r="A51" t="str">
            <v>FESP - MDO MONITORES/TRAINEE</v>
          </cell>
          <cell r="B51" t="str">
            <v xml:space="preserve">FESP </v>
          </cell>
        </row>
        <row r="52">
          <cell r="A52" t="str">
            <v>ECFO - RECEPCAO/FACILITIES</v>
          </cell>
          <cell r="B52" t="str">
            <v xml:space="preserve">ECFO </v>
          </cell>
        </row>
        <row r="53">
          <cell r="A53" t="str">
            <v>MTRZ - GESTAO PECUARIA</v>
          </cell>
          <cell r="B53" t="str">
            <v xml:space="preserve">MTRZ </v>
          </cell>
        </row>
        <row r="54">
          <cell r="A54" t="str">
            <v>FPER - MDO OPERADORES AGRICOLAS</v>
          </cell>
          <cell r="B54" t="str">
            <v xml:space="preserve">FPER </v>
          </cell>
        </row>
        <row r="55">
          <cell r="A55" t="str">
            <v>FPER - MDO GESTAO AGRICOLA</v>
          </cell>
          <cell r="B55" t="str">
            <v xml:space="preserve">FPER </v>
          </cell>
        </row>
        <row r="56">
          <cell r="A56" t="str">
            <v>FPER - MDO MOTORISTAS AGRICOLAS</v>
          </cell>
          <cell r="B56" t="str">
            <v xml:space="preserve">FPER </v>
          </cell>
        </row>
        <row r="57">
          <cell r="A57" t="str">
            <v>FPER - REFEITORIO</v>
          </cell>
          <cell r="B57" t="str">
            <v xml:space="preserve">FPER </v>
          </cell>
        </row>
        <row r="58">
          <cell r="A58" t="str">
            <v>FPAR - MDO OPERADORES AGRICOLAS</v>
          </cell>
          <cell r="B58" t="str">
            <v xml:space="preserve">FPAR </v>
          </cell>
        </row>
        <row r="59">
          <cell r="A59" t="str">
            <v>FPAR - MDO MOTORISTAS AGRICOLAS</v>
          </cell>
          <cell r="B59" t="str">
            <v xml:space="preserve">FPAR </v>
          </cell>
        </row>
        <row r="60">
          <cell r="A60" t="str">
            <v>FPAR - REFEITORIO</v>
          </cell>
          <cell r="B60" t="str">
            <v xml:space="preserve">FPAR </v>
          </cell>
        </row>
        <row r="61">
          <cell r="A61" t="str">
            <v>FBAG - MDO LAVOURA FIXO</v>
          </cell>
          <cell r="B61" t="str">
            <v xml:space="preserve">FBAG </v>
          </cell>
        </row>
        <row r="62">
          <cell r="A62" t="str">
            <v>FBAG - MDO OPERADORES AGRICOLAS</v>
          </cell>
          <cell r="B62" t="str">
            <v xml:space="preserve">FBAG </v>
          </cell>
        </row>
        <row r="63">
          <cell r="A63" t="str">
            <v>FPAR - MDO GESTAO ARMAZEM</v>
          </cell>
          <cell r="B63" t="str">
            <v xml:space="preserve">FPAR </v>
          </cell>
        </row>
        <row r="64">
          <cell r="A64" t="str">
            <v>FPAR - MDO ARMAZEM - TEMP</v>
          </cell>
          <cell r="B64" t="str">
            <v xml:space="preserve">FPAR </v>
          </cell>
        </row>
        <row r="65">
          <cell r="A65" t="str">
            <v>MDO LAVOURA TEMPORARIO - FPAR</v>
          </cell>
          <cell r="B65" t="str">
            <v xml:space="preserve">FPAR </v>
          </cell>
        </row>
        <row r="66">
          <cell r="A66" t="str">
            <v>FPAR - MDO OPERADORES ARMAZEM</v>
          </cell>
          <cell r="B66" t="str">
            <v xml:space="preserve">FPAR </v>
          </cell>
        </row>
        <row r="67">
          <cell r="A67" t="str">
            <v>MDO ARMAZEM FIXO - FBAG</v>
          </cell>
          <cell r="B67" t="str">
            <v xml:space="preserve">FBAG </v>
          </cell>
        </row>
        <row r="68">
          <cell r="A68" t="str">
            <v>FESP - REFEITORIO</v>
          </cell>
          <cell r="B68" t="str">
            <v xml:space="preserve">FESP </v>
          </cell>
        </row>
        <row r="69">
          <cell r="A69" t="str">
            <v>FPAR - MDO APOIO ARMAZEM</v>
          </cell>
          <cell r="B69" t="str">
            <v xml:space="preserve">FPAR </v>
          </cell>
        </row>
        <row r="70">
          <cell r="A70" t="str">
            <v>MDO ARMAZEM TEMPORARIO - FPAR</v>
          </cell>
          <cell r="B70" t="str">
            <v xml:space="preserve">FPAR </v>
          </cell>
        </row>
        <row r="71">
          <cell r="A71" t="str">
            <v>FESP - VIGILÂNCIA/PORTARIA</v>
          </cell>
          <cell r="B71" t="str">
            <v xml:space="preserve">FESP </v>
          </cell>
        </row>
        <row r="72">
          <cell r="A72" t="str">
            <v>MDO ARMAZEM FIXO - FESP</v>
          </cell>
          <cell r="B72" t="str">
            <v xml:space="preserve">FESP </v>
          </cell>
        </row>
        <row r="73">
          <cell r="A73" t="str">
            <v>FBAG - MDO GESTAO AGRICOLA</v>
          </cell>
          <cell r="B73" t="str">
            <v xml:space="preserve">FBAG </v>
          </cell>
        </row>
        <row r="74">
          <cell r="A74" t="str">
            <v>FBAG - MDO ARMAZEM - TEMP</v>
          </cell>
          <cell r="B74" t="str">
            <v xml:space="preserve">FBAG </v>
          </cell>
        </row>
        <row r="75">
          <cell r="A75" t="str">
            <v>FBAG - MDO GESTAO ARMAZEM</v>
          </cell>
          <cell r="B75" t="str">
            <v xml:space="preserve">FBAG </v>
          </cell>
        </row>
        <row r="76">
          <cell r="A76" t="str">
            <v>FBAG - MDO ADM FAZENDA</v>
          </cell>
          <cell r="B76" t="str">
            <v xml:space="preserve">FBAG </v>
          </cell>
        </row>
        <row r="77">
          <cell r="A77" t="str">
            <v>FPAR - ADM. FAZENDAS</v>
          </cell>
          <cell r="B77" t="str">
            <v xml:space="preserve">FPAR </v>
          </cell>
        </row>
        <row r="78">
          <cell r="A78" t="str">
            <v>FPAR - REFEITORIO TEMP</v>
          </cell>
          <cell r="B78" t="str">
            <v xml:space="preserve">FPAR </v>
          </cell>
        </row>
        <row r="79">
          <cell r="A79" t="str">
            <v>FPAR - MDO GESTAO AGRICOLA</v>
          </cell>
          <cell r="B79" t="str">
            <v xml:space="preserve">FPAR </v>
          </cell>
        </row>
        <row r="80">
          <cell r="A80" t="str">
            <v>FBAG - MDO MOTORISTAS AGRICOLAS</v>
          </cell>
          <cell r="B80" t="str">
            <v xml:space="preserve">FBAG </v>
          </cell>
        </row>
        <row r="81">
          <cell r="A81" t="str">
            <v>FBAG - MDO APOIO ARMAZEM</v>
          </cell>
          <cell r="B81" t="str">
            <v xml:space="preserve">FBAG </v>
          </cell>
        </row>
        <row r="82">
          <cell r="A82" t="str">
            <v>FBAG - FACILITIES</v>
          </cell>
          <cell r="B82" t="str">
            <v xml:space="preserve">FBAG </v>
          </cell>
        </row>
        <row r="83">
          <cell r="A83" t="str">
            <v>FBAG - MDO OPERADORES ARMAZEM</v>
          </cell>
          <cell r="B83" t="str">
            <v xml:space="preserve">FBAG </v>
          </cell>
        </row>
        <row r="84">
          <cell r="A84" t="str">
            <v>FBAG - REFEITORIO</v>
          </cell>
          <cell r="B84" t="str">
            <v xml:space="preserve">FBAG </v>
          </cell>
        </row>
        <row r="85">
          <cell r="A85" t="str">
            <v>FBAG - MDO ARMAZEM</v>
          </cell>
          <cell r="B85" t="str">
            <v xml:space="preserve">FBAG </v>
          </cell>
        </row>
        <row r="86">
          <cell r="A86" t="str">
            <v>MDO LAVOURA TEMPORARIO - FBAG</v>
          </cell>
          <cell r="B86" t="str">
            <v xml:space="preserve">FBAG </v>
          </cell>
        </row>
        <row r="87">
          <cell r="A87" t="str">
            <v>MDO ARMAZEM TEMPORARIO - FBAG</v>
          </cell>
          <cell r="B87" t="str">
            <v xml:space="preserve">FBAG </v>
          </cell>
        </row>
        <row r="88">
          <cell r="A88" t="str">
            <v>FPAR - MDO ADM FAZENDA</v>
          </cell>
          <cell r="B88" t="str">
            <v xml:space="preserve">FPAR </v>
          </cell>
        </row>
        <row r="89">
          <cell r="A89" t="str">
            <v>FPAR - MDO MONITORES/TRAINEE</v>
          </cell>
          <cell r="B89" t="str">
            <v xml:space="preserve">FPAR </v>
          </cell>
        </row>
        <row r="90">
          <cell r="A90" t="str">
            <v>FPAR - MDO ARMAZEM TEMP</v>
          </cell>
          <cell r="B90" t="str">
            <v xml:space="preserve">FPAR </v>
          </cell>
        </row>
        <row r="91">
          <cell r="A91" t="str">
            <v>FESP - FISCAL</v>
          </cell>
          <cell r="B91" t="str">
            <v xml:space="preserve">FESP </v>
          </cell>
        </row>
        <row r="92">
          <cell r="A92" t="str">
            <v>FBAG - MDO APOIO AGRICOLA</v>
          </cell>
          <cell r="B92" t="str">
            <v xml:space="preserve">FBAG </v>
          </cell>
        </row>
        <row r="93">
          <cell r="A93" t="str">
            <v>FPAR - MDO APOIO AGRICOLA TEMP</v>
          </cell>
          <cell r="B93" t="str">
            <v xml:space="preserve">FPAR </v>
          </cell>
        </row>
        <row r="94">
          <cell r="A94" t="str">
            <v>MDO ARMAZEM TEMPORARIO - FESP</v>
          </cell>
          <cell r="B94" t="str">
            <v xml:space="preserve">FESP </v>
          </cell>
        </row>
        <row r="95">
          <cell r="A95" t="str">
            <v>MDO LAVOURA FIXO - FHOL</v>
          </cell>
          <cell r="B95" t="str">
            <v>FHOL</v>
          </cell>
        </row>
        <row r="96">
          <cell r="A96" t="str">
            <v>FNOH - MDO GESTAO AGRICOLA</v>
          </cell>
          <cell r="B96" t="str">
            <v xml:space="preserve">FNOH </v>
          </cell>
        </row>
        <row r="97">
          <cell r="A97" t="str">
            <v>FPAR - FACILITIES</v>
          </cell>
          <cell r="B97" t="str">
            <v xml:space="preserve">FPAR </v>
          </cell>
        </row>
        <row r="98">
          <cell r="A98" t="str">
            <v>FPAR - VIGILÂNCIA/PORTARIA</v>
          </cell>
          <cell r="B98" t="str">
            <v xml:space="preserve">FPAR </v>
          </cell>
        </row>
        <row r="99">
          <cell r="A99" t="str">
            <v>FPAR - MDO OPERADORES AGRICOLAS TEMP</v>
          </cell>
          <cell r="B99" t="str">
            <v xml:space="preserve">FPAR </v>
          </cell>
        </row>
        <row r="100">
          <cell r="A100" t="str">
            <v>ADMINISTRATIVO - FHOL</v>
          </cell>
          <cell r="B100" t="str">
            <v>FHOL</v>
          </cell>
        </row>
        <row r="101">
          <cell r="A101" t="str">
            <v>MDO CONSTRUCAO - FHOL</v>
          </cell>
          <cell r="B101" t="str">
            <v>FHOL</v>
          </cell>
        </row>
        <row r="102">
          <cell r="A102" t="str">
            <v>MDO LAVOURA TEMPORARIO - FHOL</v>
          </cell>
          <cell r="B102" t="str">
            <v>FHOL</v>
          </cell>
        </row>
        <row r="103">
          <cell r="A103" t="str">
            <v>FPAR - FACILITIES TEMP</v>
          </cell>
          <cell r="B103" t="str">
            <v xml:space="preserve">FPAR </v>
          </cell>
        </row>
        <row r="104">
          <cell r="A104" t="str">
            <v>FNOH - MDO GESTAO PECUARIA</v>
          </cell>
          <cell r="B104" t="str">
            <v xml:space="preserve">FNOH </v>
          </cell>
        </row>
        <row r="105">
          <cell r="A105" t="str">
            <v>ERBR - ESCRITORIO ADM</v>
          </cell>
          <cell r="B105" t="str">
            <v xml:space="preserve">ERBR </v>
          </cell>
        </row>
        <row r="106">
          <cell r="A106" t="str">
            <v>FNOH - MDO OPERACAO PASTAGEM</v>
          </cell>
          <cell r="B106" t="str">
            <v xml:space="preserve">FNOH </v>
          </cell>
        </row>
        <row r="107">
          <cell r="A107" t="str">
            <v>FNOH - TRABALHADORES PECUARIA</v>
          </cell>
          <cell r="B107" t="str">
            <v xml:space="preserve">FNOH </v>
          </cell>
        </row>
        <row r="108">
          <cell r="A108" t="str">
            <v>FNOH - MDO OPERADORES AGRICOLAS</v>
          </cell>
          <cell r="B108" t="str">
            <v xml:space="preserve">FNOH </v>
          </cell>
        </row>
        <row r="109">
          <cell r="A109" t="str">
            <v>FNOH - REFEITORIO</v>
          </cell>
          <cell r="B109" t="str">
            <v xml:space="preserve">FNOH </v>
          </cell>
        </row>
        <row r="110">
          <cell r="A110" t="str">
            <v>FPAR - MDO APOIO AGRICOLA</v>
          </cell>
          <cell r="B110" t="str">
            <v xml:space="preserve">FPAR </v>
          </cell>
        </row>
        <row r="111">
          <cell r="A111" t="str">
            <v>FESP - CIA</v>
          </cell>
          <cell r="B111" t="str">
            <v xml:space="preserve">FESP </v>
          </cell>
        </row>
        <row r="112">
          <cell r="A112" t="str">
            <v>FSTV - MDO GESTAO AGRICOLA</v>
          </cell>
          <cell r="B112" t="str">
            <v xml:space="preserve">FSTV </v>
          </cell>
        </row>
        <row r="113">
          <cell r="A113" t="str">
            <v>MDO LAVOURA FIXO - FSTV</v>
          </cell>
          <cell r="B113" t="str">
            <v xml:space="preserve">FSTV </v>
          </cell>
        </row>
        <row r="114">
          <cell r="A114" t="str">
            <v>FBLA - MDO OPERADORES AGRICOLAS</v>
          </cell>
          <cell r="B114" t="str">
            <v xml:space="preserve">FBLA </v>
          </cell>
        </row>
        <row r="115">
          <cell r="A115" t="str">
            <v>FSTV - MDO OPERADORES AGRICOLAS</v>
          </cell>
          <cell r="B115" t="str">
            <v xml:space="preserve">FSTV </v>
          </cell>
        </row>
        <row r="116">
          <cell r="A116" t="str">
            <v>FESP - MDO ARMAZEM</v>
          </cell>
          <cell r="B116" t="str">
            <v xml:space="preserve">FESP </v>
          </cell>
        </row>
        <row r="117">
          <cell r="A117" t="str">
            <v>FSTV - REFEITORIO</v>
          </cell>
          <cell r="B117" t="str">
            <v xml:space="preserve">FSTV </v>
          </cell>
        </row>
        <row r="118">
          <cell r="A118" t="str">
            <v>FBLA - TRABALHADORES PECUARIA</v>
          </cell>
          <cell r="B118" t="str">
            <v xml:space="preserve">FBLA </v>
          </cell>
        </row>
        <row r="119">
          <cell r="A119" t="str">
            <v>MDO LAVOURA TEMPORARIO - FSTV</v>
          </cell>
          <cell r="B119" t="str">
            <v xml:space="preserve">FSTV </v>
          </cell>
        </row>
        <row r="120">
          <cell r="A120" t="str">
            <v>FESP - MDO ARMAZEM TEMP</v>
          </cell>
          <cell r="B120" t="str">
            <v xml:space="preserve">FESP </v>
          </cell>
        </row>
        <row r="121">
          <cell r="A121" t="str">
            <v>FBLA - MDO GESTAO AGRICOLA</v>
          </cell>
          <cell r="B121" t="str">
            <v xml:space="preserve">FBLA </v>
          </cell>
        </row>
        <row r="122">
          <cell r="A122" t="str">
            <v>FBLA - MDO MOTORISTAS AGRICOLAS</v>
          </cell>
          <cell r="B122" t="str">
            <v xml:space="preserve">FBLA </v>
          </cell>
        </row>
        <row r="123">
          <cell r="A123" t="str">
            <v>FESP - MDO APOIO ARMAZEM</v>
          </cell>
          <cell r="B123" t="str">
            <v xml:space="preserve">FESP </v>
          </cell>
        </row>
        <row r="124">
          <cell r="A124" t="str">
            <v>FSTV - MDO MOTORISTAS AGRICOLAS</v>
          </cell>
          <cell r="B124" t="str">
            <v xml:space="preserve">FSTV </v>
          </cell>
        </row>
        <row r="125">
          <cell r="A125" t="str">
            <v>FSTV - FACILITIES</v>
          </cell>
          <cell r="B125" t="str">
            <v xml:space="preserve">FSTV </v>
          </cell>
        </row>
        <row r="126">
          <cell r="A126" t="str">
            <v>FESP - MDO OPERADORES ARMAZEM</v>
          </cell>
          <cell r="B126" t="str">
            <v xml:space="preserve">FESP </v>
          </cell>
        </row>
        <row r="127">
          <cell r="A127" t="str">
            <v>FBLA - MDO ADM FAZENDA</v>
          </cell>
          <cell r="B127" t="str">
            <v xml:space="preserve">FBLA </v>
          </cell>
        </row>
        <row r="128">
          <cell r="A128" t="str">
            <v>FSTV - MDO MONITORES/TRAINEE</v>
          </cell>
          <cell r="B128" t="str">
            <v xml:space="preserve">FSTV </v>
          </cell>
        </row>
        <row r="129">
          <cell r="A129" t="str">
            <v>FBLA - REFEITORIO</v>
          </cell>
          <cell r="B129" t="str">
            <v xml:space="preserve">FBLA </v>
          </cell>
        </row>
        <row r="130">
          <cell r="A130" t="str">
            <v>FBLA - MDO APOIO AGRICOLA</v>
          </cell>
          <cell r="B130" t="str">
            <v xml:space="preserve">FBLA </v>
          </cell>
        </row>
        <row r="131">
          <cell r="A131" t="str">
            <v>FSTV - MDO APOIO AGRICOLA</v>
          </cell>
          <cell r="B131" t="str">
            <v xml:space="preserve">FSTV </v>
          </cell>
        </row>
        <row r="132">
          <cell r="A132" t="str">
            <v>FBLA - REFEITORIO TEMP</v>
          </cell>
          <cell r="B132" t="str">
            <v xml:space="preserve">FBLA </v>
          </cell>
        </row>
        <row r="133">
          <cell r="A133" t="str">
            <v>FESP - MDO ARMAZEM - TEMP</v>
          </cell>
          <cell r="B133" t="str">
            <v xml:space="preserve">FESP </v>
          </cell>
        </row>
        <row r="134">
          <cell r="A134" t="str">
            <v>FBLA - MDO OPERACAO CONFINAMENTO</v>
          </cell>
          <cell r="B134" t="str">
            <v xml:space="preserve">FBLA </v>
          </cell>
        </row>
        <row r="135">
          <cell r="A135" t="str">
            <v>FSTV - ADM. FAZENDAS</v>
          </cell>
          <cell r="B135" t="str">
            <v xml:space="preserve">FSTV </v>
          </cell>
        </row>
        <row r="136">
          <cell r="A136" t="str">
            <v>FSTV - MDO GESTAO MAN</v>
          </cell>
          <cell r="B136" t="str">
            <v xml:space="preserve">FSTV </v>
          </cell>
        </row>
        <row r="137">
          <cell r="A137" t="str">
            <v>FSTV - ADM. FAZENDAS TEMP</v>
          </cell>
          <cell r="B137" t="str">
            <v xml:space="preserve">FSTV </v>
          </cell>
        </row>
        <row r="138">
          <cell r="A138" t="str">
            <v>FBLA - MDO MONITORES/TRAINEE</v>
          </cell>
          <cell r="B138" t="str">
            <v xml:space="preserve">FBLA </v>
          </cell>
        </row>
        <row r="139">
          <cell r="A139" t="str">
            <v>FSTV - MDO OPERADORES AGRICOLAS TEMP</v>
          </cell>
          <cell r="B139" t="str">
            <v xml:space="preserve">FSTV </v>
          </cell>
        </row>
        <row r="140">
          <cell r="A140" t="str">
            <v>FBLA - MDO OPERACAO PASTAGEM</v>
          </cell>
          <cell r="B140" t="str">
            <v xml:space="preserve">FBLA </v>
          </cell>
        </row>
        <row r="141">
          <cell r="A141" t="str">
            <v>FBLA - REFEITORIO PEC</v>
          </cell>
          <cell r="B141" t="str">
            <v xml:space="preserve">FBLA </v>
          </cell>
        </row>
        <row r="142">
          <cell r="A142" t="str">
            <v>FSTV - GENTE E GESTAO</v>
          </cell>
          <cell r="B142" t="str">
            <v xml:space="preserve">FSTV </v>
          </cell>
        </row>
        <row r="143">
          <cell r="A143" t="str">
            <v>FBLA - FACILITIES</v>
          </cell>
          <cell r="B143" t="str">
            <v xml:space="preserve">FBLA </v>
          </cell>
        </row>
        <row r="144">
          <cell r="A144" t="str">
            <v>FBLA - MDO GESTAO PECUARIA</v>
          </cell>
          <cell r="B144" t="str">
            <v xml:space="preserve">FBLA </v>
          </cell>
        </row>
        <row r="145">
          <cell r="A145" t="str">
            <v>FBLA - MECANICOS</v>
          </cell>
          <cell r="B145" t="str">
            <v xml:space="preserve">FBLA </v>
          </cell>
        </row>
        <row r="146">
          <cell r="A146" t="str">
            <v>FBLA - ADM. FAZENDAS</v>
          </cell>
          <cell r="B146" t="str">
            <v xml:space="preserve">FBLA </v>
          </cell>
        </row>
        <row r="147">
          <cell r="A147" t="str">
            <v>FSTV - MDO ADM FAZENDA</v>
          </cell>
          <cell r="B147" t="str">
            <v xml:space="preserve">FSTV </v>
          </cell>
        </row>
        <row r="148">
          <cell r="A148" t="str">
            <v>FSTV - ALMOXARIFADO</v>
          </cell>
          <cell r="B148" t="str">
            <v xml:space="preserve">FSTV </v>
          </cell>
        </row>
        <row r="149">
          <cell r="A149" t="str">
            <v>FBLA - ADM. FAZENDAS PEC</v>
          </cell>
          <cell r="B149" t="str">
            <v xml:space="preserve">FBLA </v>
          </cell>
        </row>
        <row r="150">
          <cell r="A150" t="str">
            <v>FBLA - ALMOXARIFADO</v>
          </cell>
          <cell r="B150" t="str">
            <v xml:space="preserve">FBLA </v>
          </cell>
        </row>
        <row r="151">
          <cell r="A151" t="str">
            <v>FBLA - FACILITIES PEC</v>
          </cell>
          <cell r="B151" t="str">
            <v xml:space="preserve">FBLA </v>
          </cell>
        </row>
        <row r="152">
          <cell r="A152" t="str">
            <v>FSTV - REFEITORIO TEMP</v>
          </cell>
          <cell r="B152" t="str">
            <v xml:space="preserve">FSTV </v>
          </cell>
        </row>
        <row r="153">
          <cell r="A153" t="str">
            <v>RESI - THOMAS - PF LCDPR</v>
          </cell>
          <cell r="B153" t="str">
            <v>RESI</v>
          </cell>
        </row>
        <row r="154">
          <cell r="A154" t="str">
            <v>FBAG - MDO APOIO AGRICOLA TEMP</v>
          </cell>
          <cell r="B154" t="str">
            <v xml:space="preserve">FBAG </v>
          </cell>
        </row>
        <row r="155">
          <cell r="A155" t="str">
            <v>FESP - FACILITIES TEMP</v>
          </cell>
          <cell r="B155" t="str">
            <v xml:space="preserve">FESP </v>
          </cell>
        </row>
        <row r="156">
          <cell r="A156" t="str">
            <v>FBAG - MDO APOIO AGRICOLA TEMP</v>
          </cell>
          <cell r="B156" t="str">
            <v xml:space="preserve">FBAG </v>
          </cell>
        </row>
        <row r="157">
          <cell r="A157" t="str">
            <v>FNOH - REFEITORIO PEC</v>
          </cell>
          <cell r="B157" t="str">
            <v xml:space="preserve">FNOH </v>
          </cell>
        </row>
        <row r="158">
          <cell r="A158" t="str">
            <v>FNOH - FACILITIES PEC</v>
          </cell>
          <cell r="B158" t="str">
            <v xml:space="preserve">FNOH </v>
          </cell>
        </row>
        <row r="159">
          <cell r="A159" t="str">
            <v>FSTV - MDO ADM. FAZENDAS TEMP</v>
          </cell>
          <cell r="B159" t="str">
            <v xml:space="preserve">FSTV </v>
          </cell>
        </row>
        <row r="160">
          <cell r="A160" t="str">
            <v>FBLA - MDO OPERACAO PASTAGEM TEMP</v>
          </cell>
          <cell r="B160" t="str">
            <v xml:space="preserve">FBLA </v>
          </cell>
        </row>
        <row r="161">
          <cell r="A161" t="str">
            <v>FBLA - MDO ADM. FAZENDAS PEC</v>
          </cell>
          <cell r="B161" t="str">
            <v xml:space="preserve">FBLA </v>
          </cell>
        </row>
        <row r="162">
          <cell r="A162" t="str">
            <v>FBLA - MDO APOIO AGRICOLA TEMP</v>
          </cell>
          <cell r="B162" t="str">
            <v xml:space="preserve">FBLA </v>
          </cell>
        </row>
        <row r="163">
          <cell r="A163" t="str">
            <v>FBLA - MDO APOIO AGRICOLA TEMP</v>
          </cell>
          <cell r="B163" t="str">
            <v xml:space="preserve">FBLA </v>
          </cell>
        </row>
        <row r="164">
          <cell r="A164" t="str">
            <v>FBLA - MDO OPERACAO PASTAGEM TEMP</v>
          </cell>
          <cell r="B164" t="str">
            <v xml:space="preserve">FBLA </v>
          </cell>
        </row>
        <row r="165">
          <cell r="A165" t="str">
            <v>FSTV - MDO ADM. FAZENDAS TEMP</v>
          </cell>
          <cell r="B165" t="str">
            <v xml:space="preserve">FSTV </v>
          </cell>
        </row>
        <row r="166">
          <cell r="A166" t="str">
            <v>FSTV - MDO ADM. FAZENDAS TEMP</v>
          </cell>
          <cell r="B166" t="str">
            <v xml:space="preserve">FSTV </v>
          </cell>
        </row>
        <row r="167">
          <cell r="A167" t="str">
            <v>FSTV - MDO ADM. FAZENDAS TEMP</v>
          </cell>
          <cell r="B167" t="str">
            <v xml:space="preserve">FSTV 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28E63C-3DE6-469E-A105-019A45B0AC2D}" name="Tabela1" displayName="Tabela1" ref="A1:S430" totalsRowShown="0" headerRowDxfId="32" dataDxfId="31" headerRowCellStyle="Ruim" dataCellStyle="Ruim">
  <autoFilter ref="A1:S430" xr:uid="{DB28E63C-3DE6-469E-A105-019A45B0AC2D}"/>
  <tableColumns count="19">
    <tableColumn id="1" xr3:uid="{FE8FEBA6-B8E7-484B-80FC-4EEE91454EA2}" name="Fazenda" dataDxfId="30" dataCellStyle="Ruim"/>
    <tableColumn id="3" xr3:uid="{2D0E7970-6DE8-4F56-8E32-D7D9A782AB38}" name="Cargo Lider"/>
    <tableColumn id="19" xr3:uid="{D4232793-F25B-4EDC-9C99-4313DB7E4DD4}" name="Diretor" dataDxfId="29"/>
    <tableColumn id="18" xr3:uid="{DB357813-B796-4A0C-B6EC-B1963FFC7F27}" name="Gerente"/>
    <tableColumn id="17" xr3:uid="{CBE3D0EC-9CA2-4D67-9AFB-F94B2AED7A84}" name="Coordenador"/>
    <tableColumn id="16" xr3:uid="{306331C4-5820-44EE-A15B-3C149A45FFA5}" name="Supervisor"/>
    <tableColumn id="2" xr3:uid="{A839A69B-2876-47A5-9D50-E55EC607D98C}" name="Lider" dataDxfId="28" dataCellStyle="Ruim"/>
    <tableColumn id="4" xr3:uid="{A187D8A2-DC97-4CA1-88C4-7626FC0831A0}" name="Gestor?" dataDxfId="27" dataCellStyle="Ruim">
      <calculatedColumnFormula>COUNTIF(C:G,Tabela1[[#This Row],[Liderado]])</calculatedColumnFormula>
    </tableColumn>
    <tableColumn id="5" xr3:uid="{8F5A9AC3-13BB-4345-992C-2B393F35CD16}" name="Liderado" dataDxfId="26" dataCellStyle="Ruim"/>
    <tableColumn id="6" xr3:uid="{DECE8E7A-897F-45BF-975B-D7E2F24F6436}" name="DescricaoCargo" dataDxfId="25" dataCellStyle="Ruim"/>
    <tableColumn id="7" xr3:uid="{755CE9C8-E2B2-4630-93C4-33E5669E6DF5}" name="DescricaoTipoAdmissao" dataDxfId="24" dataCellStyle="Ruim"/>
    <tableColumn id="8" xr3:uid="{15F1EA1C-3CB9-4FBD-9603-F317F296213D}" name="Situacao" dataDxfId="23" dataCellStyle="Título 3"/>
    <tableColumn id="9" xr3:uid="{22BF34E8-865A-4751-A490-9A6265F82C2B}" name="DescricaoSituacao" dataDxfId="22" dataCellStyle="Ruim"/>
    <tableColumn id="10" xr3:uid="{AB664AC7-CCDD-4CE8-A474-5FD80F965913}" name="Local" dataDxfId="21" dataCellStyle="Título 3"/>
    <tableColumn id="11" xr3:uid="{A4E9F078-6FA2-4FF6-8A9A-08EB6C76EC91}" name="Area" dataDxfId="20" dataCellStyle="Ruim"/>
    <tableColumn id="12" xr3:uid="{54DB8886-B865-488B-A12E-4752AEC6DC33}" name="CentroDeCusto" dataDxfId="19" dataCellStyle="Ruim"/>
    <tableColumn id="13" xr3:uid="{CE2155F5-8DBD-47D2-BE07-C0EAA0C1DAB3}" name="Setor" dataDxfId="18" dataCellStyle="Ruim"/>
    <tableColumn id="14" xr3:uid="{5136D5DB-B23F-4EBC-8042-3A5E7151CD11}" name="Coluna2" dataDxfId="17" dataCellStyle="Ruim"/>
    <tableColumn id="15" xr3:uid="{386EAD47-5B87-4800-BDAD-88840AA71B6A}" name="DescricaoPosto" dataDxfId="16" dataCellStyle="Ruim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0FFF6EF-B19F-48DD-AD87-8815F29BA3B8}" name="Tabela13" displayName="Tabela13" ref="A1:S373" totalsRowShown="0" headerRowDxfId="15" dataDxfId="14" headerRowCellStyle="Ruim" dataCellStyle="Ruim">
  <autoFilter ref="A1:S373" xr:uid="{DB28E63C-3DE6-469E-A105-019A45B0AC2D}"/>
  <sortState xmlns:xlrd2="http://schemas.microsoft.com/office/spreadsheetml/2017/richdata2" ref="A2:S373">
    <sortCondition ref="H1:H373"/>
  </sortState>
  <tableColumns count="19">
    <tableColumn id="1" xr3:uid="{C2499F61-D4C3-4C69-8F6C-1B39AEFB9D45}" name="Fazenda" dataDxfId="13" dataCellStyle="Ruim"/>
    <tableColumn id="2" xr3:uid="{B458B7D7-3249-4E68-A64F-7E71F9F2E200}" name="Lider" dataDxfId="12" dataCellStyle="Ruim"/>
    <tableColumn id="3" xr3:uid="{826A3304-B0D1-4146-A15C-0DACFE206C4C}" name="Cargo Lider"/>
    <tableColumn id="19" xr3:uid="{F3B3A24D-2021-4D2E-A54A-9BA6B5363A68}" name="Coluna5" dataDxfId="11">
      <calculatedColumnFormula array="1">IF(Tabela13[[#This Row],[Nivel]]="N1",INDEX(Tabela13[Lider],MATCH(Tabela13[[#This Row],[Nivel]]&amp;Tabela13[[#This Row],[Liderado]],Tabela13[Nivel]&amp;Tabela13[Liderado],0)))</calculatedColumnFormula>
    </tableColumn>
    <tableColumn id="18" xr3:uid="{82B7DC98-31BB-4827-A0CE-EC63F6CC2184}" name="Coluna4"/>
    <tableColumn id="17" xr3:uid="{8501E6BB-765F-43BC-BE61-94F306B064E8}" name="Coluna3"/>
    <tableColumn id="16" xr3:uid="{A6DBA62D-705E-44C1-BB3F-538B54B4DA98}" name="Coluna1"/>
    <tableColumn id="4" xr3:uid="{F9F40F93-0E2B-4273-8C72-80582A2C8AED}" name="Nivel"/>
    <tableColumn id="5" xr3:uid="{2D64B088-844E-457E-AE75-777BEAE1F708}" name="Liderado" dataDxfId="10" dataCellStyle="Ruim"/>
    <tableColumn id="6" xr3:uid="{4853ECA7-1CDB-4D46-8EE8-3508E4651FC6}" name="DescricaoCargo" dataDxfId="9" dataCellStyle="Ruim"/>
    <tableColumn id="7" xr3:uid="{AD24F625-2723-4557-8143-50FEC389C4CC}" name="DescricaoTipoAdmissao" dataDxfId="8" dataCellStyle="Ruim"/>
    <tableColumn id="8" xr3:uid="{934AC2C9-738F-49CD-B2BF-5758EE3DAC06}" name="Situacao" dataDxfId="7" dataCellStyle="Título 3"/>
    <tableColumn id="9" xr3:uid="{9068BA88-558A-4996-92BB-881F840AB8DF}" name="DescricaoSituacao" dataDxfId="6" dataCellStyle="Ruim"/>
    <tableColumn id="10" xr3:uid="{5BCBE213-B2C0-489B-BDB6-A09018A663BB}" name="Local" dataDxfId="5" dataCellStyle="Título 3"/>
    <tableColumn id="11" xr3:uid="{9018545E-C761-44C7-87A5-D43FCF0DA0A0}" name="Area" dataDxfId="4" dataCellStyle="Ruim"/>
    <tableColumn id="12" xr3:uid="{06A21380-E829-459E-9BBD-EA92EAA6D0BA}" name="CentroDeCusto" dataDxfId="3" dataCellStyle="Ruim"/>
    <tableColumn id="13" xr3:uid="{16B7F86B-1632-4F70-BE3A-BC6F05791702}" name="Setor" dataDxfId="2" dataCellStyle="Ruim"/>
    <tableColumn id="14" xr3:uid="{5A105360-B651-46DE-AE36-A42182BF220B}" name="Coluna2" dataDxfId="1" dataCellStyle="Ruim"/>
    <tableColumn id="15" xr3:uid="{E51CD629-554E-41ED-BA39-0ED9070BAD23}" name="DescricaoPosto" dataDxfId="0" dataCellStyle="Rui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30"/>
  <sheetViews>
    <sheetView tabSelected="1" workbookViewId="0">
      <selection activeCell="G9" sqref="G9"/>
    </sheetView>
  </sheetViews>
  <sheetFormatPr defaultRowHeight="15" outlineLevelCol="1" x14ac:dyDescent="0.25"/>
  <cols>
    <col min="1" max="1" width="9.5703125" customWidth="1"/>
    <col min="2" max="3" width="31.140625" bestFit="1" customWidth="1"/>
    <col min="4" max="7" width="31.140625" customWidth="1"/>
    <col min="8" max="8" width="31.140625" hidden="1" customWidth="1" outlineLevel="1"/>
    <col min="9" max="9" width="31.85546875" bestFit="1" customWidth="1" collapsed="1"/>
    <col min="10" max="10" width="38.85546875" bestFit="1" customWidth="1"/>
    <col min="11" max="11" width="29.28515625" bestFit="1" customWidth="1"/>
    <col min="12" max="12" width="22.28515625" customWidth="1"/>
    <col min="13" max="13" width="9.7109375" customWidth="1"/>
    <col min="14" max="14" width="17.42578125" customWidth="1"/>
    <col min="15" max="16" width="30.7109375" bestFit="1" customWidth="1"/>
    <col min="17" max="17" width="15.28515625" customWidth="1"/>
    <col min="18" max="18" width="31.7109375" customWidth="1"/>
    <col min="19" max="19" width="10.7109375" bestFit="1" customWidth="1"/>
    <col min="20" max="20" width="55.28515625" bestFit="1" customWidth="1"/>
  </cols>
  <sheetData>
    <row r="1" spans="1:19" x14ac:dyDescent="0.25">
      <c r="A1" s="3" t="s">
        <v>675</v>
      </c>
      <c r="B1" s="3" t="s">
        <v>734</v>
      </c>
      <c r="C1" s="3" t="s">
        <v>749</v>
      </c>
      <c r="D1" s="3" t="s">
        <v>750</v>
      </c>
      <c r="E1" s="3" t="s">
        <v>2136</v>
      </c>
      <c r="F1" s="3" t="s">
        <v>751</v>
      </c>
      <c r="G1" s="3" t="s">
        <v>744</v>
      </c>
      <c r="H1" s="3" t="s">
        <v>2138</v>
      </c>
      <c r="I1" s="3" t="s">
        <v>676</v>
      </c>
      <c r="J1" s="3" t="s">
        <v>0</v>
      </c>
      <c r="K1" s="3" t="s">
        <v>1</v>
      </c>
      <c r="L1" s="3" t="s">
        <v>2</v>
      </c>
      <c r="M1" s="3" t="s">
        <v>3</v>
      </c>
      <c r="N1" s="3" t="s">
        <v>5</v>
      </c>
      <c r="O1" s="3" t="s">
        <v>742</v>
      </c>
      <c r="P1" s="3" t="s">
        <v>6</v>
      </c>
      <c r="Q1" s="3" t="s">
        <v>738</v>
      </c>
      <c r="R1" s="3" t="s">
        <v>736</v>
      </c>
      <c r="S1" s="3" t="s">
        <v>4</v>
      </c>
    </row>
    <row r="2" spans="1:19" x14ac:dyDescent="0.25">
      <c r="A2" s="1" t="s">
        <v>624</v>
      </c>
      <c r="B2" t="s">
        <v>688</v>
      </c>
      <c r="C2" t="s">
        <v>71</v>
      </c>
      <c r="D2" t="s">
        <v>14</v>
      </c>
      <c r="E2" t="s">
        <v>1061</v>
      </c>
      <c r="F2" t="s">
        <v>1061</v>
      </c>
      <c r="G2" s="1" t="s">
        <v>1061</v>
      </c>
      <c r="H2" s="1">
        <f>COUNTIF(C:G,Tabela1[[#This Row],[Liderado]])</f>
        <v>0</v>
      </c>
      <c r="I2" s="1" t="s">
        <v>7</v>
      </c>
      <c r="J2" s="1" t="s">
        <v>8</v>
      </c>
      <c r="K2" s="1" t="s">
        <v>9</v>
      </c>
      <c r="L2" s="2" t="s">
        <v>10</v>
      </c>
      <c r="M2" s="1" t="s">
        <v>11</v>
      </c>
      <c r="N2" s="2">
        <v>11324</v>
      </c>
      <c r="O2" s="1" t="s">
        <v>40</v>
      </c>
      <c r="P2" s="1" t="s">
        <v>31</v>
      </c>
      <c r="Q2" s="1" t="s">
        <v>629</v>
      </c>
      <c r="R2" s="1"/>
      <c r="S2" s="1" t="s">
        <v>687</v>
      </c>
    </row>
    <row r="3" spans="1:19" x14ac:dyDescent="0.25">
      <c r="A3" s="1" t="s">
        <v>624</v>
      </c>
      <c r="B3" t="s">
        <v>688</v>
      </c>
      <c r="C3" t="s">
        <v>71</v>
      </c>
      <c r="D3" t="s">
        <v>141</v>
      </c>
      <c r="E3" t="s">
        <v>20</v>
      </c>
      <c r="F3" t="s">
        <v>1061</v>
      </c>
      <c r="G3" s="1" t="s">
        <v>1061</v>
      </c>
      <c r="H3" s="1">
        <f>COUNTIF(C:G,Tabela1[[#This Row],[Liderado]])</f>
        <v>0</v>
      </c>
      <c r="I3" s="1" t="s">
        <v>15</v>
      </c>
      <c r="J3" s="1" t="s">
        <v>16</v>
      </c>
      <c r="K3" s="1" t="s">
        <v>9</v>
      </c>
      <c r="L3" s="2" t="s">
        <v>10</v>
      </c>
      <c r="M3" s="1" t="s">
        <v>11</v>
      </c>
      <c r="N3" s="2">
        <v>11324</v>
      </c>
      <c r="O3" s="1" t="s">
        <v>40</v>
      </c>
      <c r="P3" s="1" t="s">
        <v>31</v>
      </c>
      <c r="Q3" s="1" t="s">
        <v>629</v>
      </c>
      <c r="R3" s="1"/>
      <c r="S3" s="1" t="s">
        <v>687</v>
      </c>
    </row>
    <row r="4" spans="1:19" x14ac:dyDescent="0.25">
      <c r="A4" s="1" t="s">
        <v>627</v>
      </c>
      <c r="B4" t="s">
        <v>693</v>
      </c>
      <c r="C4" t="s">
        <v>71</v>
      </c>
      <c r="D4" t="s">
        <v>27</v>
      </c>
      <c r="E4" t="s">
        <v>1061</v>
      </c>
      <c r="F4" t="s">
        <v>1061</v>
      </c>
      <c r="G4" s="1"/>
      <c r="H4" s="1">
        <f>COUNTIF(C:G,Tabela1[[#This Row],[Liderado]])</f>
        <v>19</v>
      </c>
      <c r="I4" s="1" t="s">
        <v>21</v>
      </c>
      <c r="J4" s="1" t="s">
        <v>22</v>
      </c>
      <c r="K4" s="1" t="s">
        <v>17</v>
      </c>
      <c r="L4" s="2" t="s">
        <v>23</v>
      </c>
      <c r="M4" s="1" t="s">
        <v>24</v>
      </c>
      <c r="N4" s="2">
        <v>10113</v>
      </c>
      <c r="O4" s="1" t="s">
        <v>69</v>
      </c>
      <c r="P4" s="1" t="s">
        <v>70</v>
      </c>
      <c r="Q4" s="1" t="s">
        <v>635</v>
      </c>
      <c r="R4" s="1"/>
      <c r="S4" s="1" t="s">
        <v>692</v>
      </c>
    </row>
    <row r="5" spans="1:19" x14ac:dyDescent="0.25">
      <c r="A5" s="1" t="s">
        <v>627</v>
      </c>
      <c r="B5" t="s">
        <v>693</v>
      </c>
      <c r="C5" t="s">
        <v>41</v>
      </c>
      <c r="D5" t="s">
        <v>38</v>
      </c>
      <c r="E5" t="s">
        <v>1061</v>
      </c>
      <c r="F5" t="s">
        <v>32</v>
      </c>
      <c r="G5" s="1" t="s">
        <v>1061</v>
      </c>
      <c r="H5" s="1">
        <f>COUNTIF(C:G,Tabela1[[#This Row],[Liderado]])</f>
        <v>6</v>
      </c>
      <c r="I5" s="1" t="s">
        <v>28</v>
      </c>
      <c r="J5" s="1" t="s">
        <v>29</v>
      </c>
      <c r="K5" s="1" t="s">
        <v>9</v>
      </c>
      <c r="L5" s="2" t="s">
        <v>10</v>
      </c>
      <c r="M5" s="1" t="s">
        <v>11</v>
      </c>
      <c r="N5" s="2">
        <v>10101</v>
      </c>
      <c r="O5" s="1" t="s">
        <v>83</v>
      </c>
      <c r="P5" s="1" t="s">
        <v>84</v>
      </c>
      <c r="Q5" s="1" t="s">
        <v>636</v>
      </c>
      <c r="R5" s="1"/>
      <c r="S5" s="1" t="s">
        <v>692</v>
      </c>
    </row>
    <row r="6" spans="1:19" x14ac:dyDescent="0.25">
      <c r="A6" s="1" t="s">
        <v>627</v>
      </c>
      <c r="B6" t="s">
        <v>693</v>
      </c>
      <c r="C6" t="s">
        <v>41</v>
      </c>
      <c r="D6" t="s">
        <v>38</v>
      </c>
      <c r="E6" t="s">
        <v>37</v>
      </c>
      <c r="F6" t="s">
        <v>1061</v>
      </c>
      <c r="G6" s="1" t="s">
        <v>490</v>
      </c>
      <c r="H6" s="1">
        <f>COUNTIF(C:G,Tabela1[[#This Row],[Liderado]])</f>
        <v>0</v>
      </c>
      <c r="I6" s="1" t="s">
        <v>33</v>
      </c>
      <c r="J6" s="1" t="s">
        <v>34</v>
      </c>
      <c r="K6" s="1" t="s">
        <v>17</v>
      </c>
      <c r="L6" s="2" t="s">
        <v>10</v>
      </c>
      <c r="M6" s="1" t="s">
        <v>11</v>
      </c>
      <c r="N6" s="2">
        <v>10126</v>
      </c>
      <c r="O6" s="1" t="s">
        <v>86</v>
      </c>
      <c r="P6" s="1" t="s">
        <v>87</v>
      </c>
      <c r="Q6" s="1" t="s">
        <v>637</v>
      </c>
      <c r="R6" s="1"/>
      <c r="S6" s="1" t="s">
        <v>692</v>
      </c>
    </row>
    <row r="7" spans="1:19" x14ac:dyDescent="0.25">
      <c r="A7" s="1" t="s">
        <v>627</v>
      </c>
      <c r="B7" t="s">
        <v>693</v>
      </c>
      <c r="C7" t="s">
        <v>41</v>
      </c>
      <c r="D7" t="s">
        <v>1061</v>
      </c>
      <c r="E7" t="s">
        <v>1061</v>
      </c>
      <c r="F7" t="s">
        <v>1061</v>
      </c>
      <c r="G7" s="1" t="s">
        <v>1061</v>
      </c>
      <c r="H7" s="1">
        <f>COUNTIF(C:G,Tabela1[[#This Row],[Liderado]])</f>
        <v>124</v>
      </c>
      <c r="I7" s="1" t="s">
        <v>38</v>
      </c>
      <c r="J7" s="1" t="s">
        <v>39</v>
      </c>
      <c r="K7" s="1" t="s">
        <v>9</v>
      </c>
      <c r="L7" s="2" t="s">
        <v>10</v>
      </c>
      <c r="M7" s="1" t="s">
        <v>11</v>
      </c>
      <c r="N7" s="2">
        <v>19903</v>
      </c>
      <c r="O7" s="1" t="s">
        <v>133</v>
      </c>
      <c r="P7" s="1" t="s">
        <v>134</v>
      </c>
      <c r="Q7" s="1" t="s">
        <v>2135</v>
      </c>
      <c r="R7" s="1" t="s">
        <v>646</v>
      </c>
      <c r="S7" s="1" t="s">
        <v>692</v>
      </c>
    </row>
    <row r="8" spans="1:19" x14ac:dyDescent="0.25">
      <c r="A8" s="1" t="s">
        <v>627</v>
      </c>
      <c r="B8" t="s">
        <v>693</v>
      </c>
      <c r="C8" t="s">
        <v>41</v>
      </c>
      <c r="D8" t="s">
        <v>38</v>
      </c>
      <c r="E8" t="s">
        <v>1061</v>
      </c>
      <c r="F8" t="s">
        <v>1061</v>
      </c>
      <c r="G8" s="1" t="s">
        <v>1061</v>
      </c>
      <c r="H8" s="1">
        <f>COUNTIF(C:G,Tabela1[[#This Row],[Liderado]])</f>
        <v>3</v>
      </c>
      <c r="I8" s="1" t="s">
        <v>42</v>
      </c>
      <c r="J8" s="1" t="s">
        <v>43</v>
      </c>
      <c r="K8" s="1" t="s">
        <v>9</v>
      </c>
      <c r="L8" s="2" t="s">
        <v>10</v>
      </c>
      <c r="M8" s="1" t="s">
        <v>11</v>
      </c>
      <c r="N8" s="2">
        <v>10108</v>
      </c>
      <c r="O8" s="1" t="s">
        <v>18</v>
      </c>
      <c r="P8" s="1" t="s">
        <v>19</v>
      </c>
      <c r="Q8" s="1" t="s">
        <v>626</v>
      </c>
      <c r="R8" s="1"/>
      <c r="S8" s="1" t="s">
        <v>692</v>
      </c>
    </row>
    <row r="9" spans="1:19" x14ac:dyDescent="0.25">
      <c r="A9" s="1" t="s">
        <v>624</v>
      </c>
      <c r="B9" t="s">
        <v>693</v>
      </c>
      <c r="C9" t="s">
        <v>71</v>
      </c>
      <c r="D9" t="s">
        <v>141</v>
      </c>
      <c r="E9" t="s">
        <v>20</v>
      </c>
      <c r="F9" t="s">
        <v>49</v>
      </c>
      <c r="G9" s="1" t="s">
        <v>1061</v>
      </c>
      <c r="H9" s="1">
        <f>COUNTIF(C:G,Tabela1[[#This Row],[Liderado]])</f>
        <v>0</v>
      </c>
      <c r="I9" s="1" t="s">
        <v>45</v>
      </c>
      <c r="J9" s="1" t="s">
        <v>46</v>
      </c>
      <c r="K9" s="1" t="s">
        <v>9</v>
      </c>
      <c r="L9" s="2" t="s">
        <v>10</v>
      </c>
      <c r="M9" s="1" t="s">
        <v>11</v>
      </c>
      <c r="N9" s="2">
        <v>11034</v>
      </c>
      <c r="O9" s="1" t="s">
        <v>174</v>
      </c>
      <c r="P9" s="1" t="s">
        <v>175</v>
      </c>
      <c r="Q9" s="1" t="s">
        <v>629</v>
      </c>
      <c r="R9" s="1"/>
      <c r="S9" s="1" t="s">
        <v>692</v>
      </c>
    </row>
    <row r="10" spans="1:19" x14ac:dyDescent="0.25">
      <c r="A10" s="1" t="s">
        <v>627</v>
      </c>
      <c r="B10" t="s">
        <v>693</v>
      </c>
      <c r="C10" t="s">
        <v>71</v>
      </c>
      <c r="D10" t="s">
        <v>27</v>
      </c>
      <c r="E10" t="s">
        <v>1061</v>
      </c>
      <c r="F10" t="s">
        <v>1061</v>
      </c>
      <c r="G10" s="1" t="s">
        <v>1061</v>
      </c>
      <c r="H10" s="1">
        <f>COUNTIF(C:G,Tabela1[[#This Row],[Liderado]])</f>
        <v>4</v>
      </c>
      <c r="I10" s="1" t="s">
        <v>50</v>
      </c>
      <c r="J10" s="1" t="s">
        <v>51</v>
      </c>
      <c r="K10" s="1" t="s">
        <v>9</v>
      </c>
      <c r="L10" s="2" t="s">
        <v>10</v>
      </c>
      <c r="M10" s="1" t="s">
        <v>11</v>
      </c>
      <c r="N10" s="2">
        <v>11024</v>
      </c>
      <c r="O10" s="1" t="s">
        <v>40</v>
      </c>
      <c r="P10" s="1" t="s">
        <v>175</v>
      </c>
      <c r="Q10" s="1" t="s">
        <v>629</v>
      </c>
      <c r="R10" s="1"/>
      <c r="S10" s="1" t="s">
        <v>692</v>
      </c>
    </row>
    <row r="11" spans="1:19" x14ac:dyDescent="0.25">
      <c r="A11" s="1" t="s">
        <v>627</v>
      </c>
      <c r="C11" s="29" t="s">
        <v>41</v>
      </c>
      <c r="D11" t="s">
        <v>38</v>
      </c>
      <c r="E11" t="s">
        <v>1061</v>
      </c>
      <c r="F11" t="s">
        <v>32</v>
      </c>
      <c r="G11" s="1" t="s">
        <v>1061</v>
      </c>
      <c r="H11" s="1">
        <f>COUNTIF(C:G,Tabela1[[#This Row],[Liderado]])</f>
        <v>12</v>
      </c>
      <c r="I11" s="1" t="s">
        <v>54</v>
      </c>
      <c r="J11" s="1" t="s">
        <v>29</v>
      </c>
      <c r="K11" s="1" t="s">
        <v>9</v>
      </c>
      <c r="L11" s="2" t="s">
        <v>10</v>
      </c>
      <c r="M11" s="1" t="s">
        <v>11</v>
      </c>
      <c r="N11" s="2">
        <v>11024</v>
      </c>
      <c r="O11" s="1" t="s">
        <v>40</v>
      </c>
      <c r="P11" s="1" t="s">
        <v>175</v>
      </c>
      <c r="Q11" s="1" t="s">
        <v>629</v>
      </c>
      <c r="R11" s="1"/>
      <c r="S11" s="1" t="s">
        <v>692</v>
      </c>
    </row>
    <row r="12" spans="1:19" x14ac:dyDescent="0.25">
      <c r="A12" s="1" t="s">
        <v>627</v>
      </c>
      <c r="C12" s="29" t="s">
        <v>41</v>
      </c>
      <c r="D12" t="s">
        <v>38</v>
      </c>
      <c r="E12" t="s">
        <v>1061</v>
      </c>
      <c r="F12" t="s">
        <v>32</v>
      </c>
      <c r="G12" s="1" t="s">
        <v>54</v>
      </c>
      <c r="H12" s="1">
        <f>COUNTIF(C:G,Tabela1[[#This Row],[Liderado]])</f>
        <v>0</v>
      </c>
      <c r="I12" s="1" t="s">
        <v>55</v>
      </c>
      <c r="J12" s="1" t="s">
        <v>34</v>
      </c>
      <c r="K12" s="1" t="s">
        <v>9</v>
      </c>
      <c r="L12" s="2" t="s">
        <v>10</v>
      </c>
      <c r="M12" s="1" t="s">
        <v>11</v>
      </c>
      <c r="N12" s="2">
        <v>11024</v>
      </c>
      <c r="O12" s="1" t="s">
        <v>40</v>
      </c>
      <c r="P12" s="1" t="s">
        <v>175</v>
      </c>
      <c r="Q12" s="1" t="s">
        <v>629</v>
      </c>
      <c r="R12" s="1"/>
      <c r="S12" s="1" t="s">
        <v>692</v>
      </c>
    </row>
    <row r="13" spans="1:19" x14ac:dyDescent="0.25">
      <c r="A13" s="1" t="s">
        <v>627</v>
      </c>
      <c r="C13" s="29" t="s">
        <v>41</v>
      </c>
      <c r="D13" t="s">
        <v>38</v>
      </c>
      <c r="E13" t="s">
        <v>1061</v>
      </c>
      <c r="F13" t="s">
        <v>32</v>
      </c>
      <c r="G13" s="1" t="s">
        <v>28</v>
      </c>
      <c r="H13" s="1">
        <f>COUNTIF(C:G,Tabela1[[#This Row],[Liderado]])</f>
        <v>0</v>
      </c>
      <c r="I13" s="1" t="s">
        <v>57</v>
      </c>
      <c r="J13" s="1" t="s">
        <v>34</v>
      </c>
      <c r="K13" s="1" t="s">
        <v>9</v>
      </c>
      <c r="L13" s="2" t="s">
        <v>10</v>
      </c>
      <c r="M13" s="1" t="s">
        <v>11</v>
      </c>
      <c r="N13" s="2">
        <v>11024</v>
      </c>
      <c r="O13" s="1" t="s">
        <v>40</v>
      </c>
      <c r="P13" s="1" t="s">
        <v>175</v>
      </c>
      <c r="Q13" s="1" t="s">
        <v>629</v>
      </c>
      <c r="R13" s="1"/>
      <c r="S13" s="1" t="s">
        <v>692</v>
      </c>
    </row>
    <row r="14" spans="1:19" x14ac:dyDescent="0.25">
      <c r="A14" s="1" t="s">
        <v>627</v>
      </c>
      <c r="C14" s="29" t="s">
        <v>41</v>
      </c>
      <c r="D14" t="s">
        <v>38</v>
      </c>
      <c r="E14" t="s">
        <v>37</v>
      </c>
      <c r="F14" t="s">
        <v>1061</v>
      </c>
      <c r="G14" s="1" t="s">
        <v>490</v>
      </c>
      <c r="H14" s="1">
        <f>COUNTIF(C:G,Tabela1[[#This Row],[Liderado]])</f>
        <v>0</v>
      </c>
      <c r="I14" s="1" t="s">
        <v>59</v>
      </c>
      <c r="J14" s="1" t="s">
        <v>34</v>
      </c>
      <c r="K14" s="1" t="s">
        <v>9</v>
      </c>
      <c r="L14" s="2" t="s">
        <v>10</v>
      </c>
      <c r="M14" s="1" t="s">
        <v>11</v>
      </c>
      <c r="N14" s="2">
        <v>11024</v>
      </c>
      <c r="O14" s="1" t="s">
        <v>40</v>
      </c>
      <c r="P14" s="1" t="s">
        <v>175</v>
      </c>
      <c r="Q14" s="1" t="s">
        <v>629</v>
      </c>
      <c r="R14" s="1"/>
      <c r="S14" s="1" t="s">
        <v>692</v>
      </c>
    </row>
    <row r="15" spans="1:19" x14ac:dyDescent="0.25">
      <c r="A15" s="1" t="s">
        <v>627</v>
      </c>
      <c r="C15" s="29" t="s">
        <v>41</v>
      </c>
      <c r="D15" t="s">
        <v>38</v>
      </c>
      <c r="E15" t="s">
        <v>1061</v>
      </c>
      <c r="F15" t="s">
        <v>32</v>
      </c>
      <c r="G15" s="1" t="s">
        <v>1061</v>
      </c>
      <c r="H15" s="1">
        <f>COUNTIF(C:G,Tabela1[[#This Row],[Liderado]])</f>
        <v>0</v>
      </c>
      <c r="I15" s="1" t="s">
        <v>60</v>
      </c>
      <c r="J15" s="1" t="s">
        <v>61</v>
      </c>
      <c r="K15" s="1" t="s">
        <v>9</v>
      </c>
      <c r="L15" s="2" t="s">
        <v>10</v>
      </c>
      <c r="M15" s="1" t="s">
        <v>11</v>
      </c>
      <c r="N15" s="2">
        <v>11024</v>
      </c>
      <c r="O15" s="1" t="s">
        <v>40</v>
      </c>
      <c r="P15" s="1" t="s">
        <v>175</v>
      </c>
      <c r="Q15" s="1" t="s">
        <v>629</v>
      </c>
      <c r="R15" s="1"/>
      <c r="S15" s="1" t="s">
        <v>692</v>
      </c>
    </row>
    <row r="16" spans="1:19" x14ac:dyDescent="0.25">
      <c r="A16" s="1" t="s">
        <v>624</v>
      </c>
      <c r="C16" s="29" t="s">
        <v>71</v>
      </c>
      <c r="D16" t="s">
        <v>141</v>
      </c>
      <c r="E16" t="s">
        <v>20</v>
      </c>
      <c r="F16" t="s">
        <v>1061</v>
      </c>
      <c r="G16" s="1" t="s">
        <v>1061</v>
      </c>
      <c r="H16" s="1">
        <f>COUNTIF(C:G,Tabela1[[#This Row],[Liderado]])</f>
        <v>4</v>
      </c>
      <c r="I16" s="1" t="s">
        <v>49</v>
      </c>
      <c r="J16" s="1" t="s">
        <v>64</v>
      </c>
      <c r="K16" s="1" t="s">
        <v>9</v>
      </c>
      <c r="L16" s="2" t="s">
        <v>10</v>
      </c>
      <c r="M16" s="1" t="s">
        <v>11</v>
      </c>
      <c r="N16" s="2">
        <v>11024</v>
      </c>
      <c r="O16" s="1" t="s">
        <v>40</v>
      </c>
      <c r="P16" s="1" t="s">
        <v>175</v>
      </c>
      <c r="Q16" s="1" t="s">
        <v>629</v>
      </c>
      <c r="R16" s="1"/>
      <c r="S16" s="1" t="s">
        <v>692</v>
      </c>
    </row>
    <row r="17" spans="1:19" x14ac:dyDescent="0.25">
      <c r="A17" s="1" t="s">
        <v>627</v>
      </c>
      <c r="C17" s="29" t="s">
        <v>41</v>
      </c>
      <c r="D17" t="s">
        <v>38</v>
      </c>
      <c r="E17" t="s">
        <v>1061</v>
      </c>
      <c r="F17" t="s">
        <v>1061</v>
      </c>
      <c r="G17" s="1" t="s">
        <v>1061</v>
      </c>
      <c r="H17" s="1">
        <f>COUNTIF(C:G,Tabela1[[#This Row],[Liderado]])</f>
        <v>38</v>
      </c>
      <c r="I17" s="1" t="s">
        <v>32</v>
      </c>
      <c r="J17" s="1" t="s">
        <v>65</v>
      </c>
      <c r="K17" s="1" t="s">
        <v>9</v>
      </c>
      <c r="L17" s="2" t="s">
        <v>10</v>
      </c>
      <c r="M17" s="1" t="s">
        <v>11</v>
      </c>
      <c r="N17" s="2">
        <v>11024</v>
      </c>
      <c r="O17" s="1" t="s">
        <v>40</v>
      </c>
      <c r="P17" s="1" t="s">
        <v>175</v>
      </c>
      <c r="Q17" s="1" t="s">
        <v>629</v>
      </c>
      <c r="R17" s="1"/>
      <c r="S17" s="1" t="s">
        <v>692</v>
      </c>
    </row>
    <row r="18" spans="1:19" x14ac:dyDescent="0.25">
      <c r="A18" s="1" t="s">
        <v>624</v>
      </c>
      <c r="C18" s="29" t="s">
        <v>71</v>
      </c>
      <c r="D18" t="s">
        <v>1061</v>
      </c>
      <c r="E18" t="s">
        <v>1061</v>
      </c>
      <c r="F18" t="s">
        <v>1061</v>
      </c>
      <c r="G18" s="1" t="s">
        <v>1061</v>
      </c>
      <c r="H18" s="1">
        <f>COUNTIF(C:G,Tabela1[[#This Row],[Liderado]])</f>
        <v>5</v>
      </c>
      <c r="I18" s="1" t="s">
        <v>67</v>
      </c>
      <c r="J18" s="1" t="s">
        <v>68</v>
      </c>
      <c r="K18" s="1" t="s">
        <v>9</v>
      </c>
      <c r="L18" s="2" t="s">
        <v>10</v>
      </c>
      <c r="M18" s="1" t="s">
        <v>11</v>
      </c>
      <c r="N18" s="2">
        <v>11024</v>
      </c>
      <c r="O18" s="1" t="s">
        <v>40</v>
      </c>
      <c r="P18" s="1" t="s">
        <v>175</v>
      </c>
      <c r="Q18" s="1" t="s">
        <v>629</v>
      </c>
      <c r="R18" s="1"/>
      <c r="S18" s="1" t="s">
        <v>692</v>
      </c>
    </row>
    <row r="19" spans="1:19" x14ac:dyDescent="0.25">
      <c r="A19" s="1" t="s">
        <v>624</v>
      </c>
      <c r="C19" s="29" t="s">
        <v>71</v>
      </c>
      <c r="D19" t="s">
        <v>67</v>
      </c>
      <c r="E19" t="s">
        <v>1061</v>
      </c>
      <c r="F19" t="s">
        <v>1061</v>
      </c>
      <c r="G19" s="1" t="s">
        <v>1061</v>
      </c>
      <c r="H19" s="1">
        <f>COUNTIF(C:G,Tabela1[[#This Row],[Liderado]])</f>
        <v>0</v>
      </c>
      <c r="I19" s="1" t="s">
        <v>72</v>
      </c>
      <c r="J19" s="1" t="s">
        <v>73</v>
      </c>
      <c r="K19" s="1" t="s">
        <v>9</v>
      </c>
      <c r="L19" s="2" t="s">
        <v>10</v>
      </c>
      <c r="M19" s="1" t="s">
        <v>11</v>
      </c>
      <c r="N19" s="2">
        <v>11024</v>
      </c>
      <c r="O19" s="1" t="s">
        <v>40</v>
      </c>
      <c r="P19" s="1" t="s">
        <v>175</v>
      </c>
      <c r="Q19" s="1" t="s">
        <v>629</v>
      </c>
      <c r="R19" s="1"/>
      <c r="S19" s="1" t="s">
        <v>692</v>
      </c>
    </row>
    <row r="20" spans="1:19" x14ac:dyDescent="0.25">
      <c r="A20" s="1" t="s">
        <v>627</v>
      </c>
      <c r="C20" s="29" t="s">
        <v>41</v>
      </c>
      <c r="D20" t="s">
        <v>38</v>
      </c>
      <c r="E20" t="s">
        <v>1061</v>
      </c>
      <c r="F20" t="s">
        <v>32</v>
      </c>
      <c r="G20" s="1" t="s">
        <v>54</v>
      </c>
      <c r="H20" s="1">
        <f>COUNTIF(C:G,Tabela1[[#This Row],[Liderado]])</f>
        <v>0</v>
      </c>
      <c r="I20" s="1" t="s">
        <v>74</v>
      </c>
      <c r="J20" s="1" t="s">
        <v>34</v>
      </c>
      <c r="K20" s="1" t="s">
        <v>9</v>
      </c>
      <c r="L20" s="2" t="s">
        <v>10</v>
      </c>
      <c r="M20" s="1" t="s">
        <v>11</v>
      </c>
      <c r="N20" s="2">
        <v>11024</v>
      </c>
      <c r="O20" s="1" t="s">
        <v>40</v>
      </c>
      <c r="P20" s="1" t="s">
        <v>175</v>
      </c>
      <c r="Q20" s="1" t="s">
        <v>629</v>
      </c>
      <c r="R20" s="1"/>
      <c r="S20" s="1" t="s">
        <v>692</v>
      </c>
    </row>
    <row r="21" spans="1:19" x14ac:dyDescent="0.25">
      <c r="A21" s="1" t="s">
        <v>627</v>
      </c>
      <c r="C21" s="29" t="s">
        <v>41</v>
      </c>
      <c r="D21" t="s">
        <v>38</v>
      </c>
      <c r="E21" t="s">
        <v>1061</v>
      </c>
      <c r="F21" t="s">
        <v>32</v>
      </c>
      <c r="G21" s="1" t="s">
        <v>28</v>
      </c>
      <c r="H21" s="1">
        <f>COUNTIF(C:G,Tabela1[[#This Row],[Liderado]])</f>
        <v>0</v>
      </c>
      <c r="I21" s="1" t="s">
        <v>75</v>
      </c>
      <c r="J21" s="1" t="s">
        <v>34</v>
      </c>
      <c r="K21" s="1" t="s">
        <v>9</v>
      </c>
      <c r="L21" s="2" t="s">
        <v>10</v>
      </c>
      <c r="M21" s="1" t="s">
        <v>11</v>
      </c>
      <c r="N21" s="2">
        <v>11024</v>
      </c>
      <c r="O21" s="1" t="s">
        <v>40</v>
      </c>
      <c r="P21" s="1" t="s">
        <v>175</v>
      </c>
      <c r="Q21" s="1" t="s">
        <v>629</v>
      </c>
      <c r="R21" s="1"/>
      <c r="S21" s="1" t="s">
        <v>692</v>
      </c>
    </row>
    <row r="22" spans="1:19" x14ac:dyDescent="0.25">
      <c r="A22" s="1" t="s">
        <v>627</v>
      </c>
      <c r="C22" s="29" t="s">
        <v>41</v>
      </c>
      <c r="D22" t="s">
        <v>38</v>
      </c>
      <c r="E22" t="s">
        <v>37</v>
      </c>
      <c r="F22" t="s">
        <v>207</v>
      </c>
      <c r="G22" s="1" t="s">
        <v>1061</v>
      </c>
      <c r="H22" s="1">
        <f>COUNTIF(C:G,Tabela1[[#This Row],[Liderado]])</f>
        <v>0</v>
      </c>
      <c r="I22" s="1" t="s">
        <v>76</v>
      </c>
      <c r="J22" s="1" t="s">
        <v>77</v>
      </c>
      <c r="K22" s="1" t="s">
        <v>9</v>
      </c>
      <c r="L22" s="2" t="s">
        <v>10</v>
      </c>
      <c r="M22" s="1" t="s">
        <v>11</v>
      </c>
      <c r="N22" s="2">
        <v>11024</v>
      </c>
      <c r="O22" s="1" t="s">
        <v>40</v>
      </c>
      <c r="P22" s="1" t="s">
        <v>175</v>
      </c>
      <c r="Q22" s="1" t="s">
        <v>629</v>
      </c>
      <c r="R22" s="1"/>
      <c r="S22" s="1" t="s">
        <v>692</v>
      </c>
    </row>
    <row r="23" spans="1:19" x14ac:dyDescent="0.25">
      <c r="A23" s="1" t="s">
        <v>627</v>
      </c>
      <c r="C23" s="29" t="s">
        <v>41</v>
      </c>
      <c r="D23" t="s">
        <v>38</v>
      </c>
      <c r="E23" t="s">
        <v>1061</v>
      </c>
      <c r="F23" t="s">
        <v>32</v>
      </c>
      <c r="G23" s="1" t="s">
        <v>1061</v>
      </c>
      <c r="H23" s="1">
        <f>COUNTIF(C:G,Tabela1[[#This Row],[Liderado]])</f>
        <v>11</v>
      </c>
      <c r="I23" s="1" t="s">
        <v>79</v>
      </c>
      <c r="J23" s="1" t="s">
        <v>29</v>
      </c>
      <c r="K23" s="1" t="s">
        <v>9</v>
      </c>
      <c r="L23" s="2" t="s">
        <v>10</v>
      </c>
      <c r="M23" s="1" t="s">
        <v>11</v>
      </c>
      <c r="N23" s="2">
        <v>11024</v>
      </c>
      <c r="O23" s="1" t="s">
        <v>40</v>
      </c>
      <c r="P23" s="1" t="s">
        <v>175</v>
      </c>
      <c r="Q23" s="1" t="s">
        <v>629</v>
      </c>
      <c r="R23" s="1"/>
      <c r="S23" s="1" t="s">
        <v>692</v>
      </c>
    </row>
    <row r="24" spans="1:19" x14ac:dyDescent="0.25">
      <c r="A24" s="1" t="s">
        <v>624</v>
      </c>
      <c r="C24" s="29" t="s">
        <v>71</v>
      </c>
      <c r="D24" t="s">
        <v>1061</v>
      </c>
      <c r="E24" t="s">
        <v>1061</v>
      </c>
      <c r="F24" t="s">
        <v>1061</v>
      </c>
      <c r="G24" s="1" t="s">
        <v>1061</v>
      </c>
      <c r="H24" s="1">
        <f>COUNTIF(C:G,Tabela1[[#This Row],[Liderado]])</f>
        <v>0</v>
      </c>
      <c r="I24" s="1" t="s">
        <v>81</v>
      </c>
      <c r="J24" s="1" t="s">
        <v>82</v>
      </c>
      <c r="K24" s="1" t="s">
        <v>9</v>
      </c>
      <c r="L24" s="2" t="s">
        <v>10</v>
      </c>
      <c r="M24" s="1" t="s">
        <v>11</v>
      </c>
      <c r="N24" s="2">
        <v>11024</v>
      </c>
      <c r="O24" s="1" t="s">
        <v>40</v>
      </c>
      <c r="P24" s="1" t="s">
        <v>175</v>
      </c>
      <c r="Q24" s="1" t="s">
        <v>629</v>
      </c>
      <c r="R24" s="1"/>
      <c r="S24" s="1" t="s">
        <v>692</v>
      </c>
    </row>
    <row r="25" spans="1:19" x14ac:dyDescent="0.25">
      <c r="A25" s="1" t="s">
        <v>624</v>
      </c>
      <c r="C25" s="29" t="s">
        <v>71</v>
      </c>
      <c r="D25" t="s">
        <v>27</v>
      </c>
      <c r="E25" t="s">
        <v>1061</v>
      </c>
      <c r="F25" t="s">
        <v>1061</v>
      </c>
      <c r="G25" s="1" t="s">
        <v>1061</v>
      </c>
      <c r="H25" s="1">
        <f>COUNTIF(C:G,Tabela1[[#This Row],[Liderado]])</f>
        <v>50</v>
      </c>
      <c r="I25" s="1" t="s">
        <v>27</v>
      </c>
      <c r="J25" s="1" t="s">
        <v>969</v>
      </c>
      <c r="K25" s="1" t="s">
        <v>9</v>
      </c>
      <c r="L25" s="2" t="s">
        <v>10</v>
      </c>
      <c r="M25" s="1" t="s">
        <v>11</v>
      </c>
      <c r="N25" s="2">
        <v>11024</v>
      </c>
      <c r="O25" s="1" t="s">
        <v>40</v>
      </c>
      <c r="P25" s="1" t="s">
        <v>175</v>
      </c>
      <c r="Q25" s="1" t="s">
        <v>629</v>
      </c>
      <c r="R25" s="1"/>
      <c r="S25" s="1" t="s">
        <v>692</v>
      </c>
    </row>
    <row r="26" spans="1:19" x14ac:dyDescent="0.25">
      <c r="A26" s="1" t="s">
        <v>638</v>
      </c>
      <c r="C26" s="29" t="s">
        <v>71</v>
      </c>
      <c r="D26" t="s">
        <v>67</v>
      </c>
      <c r="E26" t="s">
        <v>1061</v>
      </c>
      <c r="F26" t="s">
        <v>1061</v>
      </c>
      <c r="G26" s="1" t="s">
        <v>1061</v>
      </c>
      <c r="H26" s="1">
        <f>COUNTIF(C:G,Tabela1[[#This Row],[Liderado]])</f>
        <v>0</v>
      </c>
      <c r="I26" s="1" t="s">
        <v>88</v>
      </c>
      <c r="J26" s="1" t="s">
        <v>89</v>
      </c>
      <c r="K26" s="1" t="s">
        <v>9</v>
      </c>
      <c r="L26" s="2" t="s">
        <v>10</v>
      </c>
      <c r="M26" s="1" t="s">
        <v>11</v>
      </c>
      <c r="N26" s="2">
        <v>11024</v>
      </c>
      <c r="O26" s="1" t="s">
        <v>40</v>
      </c>
      <c r="P26" s="1" t="s">
        <v>175</v>
      </c>
      <c r="Q26" s="1" t="s">
        <v>629</v>
      </c>
      <c r="R26" s="1"/>
      <c r="S26" s="1" t="s">
        <v>692</v>
      </c>
    </row>
    <row r="27" spans="1:19" x14ac:dyDescent="0.25">
      <c r="A27" s="1" t="s">
        <v>627</v>
      </c>
      <c r="C27" s="29" t="s">
        <v>41</v>
      </c>
      <c r="D27" t="s">
        <v>38</v>
      </c>
      <c r="E27" t="s">
        <v>1061</v>
      </c>
      <c r="F27" t="s">
        <v>1061</v>
      </c>
      <c r="G27" s="1" t="s">
        <v>38</v>
      </c>
      <c r="H27" s="1">
        <f>COUNTIF(C:G,Tabela1[[#This Row],[Liderado]])</f>
        <v>0</v>
      </c>
      <c r="I27" s="1" t="s">
        <v>91</v>
      </c>
      <c r="J27" s="1" t="s">
        <v>92</v>
      </c>
      <c r="K27" s="1" t="s">
        <v>9</v>
      </c>
      <c r="L27" s="2" t="s">
        <v>10</v>
      </c>
      <c r="M27" s="1" t="s">
        <v>11</v>
      </c>
      <c r="N27" s="2">
        <v>11024</v>
      </c>
      <c r="O27" s="1" t="s">
        <v>40</v>
      </c>
      <c r="P27" s="1" t="s">
        <v>175</v>
      </c>
      <c r="Q27" s="1" t="s">
        <v>629</v>
      </c>
      <c r="R27" s="1"/>
      <c r="S27" s="1" t="s">
        <v>692</v>
      </c>
    </row>
    <row r="28" spans="1:19" x14ac:dyDescent="0.25">
      <c r="A28" s="1" t="s">
        <v>627</v>
      </c>
      <c r="C28" s="29" t="s">
        <v>71</v>
      </c>
      <c r="D28" t="s">
        <v>14</v>
      </c>
      <c r="E28" t="s">
        <v>1061</v>
      </c>
      <c r="F28" t="s">
        <v>1061</v>
      </c>
      <c r="G28" s="1" t="s">
        <v>1061</v>
      </c>
      <c r="H28" s="1">
        <f>COUNTIF(C:G,Tabela1[[#This Row],[Liderado]])</f>
        <v>0</v>
      </c>
      <c r="I28" s="1" t="s">
        <v>95</v>
      </c>
      <c r="J28" s="1" t="s">
        <v>8</v>
      </c>
      <c r="K28" s="1" t="s">
        <v>9</v>
      </c>
      <c r="L28" s="2" t="s">
        <v>10</v>
      </c>
      <c r="M28" s="1" t="s">
        <v>11</v>
      </c>
      <c r="N28" s="2">
        <v>11024</v>
      </c>
      <c r="O28" s="1" t="s">
        <v>40</v>
      </c>
      <c r="P28" s="1" t="s">
        <v>175</v>
      </c>
      <c r="Q28" s="1" t="s">
        <v>629</v>
      </c>
      <c r="R28" s="1"/>
      <c r="S28" s="1" t="s">
        <v>692</v>
      </c>
    </row>
    <row r="29" spans="1:19" x14ac:dyDescent="0.25">
      <c r="A29" s="1" t="s">
        <v>624</v>
      </c>
      <c r="C29" s="29" t="s">
        <v>71</v>
      </c>
      <c r="D29" t="s">
        <v>14</v>
      </c>
      <c r="E29" t="s">
        <v>1061</v>
      </c>
      <c r="F29" t="s">
        <v>1061</v>
      </c>
      <c r="G29" s="1" t="s">
        <v>1061</v>
      </c>
      <c r="H29" s="1">
        <f>COUNTIF(C:G,Tabela1[[#This Row],[Liderado]])</f>
        <v>0</v>
      </c>
      <c r="I29" s="1" t="s">
        <v>97</v>
      </c>
      <c r="J29" s="1" t="s">
        <v>98</v>
      </c>
      <c r="K29" s="1" t="s">
        <v>9</v>
      </c>
      <c r="L29" s="2" t="s">
        <v>10</v>
      </c>
      <c r="M29" s="1" t="s">
        <v>11</v>
      </c>
      <c r="N29" s="2">
        <v>11024</v>
      </c>
      <c r="O29" s="1" t="s">
        <v>40</v>
      </c>
      <c r="P29" s="1" t="s">
        <v>175</v>
      </c>
      <c r="Q29" s="1" t="s">
        <v>629</v>
      </c>
      <c r="R29" s="1"/>
      <c r="S29" s="1" t="s">
        <v>692</v>
      </c>
    </row>
    <row r="30" spans="1:19" x14ac:dyDescent="0.25">
      <c r="A30" s="1" t="s">
        <v>624</v>
      </c>
      <c r="C30" s="29" t="s">
        <v>71</v>
      </c>
      <c r="D30" t="s">
        <v>14</v>
      </c>
      <c r="E30" t="s">
        <v>1061</v>
      </c>
      <c r="F30" t="s">
        <v>1061</v>
      </c>
      <c r="G30" s="1" t="s">
        <v>1061</v>
      </c>
      <c r="H30" s="1">
        <f>COUNTIF(C:G,Tabela1[[#This Row],[Liderado]])</f>
        <v>0</v>
      </c>
      <c r="I30" s="1" t="s">
        <v>99</v>
      </c>
      <c r="J30" s="1" t="s">
        <v>100</v>
      </c>
      <c r="K30" s="1" t="s">
        <v>9</v>
      </c>
      <c r="L30" s="2" t="s">
        <v>10</v>
      </c>
      <c r="M30" s="1" t="s">
        <v>11</v>
      </c>
      <c r="N30" s="2">
        <v>11024</v>
      </c>
      <c r="O30" s="1" t="s">
        <v>40</v>
      </c>
      <c r="P30" s="1" t="s">
        <v>175</v>
      </c>
      <c r="Q30" s="1" t="s">
        <v>629</v>
      </c>
      <c r="R30" s="1"/>
      <c r="S30" s="1" t="s">
        <v>692</v>
      </c>
    </row>
    <row r="31" spans="1:19" x14ac:dyDescent="0.25">
      <c r="A31" s="1" t="s">
        <v>624</v>
      </c>
      <c r="C31" s="29" t="s">
        <v>71</v>
      </c>
      <c r="D31" t="s">
        <v>27</v>
      </c>
      <c r="E31" t="s">
        <v>1061</v>
      </c>
      <c r="F31" t="s">
        <v>1061</v>
      </c>
      <c r="G31" s="1" t="s">
        <v>1061</v>
      </c>
      <c r="H31" s="1">
        <f>COUNTIF(C:G,Tabela1[[#This Row],[Liderado]])</f>
        <v>0</v>
      </c>
      <c r="I31" s="1" t="s">
        <v>103</v>
      </c>
      <c r="J31" s="1" t="s">
        <v>104</v>
      </c>
      <c r="K31" s="1" t="s">
        <v>9</v>
      </c>
      <c r="L31" s="2" t="s">
        <v>10</v>
      </c>
      <c r="M31" s="1" t="s">
        <v>11</v>
      </c>
      <c r="N31" s="2">
        <v>11024</v>
      </c>
      <c r="O31" s="1" t="s">
        <v>40</v>
      </c>
      <c r="P31" s="1" t="s">
        <v>175</v>
      </c>
      <c r="Q31" s="1" t="s">
        <v>629</v>
      </c>
      <c r="R31" s="1"/>
      <c r="S31" s="1" t="s">
        <v>692</v>
      </c>
    </row>
    <row r="32" spans="1:19" x14ac:dyDescent="0.25">
      <c r="A32" s="1" t="s">
        <v>627</v>
      </c>
      <c r="C32" s="29" t="s">
        <v>71</v>
      </c>
      <c r="D32" t="s">
        <v>27</v>
      </c>
      <c r="E32" t="s">
        <v>1061</v>
      </c>
      <c r="F32" t="s">
        <v>50</v>
      </c>
      <c r="G32" s="1" t="s">
        <v>1061</v>
      </c>
      <c r="H32" s="1">
        <f>COUNTIF(C:G,Tabela1[[#This Row],[Liderado]])</f>
        <v>0</v>
      </c>
      <c r="I32" s="1" t="s">
        <v>107</v>
      </c>
      <c r="J32" s="1" t="s">
        <v>108</v>
      </c>
      <c r="K32" s="1" t="s">
        <v>9</v>
      </c>
      <c r="L32" s="2" t="s">
        <v>10</v>
      </c>
      <c r="M32" s="1" t="s">
        <v>11</v>
      </c>
      <c r="N32" s="2">
        <v>11024</v>
      </c>
      <c r="O32" s="1" t="s">
        <v>40</v>
      </c>
      <c r="P32" s="1" t="s">
        <v>175</v>
      </c>
      <c r="Q32" s="1" t="s">
        <v>629</v>
      </c>
      <c r="R32" s="1"/>
      <c r="S32" s="1" t="s">
        <v>692</v>
      </c>
    </row>
    <row r="33" spans="1:19" x14ac:dyDescent="0.25">
      <c r="A33" s="1" t="s">
        <v>624</v>
      </c>
      <c r="C33" s="29" t="s">
        <v>71</v>
      </c>
      <c r="D33" t="s">
        <v>141</v>
      </c>
      <c r="E33" t="s">
        <v>20</v>
      </c>
      <c r="F33" t="s">
        <v>1061</v>
      </c>
      <c r="G33" s="1" t="s">
        <v>1061</v>
      </c>
      <c r="H33" s="1">
        <f>COUNTIF(C:G,Tabela1[[#This Row],[Liderado]])</f>
        <v>4</v>
      </c>
      <c r="I33" s="1" t="s">
        <v>109</v>
      </c>
      <c r="J33" s="1" t="s">
        <v>110</v>
      </c>
      <c r="K33" s="1" t="s">
        <v>9</v>
      </c>
      <c r="L33" s="2" t="s">
        <v>10</v>
      </c>
      <c r="M33" s="1" t="s">
        <v>11</v>
      </c>
      <c r="N33" s="2">
        <v>11024</v>
      </c>
      <c r="O33" s="1" t="s">
        <v>40</v>
      </c>
      <c r="P33" s="1" t="s">
        <v>175</v>
      </c>
      <c r="Q33" s="1" t="s">
        <v>629</v>
      </c>
      <c r="R33" s="1"/>
      <c r="S33" s="1" t="s">
        <v>692</v>
      </c>
    </row>
    <row r="34" spans="1:19" x14ac:dyDescent="0.25">
      <c r="A34" s="1" t="s">
        <v>624</v>
      </c>
      <c r="C34" s="29" t="s">
        <v>71</v>
      </c>
      <c r="D34" t="s">
        <v>27</v>
      </c>
      <c r="E34" t="s">
        <v>1061</v>
      </c>
      <c r="F34" t="s">
        <v>1061</v>
      </c>
      <c r="G34" s="1" t="s">
        <v>1061</v>
      </c>
      <c r="H34" s="1">
        <f>COUNTIF(C:G,Tabela1[[#This Row],[Liderado]])</f>
        <v>0</v>
      </c>
      <c r="I34" s="1" t="s">
        <v>111</v>
      </c>
      <c r="J34" s="1" t="s">
        <v>112</v>
      </c>
      <c r="K34" s="1" t="s">
        <v>9</v>
      </c>
      <c r="L34" s="2" t="s">
        <v>10</v>
      </c>
      <c r="M34" s="1" t="s">
        <v>11</v>
      </c>
      <c r="N34" s="2">
        <v>11024</v>
      </c>
      <c r="O34" s="1" t="s">
        <v>40</v>
      </c>
      <c r="P34" s="1" t="s">
        <v>175</v>
      </c>
      <c r="Q34" s="1" t="s">
        <v>629</v>
      </c>
      <c r="R34" s="1"/>
      <c r="S34" s="1" t="s">
        <v>692</v>
      </c>
    </row>
    <row r="35" spans="1:19" x14ac:dyDescent="0.25">
      <c r="A35" s="1" t="s">
        <v>641</v>
      </c>
      <c r="C35" s="29" t="s">
        <v>71</v>
      </c>
      <c r="D35" t="s">
        <v>116</v>
      </c>
      <c r="E35" t="s">
        <v>1061</v>
      </c>
      <c r="F35" t="s">
        <v>1061</v>
      </c>
      <c r="G35" s="1" t="s">
        <v>1061</v>
      </c>
      <c r="H35" s="1">
        <f>COUNTIF(C:G,Tabela1[[#This Row],[Liderado]])</f>
        <v>0</v>
      </c>
      <c r="I35" s="1" t="s">
        <v>113</v>
      </c>
      <c r="J35" s="1" t="s">
        <v>34</v>
      </c>
      <c r="K35" s="1" t="s">
        <v>9</v>
      </c>
      <c r="L35" s="2" t="s">
        <v>10</v>
      </c>
      <c r="M35" s="1" t="s">
        <v>11</v>
      </c>
      <c r="N35" s="2">
        <v>11024</v>
      </c>
      <c r="O35" s="1" t="s">
        <v>40</v>
      </c>
      <c r="P35" s="1" t="s">
        <v>175</v>
      </c>
      <c r="Q35" s="1" t="s">
        <v>629</v>
      </c>
      <c r="R35" s="1"/>
      <c r="S35" s="1" t="s">
        <v>692</v>
      </c>
    </row>
    <row r="36" spans="1:19" x14ac:dyDescent="0.25">
      <c r="A36" s="1" t="s">
        <v>624</v>
      </c>
      <c r="C36" s="29" t="s">
        <v>71</v>
      </c>
      <c r="D36" t="s">
        <v>67</v>
      </c>
      <c r="E36" t="s">
        <v>1061</v>
      </c>
      <c r="F36" t="s">
        <v>1061</v>
      </c>
      <c r="G36" s="1" t="s">
        <v>1061</v>
      </c>
      <c r="H36" s="1">
        <f>COUNTIF(C:G,Tabela1[[#This Row],[Liderado]])</f>
        <v>0</v>
      </c>
      <c r="I36" s="1" t="s">
        <v>117</v>
      </c>
      <c r="J36" s="1" t="s">
        <v>104</v>
      </c>
      <c r="K36" s="1" t="s">
        <v>9</v>
      </c>
      <c r="L36" s="2" t="s">
        <v>10</v>
      </c>
      <c r="M36" s="1" t="s">
        <v>11</v>
      </c>
      <c r="N36" s="2">
        <v>11024</v>
      </c>
      <c r="O36" s="1" t="s">
        <v>40</v>
      </c>
      <c r="P36" s="1" t="s">
        <v>175</v>
      </c>
      <c r="Q36" s="1" t="s">
        <v>629</v>
      </c>
      <c r="R36" s="1"/>
      <c r="S36" s="1" t="s">
        <v>692</v>
      </c>
    </row>
    <row r="37" spans="1:19" x14ac:dyDescent="0.25">
      <c r="A37" s="1" t="s">
        <v>624</v>
      </c>
      <c r="C37" s="29" t="s">
        <v>71</v>
      </c>
      <c r="D37" t="s">
        <v>236</v>
      </c>
      <c r="E37" t="s">
        <v>1061</v>
      </c>
      <c r="F37" t="s">
        <v>1061</v>
      </c>
      <c r="G37" s="1" t="s">
        <v>1061</v>
      </c>
      <c r="H37" s="1">
        <f>COUNTIF(C:G,Tabela1[[#This Row],[Liderado]])</f>
        <v>0</v>
      </c>
      <c r="I37" s="1" t="s">
        <v>1030</v>
      </c>
      <c r="J37" s="1" t="s">
        <v>1034</v>
      </c>
      <c r="K37" s="1" t="s">
        <v>9</v>
      </c>
      <c r="L37" s="2" t="s">
        <v>10</v>
      </c>
      <c r="M37" s="1" t="s">
        <v>11</v>
      </c>
      <c r="N37" s="2">
        <v>11024</v>
      </c>
      <c r="O37" s="1" t="s">
        <v>40</v>
      </c>
      <c r="P37" s="1" t="s">
        <v>175</v>
      </c>
      <c r="Q37" s="1" t="s">
        <v>629</v>
      </c>
      <c r="R37" s="1"/>
      <c r="S37" s="1" t="s">
        <v>692</v>
      </c>
    </row>
    <row r="38" spans="1:19" x14ac:dyDescent="0.25">
      <c r="A38" s="1" t="s">
        <v>627</v>
      </c>
      <c r="C38" s="29" t="s">
        <v>41</v>
      </c>
      <c r="D38" t="s">
        <v>38</v>
      </c>
      <c r="E38" t="s">
        <v>1061</v>
      </c>
      <c r="F38" t="s">
        <v>1061</v>
      </c>
      <c r="G38" s="1" t="s">
        <v>1061</v>
      </c>
      <c r="H38" s="1">
        <f>COUNTIF(C:G,Tabela1[[#This Row],[Liderado]])</f>
        <v>23</v>
      </c>
      <c r="I38" s="1" t="s">
        <v>37</v>
      </c>
      <c r="J38" s="1" t="s">
        <v>123</v>
      </c>
      <c r="K38" s="1" t="s">
        <v>9</v>
      </c>
      <c r="L38" s="2" t="s">
        <v>10</v>
      </c>
      <c r="M38" s="1" t="s">
        <v>11</v>
      </c>
      <c r="N38" s="2">
        <v>11024</v>
      </c>
      <c r="O38" s="1" t="s">
        <v>40</v>
      </c>
      <c r="P38" s="1" t="s">
        <v>175</v>
      </c>
      <c r="Q38" s="1" t="s">
        <v>629</v>
      </c>
      <c r="R38" s="1"/>
      <c r="S38" s="1" t="s">
        <v>692</v>
      </c>
    </row>
    <row r="39" spans="1:19" x14ac:dyDescent="0.25">
      <c r="A39" s="1" t="s">
        <v>624</v>
      </c>
      <c r="C39" s="29" t="s">
        <v>71</v>
      </c>
      <c r="D39" t="s">
        <v>67</v>
      </c>
      <c r="E39" t="s">
        <v>1061</v>
      </c>
      <c r="F39" t="s">
        <v>1061</v>
      </c>
      <c r="G39" s="1" t="s">
        <v>1061</v>
      </c>
      <c r="H39" s="1">
        <f>COUNTIF(C:G,Tabela1[[#This Row],[Liderado]])</f>
        <v>0</v>
      </c>
      <c r="I39" s="1" t="s">
        <v>124</v>
      </c>
      <c r="J39" s="1" t="s">
        <v>89</v>
      </c>
      <c r="K39" s="1" t="s">
        <v>9</v>
      </c>
      <c r="L39" s="2" t="s">
        <v>10</v>
      </c>
      <c r="M39" s="1" t="s">
        <v>11</v>
      </c>
      <c r="N39" s="2">
        <v>11024</v>
      </c>
      <c r="O39" s="1" t="s">
        <v>40</v>
      </c>
      <c r="P39" s="1" t="s">
        <v>175</v>
      </c>
      <c r="Q39" s="1" t="s">
        <v>629</v>
      </c>
      <c r="R39" s="1"/>
      <c r="S39" s="1" t="s">
        <v>692</v>
      </c>
    </row>
    <row r="40" spans="1:19" x14ac:dyDescent="0.25">
      <c r="A40" s="1" t="s">
        <v>641</v>
      </c>
      <c r="C40" s="29" t="s">
        <v>71</v>
      </c>
      <c r="D40" t="s">
        <v>116</v>
      </c>
      <c r="E40" t="s">
        <v>1061</v>
      </c>
      <c r="F40" t="s">
        <v>1061</v>
      </c>
      <c r="G40" s="1" t="s">
        <v>1061</v>
      </c>
      <c r="H40" s="1">
        <f>COUNTIF(C:G,Tabela1[[#This Row],[Liderado]])</f>
        <v>0</v>
      </c>
      <c r="I40" s="1" t="s">
        <v>125</v>
      </c>
      <c r="J40" s="1" t="s">
        <v>126</v>
      </c>
      <c r="K40" s="1" t="s">
        <v>9</v>
      </c>
      <c r="L40" s="2" t="s">
        <v>10</v>
      </c>
      <c r="M40" s="1" t="s">
        <v>11</v>
      </c>
      <c r="N40" s="2">
        <v>11024</v>
      </c>
      <c r="O40" s="1" t="s">
        <v>40</v>
      </c>
      <c r="P40" s="1" t="s">
        <v>175</v>
      </c>
      <c r="Q40" s="1" t="s">
        <v>629</v>
      </c>
      <c r="R40" s="1"/>
      <c r="S40" s="1" t="s">
        <v>692</v>
      </c>
    </row>
    <row r="41" spans="1:19" x14ac:dyDescent="0.25">
      <c r="A41" s="1" t="s">
        <v>627</v>
      </c>
      <c r="C41" s="29" t="s">
        <v>41</v>
      </c>
      <c r="D41" t="s">
        <v>38</v>
      </c>
      <c r="E41" t="s">
        <v>1061</v>
      </c>
      <c r="F41" t="s">
        <v>32</v>
      </c>
      <c r="G41" s="1" t="s">
        <v>1061</v>
      </c>
      <c r="H41" s="1">
        <f>COUNTIF(C:G,Tabela1[[#This Row],[Liderado]])</f>
        <v>0</v>
      </c>
      <c r="I41" s="1" t="s">
        <v>129</v>
      </c>
      <c r="J41" s="1" t="s">
        <v>130</v>
      </c>
      <c r="K41" s="1" t="s">
        <v>9</v>
      </c>
      <c r="L41" s="2" t="s">
        <v>10</v>
      </c>
      <c r="M41" s="1" t="s">
        <v>11</v>
      </c>
      <c r="N41" s="2">
        <v>11024</v>
      </c>
      <c r="O41" s="1" t="s">
        <v>40</v>
      </c>
      <c r="P41" s="1" t="s">
        <v>175</v>
      </c>
      <c r="Q41" s="1" t="s">
        <v>629</v>
      </c>
      <c r="R41" s="1"/>
      <c r="S41" s="1" t="s">
        <v>692</v>
      </c>
    </row>
    <row r="42" spans="1:19" x14ac:dyDescent="0.25">
      <c r="A42" s="1" t="s">
        <v>2137</v>
      </c>
      <c r="C42" s="29" t="s">
        <v>1061</v>
      </c>
      <c r="D42" t="s">
        <v>1061</v>
      </c>
      <c r="E42" t="s">
        <v>1061</v>
      </c>
      <c r="F42" t="s">
        <v>1061</v>
      </c>
      <c r="G42" s="1" t="s">
        <v>1061</v>
      </c>
      <c r="H42" s="1">
        <f>COUNTIF(C:G,Tabela1[[#This Row],[Liderado]])</f>
        <v>0</v>
      </c>
      <c r="I42" s="1" t="s">
        <v>131</v>
      </c>
      <c r="J42" s="1" t="s">
        <v>132</v>
      </c>
      <c r="K42" s="1" t="s">
        <v>9</v>
      </c>
      <c r="L42" s="2" t="s">
        <v>10</v>
      </c>
      <c r="M42" s="1" t="s">
        <v>11</v>
      </c>
      <c r="N42" s="2">
        <v>11024</v>
      </c>
      <c r="O42" s="1" t="s">
        <v>40</v>
      </c>
      <c r="P42" s="1" t="s">
        <v>175</v>
      </c>
      <c r="Q42" s="1" t="s">
        <v>629</v>
      </c>
      <c r="R42" s="1"/>
      <c r="S42" s="1" t="s">
        <v>692</v>
      </c>
    </row>
    <row r="43" spans="1:19" x14ac:dyDescent="0.25">
      <c r="A43" s="1" t="s">
        <v>641</v>
      </c>
      <c r="C43" s="29" t="s">
        <v>71</v>
      </c>
      <c r="D43" t="s">
        <v>116</v>
      </c>
      <c r="E43" t="s">
        <v>1061</v>
      </c>
      <c r="F43" t="s">
        <v>1061</v>
      </c>
      <c r="G43" s="1" t="s">
        <v>1061</v>
      </c>
      <c r="H43" s="1">
        <f>COUNTIF(C:G,Tabela1[[#This Row],[Liderado]])</f>
        <v>0</v>
      </c>
      <c r="I43" s="1" t="s">
        <v>135</v>
      </c>
      <c r="J43" s="1" t="s">
        <v>34</v>
      </c>
      <c r="K43" s="1" t="s">
        <v>9</v>
      </c>
      <c r="L43" s="2" t="s">
        <v>10</v>
      </c>
      <c r="M43" s="1" t="s">
        <v>11</v>
      </c>
      <c r="N43" s="2">
        <v>11024</v>
      </c>
      <c r="O43" s="1" t="s">
        <v>40</v>
      </c>
      <c r="P43" s="1" t="s">
        <v>175</v>
      </c>
      <c r="Q43" s="1" t="s">
        <v>629</v>
      </c>
      <c r="R43" s="1"/>
      <c r="S43" s="1" t="s">
        <v>692</v>
      </c>
    </row>
    <row r="44" spans="1:19" x14ac:dyDescent="0.25">
      <c r="A44" s="1" t="s">
        <v>627</v>
      </c>
      <c r="C44" s="29" t="s">
        <v>41</v>
      </c>
      <c r="D44" t="s">
        <v>38</v>
      </c>
      <c r="E44" t="s">
        <v>1061</v>
      </c>
      <c r="F44" t="s">
        <v>245</v>
      </c>
      <c r="G44" s="1" t="s">
        <v>1061</v>
      </c>
      <c r="H44" s="1">
        <f>COUNTIF(C:G,Tabela1[[#This Row],[Liderado]])</f>
        <v>12</v>
      </c>
      <c r="I44" s="1" t="s">
        <v>136</v>
      </c>
      <c r="J44" s="1" t="s">
        <v>137</v>
      </c>
      <c r="K44" s="1" t="s">
        <v>9</v>
      </c>
      <c r="L44" s="2" t="s">
        <v>10</v>
      </c>
      <c r="M44" s="1" t="s">
        <v>11</v>
      </c>
      <c r="N44" s="2">
        <v>11024</v>
      </c>
      <c r="O44" s="1" t="s">
        <v>40</v>
      </c>
      <c r="P44" s="1" t="s">
        <v>175</v>
      </c>
      <c r="Q44" s="1" t="s">
        <v>629</v>
      </c>
      <c r="R44" s="1"/>
      <c r="S44" s="1" t="s">
        <v>692</v>
      </c>
    </row>
    <row r="45" spans="1:19" x14ac:dyDescent="0.25">
      <c r="A45" s="1" t="s">
        <v>627</v>
      </c>
      <c r="C45" s="29" t="s">
        <v>41</v>
      </c>
      <c r="D45" t="s">
        <v>38</v>
      </c>
      <c r="E45" t="s">
        <v>1061</v>
      </c>
      <c r="F45" t="s">
        <v>32</v>
      </c>
      <c r="G45" s="1" t="s">
        <v>28</v>
      </c>
      <c r="H45" s="1">
        <f>COUNTIF(C:G,Tabela1[[#This Row],[Liderado]])</f>
        <v>0</v>
      </c>
      <c r="I45" s="1" t="s">
        <v>140</v>
      </c>
      <c r="J45" s="1" t="s">
        <v>34</v>
      </c>
      <c r="K45" s="1" t="s">
        <v>9</v>
      </c>
      <c r="L45" s="2" t="s">
        <v>10</v>
      </c>
      <c r="M45" s="1" t="s">
        <v>11</v>
      </c>
      <c r="N45" s="2">
        <v>11024</v>
      </c>
      <c r="O45" s="1" t="s">
        <v>40</v>
      </c>
      <c r="P45" s="1" t="s">
        <v>175</v>
      </c>
      <c r="Q45" s="1" t="s">
        <v>629</v>
      </c>
      <c r="R45" s="1"/>
      <c r="S45" s="1" t="s">
        <v>692</v>
      </c>
    </row>
    <row r="46" spans="1:19" x14ac:dyDescent="0.25">
      <c r="A46" s="1" t="s">
        <v>624</v>
      </c>
      <c r="C46" s="29" t="s">
        <v>71</v>
      </c>
      <c r="D46" t="s">
        <v>1061</v>
      </c>
      <c r="E46" t="s">
        <v>1061</v>
      </c>
      <c r="F46" t="s">
        <v>1061</v>
      </c>
      <c r="G46" s="1" t="s">
        <v>1061</v>
      </c>
      <c r="H46" s="1">
        <f>COUNTIF(C:G,Tabela1[[#This Row],[Liderado]])</f>
        <v>14</v>
      </c>
      <c r="I46" s="1" t="s">
        <v>141</v>
      </c>
      <c r="J46" s="1" t="s">
        <v>142</v>
      </c>
      <c r="K46" s="1" t="s">
        <v>9</v>
      </c>
      <c r="L46" s="2" t="s">
        <v>10</v>
      </c>
      <c r="M46" s="1" t="s">
        <v>11</v>
      </c>
      <c r="N46" s="2">
        <v>11024</v>
      </c>
      <c r="O46" s="1" t="s">
        <v>40</v>
      </c>
      <c r="P46" s="1" t="s">
        <v>175</v>
      </c>
      <c r="Q46" s="1" t="s">
        <v>629</v>
      </c>
      <c r="R46" s="1"/>
      <c r="S46" s="1" t="s">
        <v>692</v>
      </c>
    </row>
    <row r="47" spans="1:19" x14ac:dyDescent="0.25">
      <c r="A47" s="1" t="s">
        <v>627</v>
      </c>
      <c r="C47" s="29" t="s">
        <v>41</v>
      </c>
      <c r="D47" t="s">
        <v>38</v>
      </c>
      <c r="E47" t="s">
        <v>1061</v>
      </c>
      <c r="F47" t="s">
        <v>32</v>
      </c>
      <c r="G47" s="1" t="s">
        <v>28</v>
      </c>
      <c r="H47" s="1">
        <f>COUNTIF(C:G,Tabela1[[#This Row],[Liderado]])</f>
        <v>0</v>
      </c>
      <c r="I47" s="1" t="s">
        <v>143</v>
      </c>
      <c r="J47" s="1" t="s">
        <v>34</v>
      </c>
      <c r="K47" s="1" t="s">
        <v>9</v>
      </c>
      <c r="L47" s="2" t="s">
        <v>10</v>
      </c>
      <c r="M47" s="1" t="s">
        <v>11</v>
      </c>
      <c r="N47" s="2">
        <v>11024</v>
      </c>
      <c r="O47" s="1" t="s">
        <v>40</v>
      </c>
      <c r="P47" s="1" t="s">
        <v>175</v>
      </c>
      <c r="Q47" s="1" t="s">
        <v>629</v>
      </c>
      <c r="R47" s="1"/>
      <c r="S47" s="1" t="s">
        <v>692</v>
      </c>
    </row>
    <row r="48" spans="1:19" x14ac:dyDescent="0.25">
      <c r="A48" s="1" t="s">
        <v>624</v>
      </c>
      <c r="C48" s="29" t="s">
        <v>71</v>
      </c>
      <c r="D48" t="s">
        <v>236</v>
      </c>
      <c r="E48" t="s">
        <v>1061</v>
      </c>
      <c r="F48" t="s">
        <v>1061</v>
      </c>
      <c r="G48" s="1" t="s">
        <v>1061</v>
      </c>
      <c r="H48" s="1">
        <f>COUNTIF(C:G,Tabela1[[#This Row],[Liderado]])</f>
        <v>0</v>
      </c>
      <c r="I48" s="1" t="s">
        <v>144</v>
      </c>
      <c r="J48" s="1" t="s">
        <v>108</v>
      </c>
      <c r="K48" s="1" t="s">
        <v>9</v>
      </c>
      <c r="L48" s="2" t="s">
        <v>10</v>
      </c>
      <c r="M48" s="1" t="s">
        <v>11</v>
      </c>
      <c r="N48" s="2">
        <v>11024</v>
      </c>
      <c r="O48" s="1" t="s">
        <v>40</v>
      </c>
      <c r="P48" s="1" t="s">
        <v>175</v>
      </c>
      <c r="Q48" s="1" t="s">
        <v>629</v>
      </c>
      <c r="R48" s="1"/>
      <c r="S48" s="1" t="s">
        <v>692</v>
      </c>
    </row>
    <row r="49" spans="1:19" x14ac:dyDescent="0.25">
      <c r="A49" s="1" t="s">
        <v>624</v>
      </c>
      <c r="C49" s="29" t="s">
        <v>71</v>
      </c>
      <c r="D49" t="s">
        <v>236</v>
      </c>
      <c r="E49" t="s">
        <v>1061</v>
      </c>
      <c r="F49" t="s">
        <v>151</v>
      </c>
      <c r="G49" s="1" t="s">
        <v>1061</v>
      </c>
      <c r="H49" s="1">
        <f>COUNTIF(C:G,Tabela1[[#This Row],[Liderado]])</f>
        <v>0</v>
      </c>
      <c r="I49" s="1" t="s">
        <v>147</v>
      </c>
      <c r="J49" s="1" t="s">
        <v>148</v>
      </c>
      <c r="K49" s="1" t="s">
        <v>9</v>
      </c>
      <c r="L49" s="2" t="s">
        <v>10</v>
      </c>
      <c r="M49" s="1" t="s">
        <v>11</v>
      </c>
      <c r="N49" s="2">
        <v>11024</v>
      </c>
      <c r="O49" s="1" t="s">
        <v>40</v>
      </c>
      <c r="P49" s="1" t="s">
        <v>175</v>
      </c>
      <c r="Q49" s="1" t="s">
        <v>629</v>
      </c>
      <c r="R49" s="1"/>
      <c r="S49" s="1" t="s">
        <v>692</v>
      </c>
    </row>
    <row r="50" spans="1:19" x14ac:dyDescent="0.25">
      <c r="A50" s="1" t="s">
        <v>627</v>
      </c>
      <c r="C50" s="29" t="s">
        <v>41</v>
      </c>
      <c r="D50" t="s">
        <v>38</v>
      </c>
      <c r="E50" t="s">
        <v>1061</v>
      </c>
      <c r="F50" t="s">
        <v>1061</v>
      </c>
      <c r="G50" s="1" t="s">
        <v>38</v>
      </c>
      <c r="H50" s="1">
        <f>COUNTIF(C:G,Tabela1[[#This Row],[Liderado]])</f>
        <v>0</v>
      </c>
      <c r="I50" s="1" t="s">
        <v>152</v>
      </c>
      <c r="J50" s="1" t="s">
        <v>153</v>
      </c>
      <c r="K50" s="1" t="s">
        <v>9</v>
      </c>
      <c r="L50" s="2" t="s">
        <v>10</v>
      </c>
      <c r="M50" s="1" t="s">
        <v>11</v>
      </c>
      <c r="N50" s="2">
        <v>11024</v>
      </c>
      <c r="O50" s="1" t="s">
        <v>40</v>
      </c>
      <c r="P50" s="1" t="s">
        <v>175</v>
      </c>
      <c r="Q50" s="1" t="s">
        <v>629</v>
      </c>
      <c r="R50" s="1"/>
      <c r="S50" s="1" t="s">
        <v>692</v>
      </c>
    </row>
    <row r="51" spans="1:19" x14ac:dyDescent="0.25">
      <c r="A51" s="1" t="s">
        <v>624</v>
      </c>
      <c r="C51" s="29" t="s">
        <v>71</v>
      </c>
      <c r="D51" t="s">
        <v>14</v>
      </c>
      <c r="E51" t="s">
        <v>1061</v>
      </c>
      <c r="F51" t="s">
        <v>1061</v>
      </c>
      <c r="G51" s="1" t="s">
        <v>1061</v>
      </c>
      <c r="H51" s="1">
        <f>COUNTIF(C:G,Tabela1[[#This Row],[Liderado]])</f>
        <v>0</v>
      </c>
      <c r="I51" s="1" t="s">
        <v>156</v>
      </c>
      <c r="J51" s="1" t="s">
        <v>104</v>
      </c>
      <c r="K51" s="1" t="s">
        <v>9</v>
      </c>
      <c r="L51" s="2" t="s">
        <v>10</v>
      </c>
      <c r="M51" s="1" t="s">
        <v>11</v>
      </c>
      <c r="N51" s="2">
        <v>11024</v>
      </c>
      <c r="O51" s="1" t="s">
        <v>40</v>
      </c>
      <c r="P51" s="1" t="s">
        <v>175</v>
      </c>
      <c r="Q51" s="1" t="s">
        <v>629</v>
      </c>
      <c r="R51" s="1"/>
      <c r="S51" s="1" t="s">
        <v>692</v>
      </c>
    </row>
    <row r="52" spans="1:19" x14ac:dyDescent="0.25">
      <c r="A52" s="1" t="s">
        <v>624</v>
      </c>
      <c r="C52" s="29" t="s">
        <v>71</v>
      </c>
      <c r="D52" t="s">
        <v>236</v>
      </c>
      <c r="E52" t="s">
        <v>1061</v>
      </c>
      <c r="F52" t="s">
        <v>1061</v>
      </c>
      <c r="G52" s="1" t="s">
        <v>1061</v>
      </c>
      <c r="H52" s="1">
        <f>COUNTIF(C:G,Tabela1[[#This Row],[Liderado]])</f>
        <v>0</v>
      </c>
      <c r="I52" s="1" t="s">
        <v>1109</v>
      </c>
      <c r="J52" s="1" t="s">
        <v>1034</v>
      </c>
      <c r="K52" s="1" t="s">
        <v>9</v>
      </c>
      <c r="L52" s="2" t="s">
        <v>10</v>
      </c>
      <c r="M52" s="1" t="s">
        <v>11</v>
      </c>
      <c r="N52" s="2">
        <v>11024</v>
      </c>
      <c r="O52" s="1" t="s">
        <v>40</v>
      </c>
      <c r="P52" s="1" t="s">
        <v>175</v>
      </c>
      <c r="Q52" s="1" t="s">
        <v>629</v>
      </c>
      <c r="R52" s="1"/>
      <c r="S52" s="1" t="s">
        <v>692</v>
      </c>
    </row>
    <row r="53" spans="1:19" x14ac:dyDescent="0.25">
      <c r="A53" s="1" t="s">
        <v>627</v>
      </c>
      <c r="C53" s="29" t="s">
        <v>41</v>
      </c>
      <c r="D53" t="s">
        <v>38</v>
      </c>
      <c r="E53" t="s">
        <v>1061</v>
      </c>
      <c r="F53" t="s">
        <v>32</v>
      </c>
      <c r="G53" s="1" t="s">
        <v>28</v>
      </c>
      <c r="H53" s="1">
        <f>COUNTIF(C:G,Tabela1[[#This Row],[Liderado]])</f>
        <v>0</v>
      </c>
      <c r="I53" s="1" t="s">
        <v>157</v>
      </c>
      <c r="J53" s="1" t="s">
        <v>34</v>
      </c>
      <c r="K53" s="1" t="s">
        <v>9</v>
      </c>
      <c r="L53" s="2" t="s">
        <v>10</v>
      </c>
      <c r="M53" s="1" t="s">
        <v>11</v>
      </c>
      <c r="N53" s="2">
        <v>11024</v>
      </c>
      <c r="O53" s="1" t="s">
        <v>40</v>
      </c>
      <c r="P53" s="1" t="s">
        <v>175</v>
      </c>
      <c r="Q53" s="1" t="s">
        <v>629</v>
      </c>
      <c r="R53" s="1"/>
      <c r="S53" s="1" t="s">
        <v>692</v>
      </c>
    </row>
    <row r="54" spans="1:19" x14ac:dyDescent="0.25">
      <c r="A54" s="1" t="s">
        <v>624</v>
      </c>
      <c r="C54" s="29" t="s">
        <v>71</v>
      </c>
      <c r="D54" t="s">
        <v>141</v>
      </c>
      <c r="E54" t="s">
        <v>1061</v>
      </c>
      <c r="F54" t="s">
        <v>1061</v>
      </c>
      <c r="G54" s="1" t="s">
        <v>1061</v>
      </c>
      <c r="H54" s="1">
        <f>COUNTIF(C:G,Tabela1[[#This Row],[Liderado]])</f>
        <v>0</v>
      </c>
      <c r="I54" s="1" t="s">
        <v>158</v>
      </c>
      <c r="J54" s="1" t="s">
        <v>159</v>
      </c>
      <c r="K54" s="1" t="s">
        <v>9</v>
      </c>
      <c r="L54" s="2" t="s">
        <v>10</v>
      </c>
      <c r="M54" s="1" t="s">
        <v>11</v>
      </c>
      <c r="N54" s="2">
        <v>11024</v>
      </c>
      <c r="O54" s="1" t="s">
        <v>40</v>
      </c>
      <c r="P54" s="1" t="s">
        <v>175</v>
      </c>
      <c r="Q54" s="1" t="s">
        <v>629</v>
      </c>
      <c r="R54" s="1"/>
      <c r="S54" s="1" t="s">
        <v>692</v>
      </c>
    </row>
    <row r="55" spans="1:19" x14ac:dyDescent="0.25">
      <c r="A55" s="1" t="s">
        <v>641</v>
      </c>
      <c r="C55" s="29" t="s">
        <v>71</v>
      </c>
      <c r="D55" t="s">
        <v>116</v>
      </c>
      <c r="E55" t="s">
        <v>1061</v>
      </c>
      <c r="F55" t="s">
        <v>1061</v>
      </c>
      <c r="G55" s="1" t="s">
        <v>1061</v>
      </c>
      <c r="H55" s="1">
        <f>COUNTIF(C:G,Tabela1[[#This Row],[Liderado]])</f>
        <v>0</v>
      </c>
      <c r="I55" s="1" t="s">
        <v>162</v>
      </c>
      <c r="J55" s="1" t="s">
        <v>34</v>
      </c>
      <c r="K55" s="1" t="s">
        <v>9</v>
      </c>
      <c r="L55" s="2" t="s">
        <v>10</v>
      </c>
      <c r="M55" s="1" t="s">
        <v>11</v>
      </c>
      <c r="N55" s="2">
        <v>11024</v>
      </c>
      <c r="O55" s="1" t="s">
        <v>40</v>
      </c>
      <c r="P55" s="1" t="s">
        <v>175</v>
      </c>
      <c r="Q55" s="1" t="s">
        <v>629</v>
      </c>
      <c r="R55" s="1"/>
      <c r="S55" s="1" t="s">
        <v>692</v>
      </c>
    </row>
    <row r="56" spans="1:19" x14ac:dyDescent="0.25">
      <c r="A56" s="1" t="s">
        <v>627</v>
      </c>
      <c r="C56" s="29" t="s">
        <v>41</v>
      </c>
      <c r="D56" t="s">
        <v>38</v>
      </c>
      <c r="E56" t="s">
        <v>37</v>
      </c>
      <c r="F56" t="s">
        <v>1061</v>
      </c>
      <c r="G56" s="1" t="s">
        <v>259</v>
      </c>
      <c r="H56" s="1">
        <f>COUNTIF(C:G,Tabela1[[#This Row],[Liderado]])</f>
        <v>0</v>
      </c>
      <c r="I56" s="1" t="s">
        <v>163</v>
      </c>
      <c r="J56" s="1" t="s">
        <v>34</v>
      </c>
      <c r="K56" s="1" t="s">
        <v>9</v>
      </c>
      <c r="L56" s="2" t="s">
        <v>10</v>
      </c>
      <c r="M56" s="1" t="s">
        <v>11</v>
      </c>
      <c r="N56" s="2">
        <v>11024</v>
      </c>
      <c r="O56" s="1" t="s">
        <v>40</v>
      </c>
      <c r="P56" s="1" t="s">
        <v>175</v>
      </c>
      <c r="Q56" s="1" t="s">
        <v>629</v>
      </c>
      <c r="R56" s="1"/>
      <c r="S56" s="1" t="s">
        <v>692</v>
      </c>
    </row>
    <row r="57" spans="1:19" x14ac:dyDescent="0.25">
      <c r="A57" s="1" t="s">
        <v>624</v>
      </c>
      <c r="C57" s="29" t="s">
        <v>71</v>
      </c>
      <c r="D57" t="s">
        <v>141</v>
      </c>
      <c r="E57" t="s">
        <v>1061</v>
      </c>
      <c r="F57" t="s">
        <v>49</v>
      </c>
      <c r="G57" s="1" t="s">
        <v>1061</v>
      </c>
      <c r="H57" s="1">
        <f>COUNTIF(C:G,Tabela1[[#This Row],[Liderado]])</f>
        <v>0</v>
      </c>
      <c r="I57" s="1" t="s">
        <v>164</v>
      </c>
      <c r="J57" s="1" t="s">
        <v>46</v>
      </c>
      <c r="K57" s="1" t="s">
        <v>9</v>
      </c>
      <c r="L57" s="2" t="s">
        <v>10</v>
      </c>
      <c r="M57" s="1" t="s">
        <v>11</v>
      </c>
      <c r="N57" s="2">
        <v>11024</v>
      </c>
      <c r="O57" s="1" t="s">
        <v>40</v>
      </c>
      <c r="P57" s="1" t="s">
        <v>175</v>
      </c>
      <c r="Q57" s="1" t="s">
        <v>629</v>
      </c>
      <c r="R57" s="1"/>
      <c r="S57" s="1" t="s">
        <v>692</v>
      </c>
    </row>
    <row r="58" spans="1:19" x14ac:dyDescent="0.25">
      <c r="A58" s="1" t="s">
        <v>627</v>
      </c>
      <c r="C58" s="29" t="s">
        <v>41</v>
      </c>
      <c r="D58" t="s">
        <v>38</v>
      </c>
      <c r="E58" t="s">
        <v>1061</v>
      </c>
      <c r="F58" t="s">
        <v>32</v>
      </c>
      <c r="G58" s="1" t="s">
        <v>54</v>
      </c>
      <c r="H58" s="1">
        <f>COUNTIF(C:G,Tabela1[[#This Row],[Liderado]])</f>
        <v>0</v>
      </c>
      <c r="I58" s="1" t="s">
        <v>165</v>
      </c>
      <c r="J58" s="1" t="s">
        <v>34</v>
      </c>
      <c r="K58" s="1" t="s">
        <v>9</v>
      </c>
      <c r="L58" s="2" t="s">
        <v>10</v>
      </c>
      <c r="M58" s="1" t="s">
        <v>11</v>
      </c>
      <c r="N58" s="2">
        <v>11024</v>
      </c>
      <c r="O58" s="1" t="s">
        <v>40</v>
      </c>
      <c r="P58" s="1" t="s">
        <v>175</v>
      </c>
      <c r="Q58" s="1" t="s">
        <v>629</v>
      </c>
      <c r="R58" s="1"/>
      <c r="S58" s="1" t="s">
        <v>692</v>
      </c>
    </row>
    <row r="59" spans="1:19" x14ac:dyDescent="0.25">
      <c r="A59" s="1" t="s">
        <v>624</v>
      </c>
      <c r="C59" s="29" t="s">
        <v>71</v>
      </c>
      <c r="D59" t="s">
        <v>141</v>
      </c>
      <c r="E59" t="s">
        <v>1061</v>
      </c>
      <c r="F59" t="s">
        <v>1061</v>
      </c>
      <c r="G59" s="1" t="s">
        <v>1061</v>
      </c>
      <c r="H59" s="1">
        <f>COUNTIF(C:G,Tabela1[[#This Row],[Liderado]])</f>
        <v>0</v>
      </c>
      <c r="I59" s="1" t="s">
        <v>166</v>
      </c>
      <c r="J59" s="1" t="s">
        <v>159</v>
      </c>
      <c r="K59" s="1" t="s">
        <v>9</v>
      </c>
      <c r="L59" s="2" t="s">
        <v>10</v>
      </c>
      <c r="M59" s="1" t="s">
        <v>11</v>
      </c>
      <c r="N59" s="2">
        <v>11024</v>
      </c>
      <c r="O59" s="1" t="s">
        <v>40</v>
      </c>
      <c r="P59" s="1" t="s">
        <v>175</v>
      </c>
      <c r="Q59" s="1" t="s">
        <v>629</v>
      </c>
      <c r="R59" s="1"/>
      <c r="S59" s="1" t="s">
        <v>692</v>
      </c>
    </row>
    <row r="60" spans="1:19" x14ac:dyDescent="0.25">
      <c r="A60" s="1" t="s">
        <v>627</v>
      </c>
      <c r="C60" s="29" t="s">
        <v>41</v>
      </c>
      <c r="D60" t="s">
        <v>38</v>
      </c>
      <c r="E60" t="s">
        <v>1061</v>
      </c>
      <c r="F60" t="s">
        <v>1061</v>
      </c>
      <c r="G60" s="1" t="s">
        <v>38</v>
      </c>
      <c r="H60" s="1">
        <f>COUNTIF(C:G,Tabela1[[#This Row],[Liderado]])</f>
        <v>0</v>
      </c>
      <c r="I60" s="1" t="s">
        <v>167</v>
      </c>
      <c r="J60" s="1" t="s">
        <v>168</v>
      </c>
      <c r="K60" s="1" t="s">
        <v>9</v>
      </c>
      <c r="L60" s="2" t="s">
        <v>10</v>
      </c>
      <c r="M60" s="1" t="s">
        <v>11</v>
      </c>
      <c r="N60" s="2">
        <v>11024</v>
      </c>
      <c r="O60" s="1" t="s">
        <v>40</v>
      </c>
      <c r="P60" s="1" t="s">
        <v>175</v>
      </c>
      <c r="Q60" s="1" t="s">
        <v>629</v>
      </c>
      <c r="R60" s="1"/>
      <c r="S60" s="1" t="s">
        <v>692</v>
      </c>
    </row>
    <row r="61" spans="1:19" x14ac:dyDescent="0.25">
      <c r="A61" s="1" t="s">
        <v>627</v>
      </c>
      <c r="C61" s="29" t="s">
        <v>41</v>
      </c>
      <c r="D61" t="s">
        <v>38</v>
      </c>
      <c r="E61" t="s">
        <v>1061</v>
      </c>
      <c r="F61" t="s">
        <v>1061</v>
      </c>
      <c r="G61" s="1" t="s">
        <v>38</v>
      </c>
      <c r="H61" s="1">
        <f>COUNTIF(C:G,Tabela1[[#This Row],[Liderado]])</f>
        <v>0</v>
      </c>
      <c r="I61" s="1" t="s">
        <v>171</v>
      </c>
      <c r="J61" s="1" t="s">
        <v>172</v>
      </c>
      <c r="K61" s="1" t="s">
        <v>9</v>
      </c>
      <c r="L61" s="2" t="s">
        <v>10</v>
      </c>
      <c r="M61" s="1" t="s">
        <v>11</v>
      </c>
      <c r="N61" s="2">
        <v>11024</v>
      </c>
      <c r="O61" s="1" t="s">
        <v>40</v>
      </c>
      <c r="P61" s="1" t="s">
        <v>175</v>
      </c>
      <c r="Q61" s="1" t="s">
        <v>629</v>
      </c>
      <c r="R61" s="1"/>
      <c r="S61" s="1" t="s">
        <v>692</v>
      </c>
    </row>
    <row r="62" spans="1:19" x14ac:dyDescent="0.25">
      <c r="A62" s="1" t="s">
        <v>641</v>
      </c>
      <c r="C62" s="29" t="s">
        <v>71</v>
      </c>
      <c r="D62" t="s">
        <v>1061</v>
      </c>
      <c r="E62" t="s">
        <v>1061</v>
      </c>
      <c r="F62" t="s">
        <v>1061</v>
      </c>
      <c r="G62" s="1" t="s">
        <v>1061</v>
      </c>
      <c r="H62" s="1">
        <f>COUNTIF(C:G,Tabela1[[#This Row],[Liderado]])</f>
        <v>0</v>
      </c>
      <c r="I62" s="1" t="s">
        <v>173</v>
      </c>
      <c r="J62" s="1" t="s">
        <v>29</v>
      </c>
      <c r="K62" s="1" t="s">
        <v>9</v>
      </c>
      <c r="L62" s="2" t="s">
        <v>10</v>
      </c>
      <c r="M62" s="1" t="s">
        <v>11</v>
      </c>
      <c r="N62" s="2">
        <v>11024</v>
      </c>
      <c r="O62" s="1" t="s">
        <v>40</v>
      </c>
      <c r="P62" s="1" t="s">
        <v>175</v>
      </c>
      <c r="Q62" s="1" t="s">
        <v>629</v>
      </c>
      <c r="R62" s="1"/>
      <c r="S62" s="1" t="s">
        <v>692</v>
      </c>
    </row>
    <row r="63" spans="1:19" x14ac:dyDescent="0.25">
      <c r="A63" s="1" t="s">
        <v>627</v>
      </c>
      <c r="C63" s="29" t="s">
        <v>41</v>
      </c>
      <c r="D63" t="s">
        <v>38</v>
      </c>
      <c r="E63" t="s">
        <v>37</v>
      </c>
      <c r="F63" t="s">
        <v>42</v>
      </c>
      <c r="G63" s="1" t="s">
        <v>1061</v>
      </c>
      <c r="H63" s="1">
        <f>COUNTIF(C:G,Tabela1[[#This Row],[Liderado]])</f>
        <v>0</v>
      </c>
      <c r="I63" s="1" t="s">
        <v>176</v>
      </c>
      <c r="J63" s="1" t="s">
        <v>34</v>
      </c>
      <c r="K63" s="1" t="s">
        <v>9</v>
      </c>
      <c r="L63" s="2" t="s">
        <v>10</v>
      </c>
      <c r="M63" s="1" t="s">
        <v>11</v>
      </c>
      <c r="N63" s="2">
        <v>11024</v>
      </c>
      <c r="O63" s="1" t="s">
        <v>40</v>
      </c>
      <c r="P63" s="1" t="s">
        <v>175</v>
      </c>
      <c r="Q63" s="1" t="s">
        <v>629</v>
      </c>
      <c r="R63" s="1"/>
      <c r="S63" s="1" t="s">
        <v>692</v>
      </c>
    </row>
    <row r="64" spans="1:19" x14ac:dyDescent="0.25">
      <c r="A64" s="1" t="s">
        <v>638</v>
      </c>
      <c r="C64" s="29" t="s">
        <v>71</v>
      </c>
      <c r="D64" t="s">
        <v>14</v>
      </c>
      <c r="E64" t="s">
        <v>1061</v>
      </c>
      <c r="F64" t="s">
        <v>1061</v>
      </c>
      <c r="G64" s="1" t="s">
        <v>1061</v>
      </c>
      <c r="H64" s="1">
        <f>COUNTIF(C:G,Tabela1[[#This Row],[Liderado]])</f>
        <v>0</v>
      </c>
      <c r="I64" s="1" t="s">
        <v>178</v>
      </c>
      <c r="J64" s="1" t="s">
        <v>108</v>
      </c>
      <c r="K64" s="1" t="s">
        <v>9</v>
      </c>
      <c r="L64" s="2" t="s">
        <v>10</v>
      </c>
      <c r="M64" s="1" t="s">
        <v>11</v>
      </c>
      <c r="N64" s="2">
        <v>11024</v>
      </c>
      <c r="O64" s="1" t="s">
        <v>40</v>
      </c>
      <c r="P64" s="1" t="s">
        <v>175</v>
      </c>
      <c r="Q64" s="1" t="s">
        <v>629</v>
      </c>
      <c r="R64" s="1"/>
      <c r="S64" s="1" t="s">
        <v>692</v>
      </c>
    </row>
    <row r="65" spans="1:19" x14ac:dyDescent="0.25">
      <c r="A65" s="1" t="s">
        <v>624</v>
      </c>
      <c r="C65" s="29" t="s">
        <v>71</v>
      </c>
      <c r="D65" t="s">
        <v>141</v>
      </c>
      <c r="E65" t="s">
        <v>1061</v>
      </c>
      <c r="F65" t="s">
        <v>49</v>
      </c>
      <c r="G65" s="1" t="s">
        <v>1061</v>
      </c>
      <c r="H65" s="1">
        <f>COUNTIF(C:G,Tabela1[[#This Row],[Liderado]])</f>
        <v>0</v>
      </c>
      <c r="I65" s="1" t="s">
        <v>182</v>
      </c>
      <c r="J65" s="1" t="s">
        <v>46</v>
      </c>
      <c r="K65" s="1" t="s">
        <v>9</v>
      </c>
      <c r="L65" s="2" t="s">
        <v>10</v>
      </c>
      <c r="M65" s="1" t="s">
        <v>11</v>
      </c>
      <c r="N65" s="2">
        <v>11024</v>
      </c>
      <c r="O65" s="1" t="s">
        <v>40</v>
      </c>
      <c r="P65" s="1" t="s">
        <v>175</v>
      </c>
      <c r="Q65" s="1" t="s">
        <v>629</v>
      </c>
      <c r="R65" s="1"/>
      <c r="S65" s="1" t="s">
        <v>692</v>
      </c>
    </row>
    <row r="66" spans="1:19" x14ac:dyDescent="0.25">
      <c r="A66" s="1" t="s">
        <v>641</v>
      </c>
      <c r="C66" s="29" t="s">
        <v>71</v>
      </c>
      <c r="D66" t="s">
        <v>27</v>
      </c>
      <c r="E66" t="s">
        <v>1061</v>
      </c>
      <c r="F66" t="s">
        <v>1061</v>
      </c>
      <c r="G66" s="1" t="s">
        <v>1061</v>
      </c>
      <c r="H66" s="1">
        <f>COUNTIF(C:G,Tabela1[[#This Row],[Liderado]])</f>
        <v>0</v>
      </c>
      <c r="I66" s="1" t="s">
        <v>183</v>
      </c>
      <c r="J66" s="1" t="s">
        <v>184</v>
      </c>
      <c r="K66" s="1" t="s">
        <v>9</v>
      </c>
      <c r="L66" s="2" t="s">
        <v>10</v>
      </c>
      <c r="M66" s="1" t="s">
        <v>11</v>
      </c>
      <c r="N66" s="2">
        <v>11024</v>
      </c>
      <c r="O66" s="1" t="s">
        <v>40</v>
      </c>
      <c r="P66" s="1" t="s">
        <v>175</v>
      </c>
      <c r="Q66" s="1" t="s">
        <v>629</v>
      </c>
      <c r="R66" s="1"/>
      <c r="S66" s="1" t="s">
        <v>692</v>
      </c>
    </row>
    <row r="67" spans="1:19" x14ac:dyDescent="0.25">
      <c r="A67" s="1" t="s">
        <v>627</v>
      </c>
      <c r="C67" s="29" t="s">
        <v>41</v>
      </c>
      <c r="D67" t="s">
        <v>38</v>
      </c>
      <c r="E67" t="s">
        <v>1061</v>
      </c>
      <c r="F67" t="s">
        <v>32</v>
      </c>
      <c r="G67" s="1" t="s">
        <v>54</v>
      </c>
      <c r="H67" s="1">
        <f>COUNTIF(C:G,Tabela1[[#This Row],[Liderado]])</f>
        <v>0</v>
      </c>
      <c r="I67" s="1" t="s">
        <v>187</v>
      </c>
      <c r="J67" s="1" t="s">
        <v>34</v>
      </c>
      <c r="K67" s="1" t="s">
        <v>9</v>
      </c>
      <c r="L67" s="2" t="s">
        <v>10</v>
      </c>
      <c r="M67" s="1" t="s">
        <v>11</v>
      </c>
      <c r="N67" s="2">
        <v>11024</v>
      </c>
      <c r="O67" s="1" t="s">
        <v>40</v>
      </c>
      <c r="P67" s="1" t="s">
        <v>175</v>
      </c>
      <c r="Q67" s="1" t="s">
        <v>629</v>
      </c>
      <c r="R67" s="1"/>
      <c r="S67" s="1" t="s">
        <v>692</v>
      </c>
    </row>
    <row r="68" spans="1:19" x14ac:dyDescent="0.25">
      <c r="A68" s="1" t="s">
        <v>627</v>
      </c>
      <c r="C68" s="29" t="s">
        <v>41</v>
      </c>
      <c r="D68" t="s">
        <v>38</v>
      </c>
      <c r="E68" t="s">
        <v>1061</v>
      </c>
      <c r="F68" t="s">
        <v>32</v>
      </c>
      <c r="G68" s="1" t="s">
        <v>54</v>
      </c>
      <c r="H68" s="1">
        <f>COUNTIF(C:G,Tabela1[[#This Row],[Liderado]])</f>
        <v>0</v>
      </c>
      <c r="I68" s="1" t="s">
        <v>188</v>
      </c>
      <c r="J68" s="1" t="s">
        <v>34</v>
      </c>
      <c r="K68" s="1" t="s">
        <v>9</v>
      </c>
      <c r="L68" s="2" t="s">
        <v>10</v>
      </c>
      <c r="M68" s="1" t="s">
        <v>11</v>
      </c>
      <c r="N68" s="2">
        <v>11024</v>
      </c>
      <c r="O68" s="1" t="s">
        <v>40</v>
      </c>
      <c r="P68" s="1" t="s">
        <v>175</v>
      </c>
      <c r="Q68" s="1" t="s">
        <v>629</v>
      </c>
      <c r="R68" s="1"/>
      <c r="S68" s="1" t="s">
        <v>692</v>
      </c>
    </row>
    <row r="69" spans="1:19" x14ac:dyDescent="0.25">
      <c r="A69" s="1" t="s">
        <v>641</v>
      </c>
      <c r="C69" s="29" t="s">
        <v>71</v>
      </c>
      <c r="D69" t="s">
        <v>1061</v>
      </c>
      <c r="E69" t="s">
        <v>1061</v>
      </c>
      <c r="F69" t="s">
        <v>1061</v>
      </c>
      <c r="G69" s="1" t="s">
        <v>1061</v>
      </c>
      <c r="H69" s="1">
        <f>COUNTIF(C:G,Tabela1[[#This Row],[Liderado]])</f>
        <v>6</v>
      </c>
      <c r="I69" s="1" t="s">
        <v>116</v>
      </c>
      <c r="J69" s="1" t="s">
        <v>189</v>
      </c>
      <c r="K69" s="1" t="s">
        <v>9</v>
      </c>
      <c r="L69" s="2" t="s">
        <v>10</v>
      </c>
      <c r="M69" s="1" t="s">
        <v>11</v>
      </c>
      <c r="N69" s="2">
        <v>11024</v>
      </c>
      <c r="O69" s="1" t="s">
        <v>40</v>
      </c>
      <c r="P69" s="1" t="s">
        <v>175</v>
      </c>
      <c r="Q69" s="1" t="s">
        <v>629</v>
      </c>
      <c r="R69" s="1"/>
      <c r="S69" s="1" t="s">
        <v>692</v>
      </c>
    </row>
    <row r="70" spans="1:19" x14ac:dyDescent="0.25">
      <c r="A70" s="1" t="s">
        <v>627</v>
      </c>
      <c r="C70" s="29" t="s">
        <v>41</v>
      </c>
      <c r="D70" t="s">
        <v>38</v>
      </c>
      <c r="E70" t="s">
        <v>37</v>
      </c>
      <c r="F70" t="s">
        <v>1061</v>
      </c>
      <c r="G70" s="1" t="s">
        <v>490</v>
      </c>
      <c r="H70" s="1">
        <f>COUNTIF(C:G,Tabela1[[#This Row],[Liderado]])</f>
        <v>0</v>
      </c>
      <c r="I70" s="1" t="s">
        <v>190</v>
      </c>
      <c r="J70" s="1" t="s">
        <v>34</v>
      </c>
      <c r="K70" s="1" t="s">
        <v>9</v>
      </c>
      <c r="L70" s="2" t="s">
        <v>10</v>
      </c>
      <c r="M70" s="1" t="s">
        <v>11</v>
      </c>
      <c r="N70" s="2">
        <v>11024</v>
      </c>
      <c r="O70" s="1" t="s">
        <v>40</v>
      </c>
      <c r="P70" s="1" t="s">
        <v>175</v>
      </c>
      <c r="Q70" s="1" t="s">
        <v>629</v>
      </c>
      <c r="R70" s="1"/>
      <c r="S70" s="1" t="s">
        <v>692</v>
      </c>
    </row>
    <row r="71" spans="1:19" x14ac:dyDescent="0.25">
      <c r="A71" s="1" t="s">
        <v>627</v>
      </c>
      <c r="C71" s="29" t="s">
        <v>71</v>
      </c>
      <c r="D71" t="s">
        <v>27</v>
      </c>
      <c r="E71" t="s">
        <v>1061</v>
      </c>
      <c r="F71" t="s">
        <v>248</v>
      </c>
      <c r="G71" s="1" t="s">
        <v>1061</v>
      </c>
      <c r="H71" s="1">
        <f>COUNTIF(C:G,Tabela1[[#This Row],[Liderado]])</f>
        <v>0</v>
      </c>
      <c r="I71" s="1" t="s">
        <v>192</v>
      </c>
      <c r="J71" s="1" t="s">
        <v>193</v>
      </c>
      <c r="K71" s="1" t="s">
        <v>9</v>
      </c>
      <c r="L71" s="2" t="s">
        <v>10</v>
      </c>
      <c r="M71" s="1" t="s">
        <v>11</v>
      </c>
      <c r="N71" s="2">
        <v>11024</v>
      </c>
      <c r="O71" s="1" t="s">
        <v>40</v>
      </c>
      <c r="P71" s="1" t="s">
        <v>175</v>
      </c>
      <c r="Q71" s="1" t="s">
        <v>629</v>
      </c>
      <c r="R71" s="1"/>
      <c r="S71" s="1" t="s">
        <v>692</v>
      </c>
    </row>
    <row r="72" spans="1:19" x14ac:dyDescent="0.25">
      <c r="A72" s="1" t="s">
        <v>624</v>
      </c>
      <c r="C72" s="29" t="s">
        <v>71</v>
      </c>
      <c r="D72" t="s">
        <v>236</v>
      </c>
      <c r="E72" t="s">
        <v>1061</v>
      </c>
      <c r="F72" t="s">
        <v>1061</v>
      </c>
      <c r="G72" s="1" t="s">
        <v>1061</v>
      </c>
      <c r="H72" s="1">
        <f>COUNTIF(C:G,Tabela1[[#This Row],[Liderado]])</f>
        <v>0</v>
      </c>
      <c r="I72" s="1" t="s">
        <v>1162</v>
      </c>
      <c r="J72" s="1" t="s">
        <v>104</v>
      </c>
      <c r="K72" s="1" t="s">
        <v>9</v>
      </c>
      <c r="L72" s="2" t="s">
        <v>10</v>
      </c>
      <c r="M72" s="1" t="s">
        <v>11</v>
      </c>
      <c r="N72" s="2">
        <v>11024</v>
      </c>
      <c r="O72" s="1" t="s">
        <v>40</v>
      </c>
      <c r="P72" s="1" t="s">
        <v>175</v>
      </c>
      <c r="Q72" s="1" t="s">
        <v>629</v>
      </c>
      <c r="R72" s="1"/>
      <c r="S72" s="1" t="s">
        <v>692</v>
      </c>
    </row>
    <row r="73" spans="1:19" x14ac:dyDescent="0.25">
      <c r="A73" s="1" t="s">
        <v>627</v>
      </c>
      <c r="C73" s="29" t="s">
        <v>41</v>
      </c>
      <c r="D73" t="s">
        <v>38</v>
      </c>
      <c r="E73" t="s">
        <v>1061</v>
      </c>
      <c r="F73" t="s">
        <v>32</v>
      </c>
      <c r="G73" s="1" t="s">
        <v>54</v>
      </c>
      <c r="H73" s="1">
        <f>COUNTIF(C:G,Tabela1[[#This Row],[Liderado]])</f>
        <v>0</v>
      </c>
      <c r="I73" s="1" t="s">
        <v>195</v>
      </c>
      <c r="J73" s="1" t="s">
        <v>34</v>
      </c>
      <c r="K73" s="1" t="s">
        <v>9</v>
      </c>
      <c r="L73" s="2" t="s">
        <v>10</v>
      </c>
      <c r="M73" s="1" t="s">
        <v>11</v>
      </c>
      <c r="N73" s="2">
        <v>11024</v>
      </c>
      <c r="O73" s="1" t="s">
        <v>40</v>
      </c>
      <c r="P73" s="1" t="s">
        <v>175</v>
      </c>
      <c r="Q73" s="1" t="s">
        <v>629</v>
      </c>
      <c r="R73" s="1"/>
      <c r="S73" s="1" t="s">
        <v>692</v>
      </c>
    </row>
    <row r="74" spans="1:19" x14ac:dyDescent="0.25">
      <c r="A74" s="1" t="s">
        <v>627</v>
      </c>
      <c r="C74" s="29" t="s">
        <v>71</v>
      </c>
      <c r="D74" t="s">
        <v>27</v>
      </c>
      <c r="E74" t="s">
        <v>1061</v>
      </c>
      <c r="F74" t="s">
        <v>21</v>
      </c>
      <c r="G74" s="1" t="s">
        <v>1061</v>
      </c>
      <c r="H74" s="1">
        <f>COUNTIF(C:G,Tabela1[[#This Row],[Liderado]])</f>
        <v>10</v>
      </c>
      <c r="I74" s="1" t="s">
        <v>1167</v>
      </c>
      <c r="J74" s="1" t="s">
        <v>1169</v>
      </c>
      <c r="K74" s="1" t="s">
        <v>9</v>
      </c>
      <c r="L74" s="2" t="s">
        <v>10</v>
      </c>
      <c r="M74" s="1" t="s">
        <v>11</v>
      </c>
      <c r="N74" s="2">
        <v>11024</v>
      </c>
      <c r="O74" s="1" t="s">
        <v>40</v>
      </c>
      <c r="P74" s="1" t="s">
        <v>175</v>
      </c>
      <c r="Q74" s="1" t="s">
        <v>629</v>
      </c>
      <c r="R74" s="1"/>
      <c r="S74" s="1" t="s">
        <v>692</v>
      </c>
    </row>
    <row r="75" spans="1:19" x14ac:dyDescent="0.25">
      <c r="A75" s="1" t="s">
        <v>624</v>
      </c>
      <c r="C75" s="29" t="s">
        <v>71</v>
      </c>
      <c r="D75" t="s">
        <v>67</v>
      </c>
      <c r="E75" t="s">
        <v>1061</v>
      </c>
      <c r="F75" t="s">
        <v>1061</v>
      </c>
      <c r="G75" s="1" t="s">
        <v>1061</v>
      </c>
      <c r="H75" s="1">
        <f>COUNTIF(C:G,Tabela1[[#This Row],[Liderado]])</f>
        <v>0</v>
      </c>
      <c r="I75" s="1" t="s">
        <v>197</v>
      </c>
      <c r="J75" s="1" t="s">
        <v>89</v>
      </c>
      <c r="K75" s="1" t="s">
        <v>9</v>
      </c>
      <c r="L75" s="2" t="s">
        <v>10</v>
      </c>
      <c r="M75" s="1" t="s">
        <v>11</v>
      </c>
      <c r="N75" s="2">
        <v>11024</v>
      </c>
      <c r="O75" s="1" t="s">
        <v>40</v>
      </c>
      <c r="P75" s="1" t="s">
        <v>175</v>
      </c>
      <c r="Q75" s="1" t="s">
        <v>629</v>
      </c>
      <c r="R75" s="1"/>
      <c r="S75" s="1" t="s">
        <v>692</v>
      </c>
    </row>
    <row r="76" spans="1:19" x14ac:dyDescent="0.25">
      <c r="A76" s="1" t="s">
        <v>627</v>
      </c>
      <c r="C76" s="29" t="s">
        <v>41</v>
      </c>
      <c r="D76" t="s">
        <v>38</v>
      </c>
      <c r="E76" t="s">
        <v>1061</v>
      </c>
      <c r="F76" t="s">
        <v>32</v>
      </c>
      <c r="G76" s="1" t="s">
        <v>54</v>
      </c>
      <c r="H76" s="1">
        <f>COUNTIF(C:G,Tabela1[[#This Row],[Liderado]])</f>
        <v>0</v>
      </c>
      <c r="I76" s="1" t="s">
        <v>198</v>
      </c>
      <c r="J76" s="1" t="s">
        <v>34</v>
      </c>
      <c r="K76" s="1" t="s">
        <v>9</v>
      </c>
      <c r="L76" s="2" t="s">
        <v>10</v>
      </c>
      <c r="M76" s="1" t="s">
        <v>11</v>
      </c>
      <c r="N76" s="2">
        <v>11024</v>
      </c>
      <c r="O76" s="1" t="s">
        <v>40</v>
      </c>
      <c r="P76" s="1" t="s">
        <v>175</v>
      </c>
      <c r="Q76" s="1" t="s">
        <v>629</v>
      </c>
      <c r="R76" s="1"/>
      <c r="S76" s="1" t="s">
        <v>692</v>
      </c>
    </row>
    <row r="77" spans="1:19" x14ac:dyDescent="0.25">
      <c r="A77" s="1" t="s">
        <v>627</v>
      </c>
      <c r="C77" s="29" t="s">
        <v>41</v>
      </c>
      <c r="D77" t="s">
        <v>38</v>
      </c>
      <c r="E77" t="s">
        <v>37</v>
      </c>
      <c r="F77" t="s">
        <v>1061</v>
      </c>
      <c r="G77" s="1" t="s">
        <v>490</v>
      </c>
      <c r="H77" s="1">
        <f>COUNTIF(C:G,Tabela1[[#This Row],[Liderado]])</f>
        <v>0</v>
      </c>
      <c r="I77" s="1" t="s">
        <v>199</v>
      </c>
      <c r="J77" s="1" t="s">
        <v>34</v>
      </c>
      <c r="K77" s="1" t="s">
        <v>9</v>
      </c>
      <c r="L77" s="2" t="s">
        <v>10</v>
      </c>
      <c r="M77" s="1" t="s">
        <v>11</v>
      </c>
      <c r="N77" s="2">
        <v>11024</v>
      </c>
      <c r="O77" s="1" t="s">
        <v>40</v>
      </c>
      <c r="P77" s="1" t="s">
        <v>175</v>
      </c>
      <c r="Q77" s="1" t="s">
        <v>629</v>
      </c>
      <c r="R77" s="1"/>
      <c r="S77" s="1" t="s">
        <v>692</v>
      </c>
    </row>
    <row r="78" spans="1:19" x14ac:dyDescent="0.25">
      <c r="A78" s="1" t="s">
        <v>627</v>
      </c>
      <c r="C78" s="29" t="s">
        <v>41</v>
      </c>
      <c r="D78" t="s">
        <v>38</v>
      </c>
      <c r="E78" t="s">
        <v>37</v>
      </c>
      <c r="F78" t="s">
        <v>1061</v>
      </c>
      <c r="G78" s="1" t="s">
        <v>259</v>
      </c>
      <c r="H78" s="1">
        <f>COUNTIF(C:G,Tabela1[[#This Row],[Liderado]])</f>
        <v>0</v>
      </c>
      <c r="I78" s="1" t="s">
        <v>200</v>
      </c>
      <c r="J78" s="1" t="s">
        <v>34</v>
      </c>
      <c r="K78" s="1" t="s">
        <v>9</v>
      </c>
      <c r="L78" s="2" t="s">
        <v>10</v>
      </c>
      <c r="M78" s="1" t="s">
        <v>11</v>
      </c>
      <c r="N78" s="2">
        <v>11024</v>
      </c>
      <c r="O78" s="1" t="s">
        <v>40</v>
      </c>
      <c r="P78" s="1" t="s">
        <v>175</v>
      </c>
      <c r="Q78" s="1" t="s">
        <v>629</v>
      </c>
      <c r="R78" s="1"/>
      <c r="S78" s="1" t="s">
        <v>692</v>
      </c>
    </row>
    <row r="79" spans="1:19" x14ac:dyDescent="0.25">
      <c r="A79" s="1" t="s">
        <v>627</v>
      </c>
      <c r="C79" s="29" t="s">
        <v>41</v>
      </c>
      <c r="D79" t="s">
        <v>38</v>
      </c>
      <c r="E79" t="s">
        <v>1061</v>
      </c>
      <c r="F79" t="s">
        <v>32</v>
      </c>
      <c r="G79" s="1" t="s">
        <v>54</v>
      </c>
      <c r="H79" s="1">
        <f>COUNTIF(C:G,Tabela1[[#This Row],[Liderado]])</f>
        <v>0</v>
      </c>
      <c r="I79" s="1" t="s">
        <v>201</v>
      </c>
      <c r="J79" s="1" t="s">
        <v>34</v>
      </c>
      <c r="K79" s="1" t="s">
        <v>9</v>
      </c>
      <c r="L79" s="2" t="s">
        <v>10</v>
      </c>
      <c r="M79" s="1" t="s">
        <v>11</v>
      </c>
      <c r="N79" s="2">
        <v>11024</v>
      </c>
      <c r="O79" s="1" t="s">
        <v>40</v>
      </c>
      <c r="P79" s="1" t="s">
        <v>175</v>
      </c>
      <c r="Q79" s="1" t="s">
        <v>629</v>
      </c>
      <c r="R79" s="1"/>
      <c r="S79" s="1" t="s">
        <v>692</v>
      </c>
    </row>
    <row r="80" spans="1:19" x14ac:dyDescent="0.25">
      <c r="A80" s="1" t="s">
        <v>624</v>
      </c>
      <c r="C80" s="29" t="s">
        <v>71</v>
      </c>
      <c r="D80" t="s">
        <v>14</v>
      </c>
      <c r="E80" t="s">
        <v>1061</v>
      </c>
      <c r="F80" t="s">
        <v>1061</v>
      </c>
      <c r="G80" s="1" t="s">
        <v>1061</v>
      </c>
      <c r="H80" s="1">
        <f>COUNTIF(C:G,Tabela1[[#This Row],[Liderado]])</f>
        <v>0</v>
      </c>
      <c r="I80" s="1" t="s">
        <v>202</v>
      </c>
      <c r="J80" s="1" t="s">
        <v>203</v>
      </c>
      <c r="K80" s="1" t="s">
        <v>9</v>
      </c>
      <c r="L80" s="2" t="s">
        <v>10</v>
      </c>
      <c r="M80" s="1" t="s">
        <v>11</v>
      </c>
      <c r="N80" s="2">
        <v>11024</v>
      </c>
      <c r="O80" s="1" t="s">
        <v>40</v>
      </c>
      <c r="P80" s="1" t="s">
        <v>175</v>
      </c>
      <c r="Q80" s="1" t="s">
        <v>629</v>
      </c>
      <c r="R80" s="1"/>
      <c r="S80" s="1" t="s">
        <v>692</v>
      </c>
    </row>
    <row r="81" spans="1:19" x14ac:dyDescent="0.25">
      <c r="A81" s="1" t="s">
        <v>627</v>
      </c>
      <c r="C81" s="29" t="s">
        <v>41</v>
      </c>
      <c r="D81" t="s">
        <v>38</v>
      </c>
      <c r="E81" t="s">
        <v>1061</v>
      </c>
      <c r="F81" t="s">
        <v>32</v>
      </c>
      <c r="G81" s="1" t="s">
        <v>54</v>
      </c>
      <c r="H81" s="1">
        <f>COUNTIF(C:G,Tabela1[[#This Row],[Liderado]])</f>
        <v>0</v>
      </c>
      <c r="I81" s="1" t="s">
        <v>204</v>
      </c>
      <c r="J81" s="1" t="s">
        <v>34</v>
      </c>
      <c r="K81" s="1" t="s">
        <v>9</v>
      </c>
      <c r="L81" s="2" t="s">
        <v>10</v>
      </c>
      <c r="M81" s="1" t="s">
        <v>11</v>
      </c>
      <c r="N81" s="2">
        <v>11024</v>
      </c>
      <c r="O81" s="1" t="s">
        <v>40</v>
      </c>
      <c r="P81" s="1" t="s">
        <v>175</v>
      </c>
      <c r="Q81" s="1" t="s">
        <v>629</v>
      </c>
      <c r="R81" s="1"/>
      <c r="S81" s="1" t="s">
        <v>692</v>
      </c>
    </row>
    <row r="82" spans="1:19" x14ac:dyDescent="0.25">
      <c r="A82" s="1" t="s">
        <v>627</v>
      </c>
      <c r="C82" s="29" t="s">
        <v>71</v>
      </c>
      <c r="D82" t="s">
        <v>27</v>
      </c>
      <c r="E82" t="s">
        <v>1061</v>
      </c>
      <c r="F82" t="s">
        <v>50</v>
      </c>
      <c r="G82" s="1" t="s">
        <v>1061</v>
      </c>
      <c r="H82" s="1">
        <f>COUNTIF(C:G,Tabela1[[#This Row],[Liderado]])</f>
        <v>0</v>
      </c>
      <c r="I82" s="1" t="s">
        <v>205</v>
      </c>
      <c r="J82" s="1" t="s">
        <v>104</v>
      </c>
      <c r="K82" s="1" t="s">
        <v>9</v>
      </c>
      <c r="L82" s="2" t="s">
        <v>10</v>
      </c>
      <c r="M82" s="1" t="s">
        <v>11</v>
      </c>
      <c r="N82" s="2">
        <v>11024</v>
      </c>
      <c r="O82" s="1" t="s">
        <v>40</v>
      </c>
      <c r="P82" s="1" t="s">
        <v>175</v>
      </c>
      <c r="Q82" s="1" t="s">
        <v>629</v>
      </c>
      <c r="R82" s="1"/>
      <c r="S82" s="1" t="s">
        <v>692</v>
      </c>
    </row>
    <row r="83" spans="1:19" x14ac:dyDescent="0.25">
      <c r="A83" s="1" t="s">
        <v>624</v>
      </c>
      <c r="C83" s="29" t="s">
        <v>71</v>
      </c>
      <c r="D83" t="s">
        <v>141</v>
      </c>
      <c r="E83" t="s">
        <v>1061</v>
      </c>
      <c r="F83" t="s">
        <v>1061</v>
      </c>
      <c r="G83" s="1" t="s">
        <v>1061</v>
      </c>
      <c r="H83" s="1">
        <f>COUNTIF(C:G,Tabela1[[#This Row],[Liderado]])</f>
        <v>4</v>
      </c>
      <c r="I83" s="1" t="s">
        <v>20</v>
      </c>
      <c r="J83" s="1" t="s">
        <v>206</v>
      </c>
      <c r="K83" s="1" t="s">
        <v>9</v>
      </c>
      <c r="L83" s="2" t="s">
        <v>10</v>
      </c>
      <c r="M83" s="1" t="s">
        <v>11</v>
      </c>
      <c r="N83" s="2">
        <v>11024</v>
      </c>
      <c r="O83" s="1" t="s">
        <v>40</v>
      </c>
      <c r="P83" s="1" t="s">
        <v>175</v>
      </c>
      <c r="Q83" s="1" t="s">
        <v>629</v>
      </c>
      <c r="R83" s="1"/>
      <c r="S83" s="1" t="s">
        <v>692</v>
      </c>
    </row>
    <row r="84" spans="1:19" x14ac:dyDescent="0.25">
      <c r="A84" s="1" t="s">
        <v>627</v>
      </c>
      <c r="C84" s="29" t="s">
        <v>41</v>
      </c>
      <c r="D84" t="s">
        <v>38</v>
      </c>
      <c r="E84" t="s">
        <v>37</v>
      </c>
      <c r="F84" t="s">
        <v>1061</v>
      </c>
      <c r="G84" s="1" t="s">
        <v>1061</v>
      </c>
      <c r="H84" s="1">
        <f>COUNTIF(C:G,Tabela1[[#This Row],[Liderado]])</f>
        <v>3</v>
      </c>
      <c r="I84" s="1" t="s">
        <v>207</v>
      </c>
      <c r="J84" s="1" t="s">
        <v>43</v>
      </c>
      <c r="K84" s="1" t="s">
        <v>9</v>
      </c>
      <c r="L84" s="2" t="s">
        <v>10</v>
      </c>
      <c r="M84" s="1" t="s">
        <v>11</v>
      </c>
      <c r="N84" s="2">
        <v>11024</v>
      </c>
      <c r="O84" s="1" t="s">
        <v>40</v>
      </c>
      <c r="P84" s="1" t="s">
        <v>175</v>
      </c>
      <c r="Q84" s="1" t="s">
        <v>629</v>
      </c>
      <c r="R84" s="1"/>
      <c r="S84" s="1" t="s">
        <v>692</v>
      </c>
    </row>
    <row r="85" spans="1:19" x14ac:dyDescent="0.25">
      <c r="A85" s="1" t="s">
        <v>627</v>
      </c>
      <c r="C85" s="29" t="s">
        <v>41</v>
      </c>
      <c r="D85" t="s">
        <v>38</v>
      </c>
      <c r="E85" t="s">
        <v>37</v>
      </c>
      <c r="F85" t="s">
        <v>1061</v>
      </c>
      <c r="G85" s="1" t="s">
        <v>490</v>
      </c>
      <c r="H85" s="1">
        <f>COUNTIF(C:G,Tabela1[[#This Row],[Liderado]])</f>
        <v>0</v>
      </c>
      <c r="I85" s="1" t="s">
        <v>209</v>
      </c>
      <c r="J85" s="1" t="s">
        <v>34</v>
      </c>
      <c r="K85" s="1" t="s">
        <v>9</v>
      </c>
      <c r="L85" s="2" t="s">
        <v>10</v>
      </c>
      <c r="M85" s="1" t="s">
        <v>11</v>
      </c>
      <c r="N85" s="2">
        <v>11024</v>
      </c>
      <c r="O85" s="1" t="s">
        <v>40</v>
      </c>
      <c r="P85" s="1" t="s">
        <v>175</v>
      </c>
      <c r="Q85" s="1" t="s">
        <v>629</v>
      </c>
      <c r="R85" s="1"/>
      <c r="S85" s="1" t="s">
        <v>692</v>
      </c>
    </row>
    <row r="86" spans="1:19" x14ac:dyDescent="0.25">
      <c r="A86" s="1" t="s">
        <v>627</v>
      </c>
      <c r="C86" s="29" t="s">
        <v>41</v>
      </c>
      <c r="D86" t="s">
        <v>38</v>
      </c>
      <c r="E86" t="s">
        <v>37</v>
      </c>
      <c r="F86" t="s">
        <v>207</v>
      </c>
      <c r="G86" s="1" t="s">
        <v>1061</v>
      </c>
      <c r="H86" s="1">
        <f>COUNTIF(C:G,Tabela1[[#This Row],[Liderado]])</f>
        <v>0</v>
      </c>
      <c r="I86" s="1" t="s">
        <v>210</v>
      </c>
      <c r="J86" s="1" t="s">
        <v>211</v>
      </c>
      <c r="K86" s="1" t="s">
        <v>9</v>
      </c>
      <c r="L86" s="2" t="s">
        <v>10</v>
      </c>
      <c r="M86" s="1" t="s">
        <v>11</v>
      </c>
      <c r="N86" s="2">
        <v>11024</v>
      </c>
      <c r="O86" s="1" t="s">
        <v>40</v>
      </c>
      <c r="P86" s="1" t="s">
        <v>175</v>
      </c>
      <c r="Q86" s="1" t="s">
        <v>629</v>
      </c>
      <c r="R86" s="1"/>
      <c r="S86" s="1" t="s">
        <v>692</v>
      </c>
    </row>
    <row r="87" spans="1:19" x14ac:dyDescent="0.25">
      <c r="A87" s="1" t="s">
        <v>627</v>
      </c>
      <c r="C87" s="29" t="s">
        <v>41</v>
      </c>
      <c r="D87" t="s">
        <v>38</v>
      </c>
      <c r="E87" t="s">
        <v>1061</v>
      </c>
      <c r="F87" t="s">
        <v>32</v>
      </c>
      <c r="G87" s="1" t="s">
        <v>54</v>
      </c>
      <c r="H87" s="1">
        <f>COUNTIF(C:G,Tabela1[[#This Row],[Liderado]])</f>
        <v>0</v>
      </c>
      <c r="I87" s="1" t="s">
        <v>213</v>
      </c>
      <c r="J87" s="1" t="s">
        <v>34</v>
      </c>
      <c r="K87" s="1" t="s">
        <v>9</v>
      </c>
      <c r="L87" s="2" t="s">
        <v>10</v>
      </c>
      <c r="M87" s="1" t="s">
        <v>11</v>
      </c>
      <c r="N87" s="2">
        <v>11024</v>
      </c>
      <c r="O87" s="1" t="s">
        <v>40</v>
      </c>
      <c r="P87" s="1" t="s">
        <v>175</v>
      </c>
      <c r="Q87" s="1" t="s">
        <v>629</v>
      </c>
      <c r="R87" s="1"/>
      <c r="S87" s="1" t="s">
        <v>692</v>
      </c>
    </row>
    <row r="88" spans="1:19" x14ac:dyDescent="0.25">
      <c r="A88" s="1" t="s">
        <v>627</v>
      </c>
      <c r="C88" s="29" t="s">
        <v>41</v>
      </c>
      <c r="D88" t="s">
        <v>38</v>
      </c>
      <c r="E88" t="s">
        <v>1061</v>
      </c>
      <c r="F88" t="s">
        <v>32</v>
      </c>
      <c r="G88" s="1" t="s">
        <v>28</v>
      </c>
      <c r="H88" s="1">
        <f>COUNTIF(C:G,Tabela1[[#This Row],[Liderado]])</f>
        <v>0</v>
      </c>
      <c r="I88" s="1" t="s">
        <v>214</v>
      </c>
      <c r="J88" s="1" t="s">
        <v>34</v>
      </c>
      <c r="K88" s="1" t="s">
        <v>9</v>
      </c>
      <c r="L88" s="2" t="s">
        <v>10</v>
      </c>
      <c r="M88" s="1" t="s">
        <v>11</v>
      </c>
      <c r="N88" s="2">
        <v>11024</v>
      </c>
      <c r="O88" s="1" t="s">
        <v>40</v>
      </c>
      <c r="P88" s="1" t="s">
        <v>175</v>
      </c>
      <c r="Q88" s="1" t="s">
        <v>629</v>
      </c>
      <c r="R88" s="1"/>
      <c r="S88" s="1" t="s">
        <v>692</v>
      </c>
    </row>
    <row r="89" spans="1:19" x14ac:dyDescent="0.25">
      <c r="A89" s="1" t="s">
        <v>638</v>
      </c>
      <c r="C89" s="29" t="s">
        <v>71</v>
      </c>
      <c r="D89" t="s">
        <v>236</v>
      </c>
      <c r="E89" t="s">
        <v>1061</v>
      </c>
      <c r="F89" t="s">
        <v>1061</v>
      </c>
      <c r="G89" s="1" t="s">
        <v>1061</v>
      </c>
      <c r="H89" s="1">
        <f>COUNTIF(C:G,Tabela1[[#This Row],[Liderado]])</f>
        <v>0</v>
      </c>
      <c r="I89" s="1" t="s">
        <v>1203</v>
      </c>
      <c r="J89" s="1" t="s">
        <v>132</v>
      </c>
      <c r="K89" s="1" t="s">
        <v>9</v>
      </c>
      <c r="L89" s="2" t="s">
        <v>10</v>
      </c>
      <c r="M89" s="1" t="s">
        <v>11</v>
      </c>
      <c r="N89" s="2">
        <v>11024</v>
      </c>
      <c r="O89" s="1" t="s">
        <v>40</v>
      </c>
      <c r="P89" s="1" t="s">
        <v>175</v>
      </c>
      <c r="Q89" s="1" t="s">
        <v>629</v>
      </c>
      <c r="R89" s="1"/>
      <c r="S89" s="1" t="s">
        <v>692</v>
      </c>
    </row>
    <row r="90" spans="1:19" x14ac:dyDescent="0.25">
      <c r="A90" s="1" t="s">
        <v>624</v>
      </c>
      <c r="C90" s="29" t="s">
        <v>71</v>
      </c>
      <c r="D90" t="s">
        <v>14</v>
      </c>
      <c r="E90" t="s">
        <v>1061</v>
      </c>
      <c r="F90" t="s">
        <v>1061</v>
      </c>
      <c r="G90" s="1" t="s">
        <v>1061</v>
      </c>
      <c r="H90" s="1">
        <f>COUNTIF(C:G,Tabela1[[#This Row],[Liderado]])</f>
        <v>0</v>
      </c>
      <c r="I90" s="1" t="s">
        <v>215</v>
      </c>
      <c r="J90" s="1" t="s">
        <v>104</v>
      </c>
      <c r="K90" s="1" t="s">
        <v>9</v>
      </c>
      <c r="L90" s="2" t="s">
        <v>10</v>
      </c>
      <c r="M90" s="1" t="s">
        <v>11</v>
      </c>
      <c r="N90" s="2">
        <v>11024</v>
      </c>
      <c r="O90" s="1" t="s">
        <v>40</v>
      </c>
      <c r="P90" s="1" t="s">
        <v>175</v>
      </c>
      <c r="Q90" s="1" t="s">
        <v>629</v>
      </c>
      <c r="R90" s="1"/>
      <c r="S90" s="1" t="s">
        <v>692</v>
      </c>
    </row>
    <row r="91" spans="1:19" x14ac:dyDescent="0.25">
      <c r="A91" s="1" t="s">
        <v>624</v>
      </c>
      <c r="C91" s="29" t="s">
        <v>71</v>
      </c>
      <c r="D91" t="s">
        <v>141</v>
      </c>
      <c r="E91" t="s">
        <v>1061</v>
      </c>
      <c r="F91" t="s">
        <v>109</v>
      </c>
      <c r="G91" s="1" t="s">
        <v>1061</v>
      </c>
      <c r="H91" s="1">
        <f>COUNTIF(C:G,Tabela1[[#This Row],[Liderado]])</f>
        <v>0</v>
      </c>
      <c r="I91" s="1" t="s">
        <v>216</v>
      </c>
      <c r="J91" s="1" t="s">
        <v>217</v>
      </c>
      <c r="K91" s="1" t="s">
        <v>9</v>
      </c>
      <c r="L91" s="2" t="s">
        <v>10</v>
      </c>
      <c r="M91" s="1" t="s">
        <v>11</v>
      </c>
      <c r="N91" s="2">
        <v>11024</v>
      </c>
      <c r="O91" s="1" t="s">
        <v>40</v>
      </c>
      <c r="P91" s="1" t="s">
        <v>175</v>
      </c>
      <c r="Q91" s="1" t="s">
        <v>629</v>
      </c>
      <c r="R91" s="1"/>
      <c r="S91" s="1" t="s">
        <v>692</v>
      </c>
    </row>
    <row r="92" spans="1:19" x14ac:dyDescent="0.25">
      <c r="A92" s="1" t="s">
        <v>624</v>
      </c>
      <c r="C92" s="29" t="s">
        <v>71</v>
      </c>
      <c r="D92" t="s">
        <v>1061</v>
      </c>
      <c r="E92" t="s">
        <v>1061</v>
      </c>
      <c r="F92" t="s">
        <v>1061</v>
      </c>
      <c r="G92" s="1" t="s">
        <v>1061</v>
      </c>
      <c r="H92" s="1">
        <f>COUNTIF(C:G,Tabela1[[#This Row],[Liderado]])</f>
        <v>9</v>
      </c>
      <c r="I92" s="1" t="s">
        <v>14</v>
      </c>
      <c r="J92" s="1" t="s">
        <v>218</v>
      </c>
      <c r="K92" s="1" t="s">
        <v>9</v>
      </c>
      <c r="L92" s="2" t="s">
        <v>10</v>
      </c>
      <c r="M92" s="1" t="s">
        <v>11</v>
      </c>
      <c r="N92" s="2">
        <v>11024</v>
      </c>
      <c r="O92" s="1" t="s">
        <v>40</v>
      </c>
      <c r="P92" s="1" t="s">
        <v>175</v>
      </c>
      <c r="Q92" s="1" t="s">
        <v>629</v>
      </c>
      <c r="R92" s="1"/>
      <c r="S92" s="1" t="s">
        <v>692</v>
      </c>
    </row>
    <row r="93" spans="1:19" x14ac:dyDescent="0.25">
      <c r="A93" s="1" t="s">
        <v>627</v>
      </c>
      <c r="C93" s="29" t="s">
        <v>41</v>
      </c>
      <c r="D93" t="s">
        <v>38</v>
      </c>
      <c r="E93" t="s">
        <v>37</v>
      </c>
      <c r="F93" t="s">
        <v>1061</v>
      </c>
      <c r="G93" s="1" t="s">
        <v>490</v>
      </c>
      <c r="H93" s="1">
        <f>COUNTIF(C:G,Tabela1[[#This Row],[Liderado]])</f>
        <v>0</v>
      </c>
      <c r="I93" s="1" t="s">
        <v>219</v>
      </c>
      <c r="J93" s="1" t="s">
        <v>34</v>
      </c>
      <c r="K93" s="1" t="s">
        <v>9</v>
      </c>
      <c r="L93" s="2" t="s">
        <v>10</v>
      </c>
      <c r="M93" s="1" t="s">
        <v>11</v>
      </c>
      <c r="N93" s="2">
        <v>11024</v>
      </c>
      <c r="O93" s="1" t="s">
        <v>40</v>
      </c>
      <c r="P93" s="1" t="s">
        <v>175</v>
      </c>
      <c r="Q93" s="1" t="s">
        <v>629</v>
      </c>
      <c r="R93" s="1"/>
      <c r="S93" s="1" t="s">
        <v>692</v>
      </c>
    </row>
    <row r="94" spans="1:19" x14ac:dyDescent="0.25">
      <c r="A94" s="1" t="s">
        <v>638</v>
      </c>
      <c r="C94" s="29" t="s">
        <v>71</v>
      </c>
      <c r="D94" t="s">
        <v>236</v>
      </c>
      <c r="E94" t="s">
        <v>1061</v>
      </c>
      <c r="F94" t="s">
        <v>1061</v>
      </c>
      <c r="G94" s="1" t="s">
        <v>1061</v>
      </c>
      <c r="H94" s="1">
        <f>COUNTIF(C:G,Tabela1[[#This Row],[Liderado]])</f>
        <v>0</v>
      </c>
      <c r="I94" s="1" t="s">
        <v>1219</v>
      </c>
      <c r="J94" s="1" t="s">
        <v>220</v>
      </c>
      <c r="K94" s="1" t="s">
        <v>9</v>
      </c>
      <c r="L94" s="2" t="s">
        <v>10</v>
      </c>
      <c r="M94" s="1" t="s">
        <v>11</v>
      </c>
      <c r="N94" s="2">
        <v>11024</v>
      </c>
      <c r="O94" s="1" t="s">
        <v>40</v>
      </c>
      <c r="P94" s="1" t="s">
        <v>175</v>
      </c>
      <c r="Q94" s="1" t="s">
        <v>629</v>
      </c>
      <c r="R94" s="1"/>
      <c r="S94" s="1" t="s">
        <v>692</v>
      </c>
    </row>
    <row r="95" spans="1:19" x14ac:dyDescent="0.25">
      <c r="A95" s="1" t="s">
        <v>624</v>
      </c>
      <c r="C95" s="29" t="s">
        <v>71</v>
      </c>
      <c r="D95" t="s">
        <v>141</v>
      </c>
      <c r="E95" t="s">
        <v>1061</v>
      </c>
      <c r="F95" t="s">
        <v>49</v>
      </c>
      <c r="G95" s="1" t="s">
        <v>1061</v>
      </c>
      <c r="H95" s="1">
        <f>COUNTIF(C:G,Tabela1[[#This Row],[Liderado]])</f>
        <v>0</v>
      </c>
      <c r="I95" s="1" t="s">
        <v>221</v>
      </c>
      <c r="J95" s="1" t="s">
        <v>222</v>
      </c>
      <c r="K95" s="1" t="s">
        <v>9</v>
      </c>
      <c r="L95" s="2" t="s">
        <v>10</v>
      </c>
      <c r="M95" s="1" t="s">
        <v>11</v>
      </c>
      <c r="N95" s="2">
        <v>11024</v>
      </c>
      <c r="O95" s="1" t="s">
        <v>40</v>
      </c>
      <c r="P95" s="1" t="s">
        <v>175</v>
      </c>
      <c r="Q95" s="1" t="s">
        <v>629</v>
      </c>
      <c r="R95" s="1"/>
      <c r="S95" s="1" t="s">
        <v>692</v>
      </c>
    </row>
    <row r="96" spans="1:19" x14ac:dyDescent="0.25">
      <c r="A96" s="1" t="s">
        <v>627</v>
      </c>
      <c r="C96" s="29" t="s">
        <v>71</v>
      </c>
      <c r="D96" t="s">
        <v>27</v>
      </c>
      <c r="E96" t="s">
        <v>1061</v>
      </c>
      <c r="F96" t="s">
        <v>50</v>
      </c>
      <c r="G96" s="1" t="s">
        <v>1061</v>
      </c>
      <c r="H96" s="1">
        <f>COUNTIF(C:G,Tabela1[[#This Row],[Liderado]])</f>
        <v>0</v>
      </c>
      <c r="I96" s="1" t="s">
        <v>223</v>
      </c>
      <c r="J96" s="1" t="s">
        <v>224</v>
      </c>
      <c r="K96" s="1" t="s">
        <v>9</v>
      </c>
      <c r="L96" s="2" t="s">
        <v>10</v>
      </c>
      <c r="M96" s="1" t="s">
        <v>11</v>
      </c>
      <c r="N96" s="2">
        <v>11024</v>
      </c>
      <c r="O96" s="1" t="s">
        <v>40</v>
      </c>
      <c r="P96" s="1" t="s">
        <v>175</v>
      </c>
      <c r="Q96" s="1" t="s">
        <v>629</v>
      </c>
      <c r="R96" s="1"/>
      <c r="S96" s="1" t="s">
        <v>692</v>
      </c>
    </row>
    <row r="97" spans="1:19" x14ac:dyDescent="0.25">
      <c r="A97" s="1" t="s">
        <v>624</v>
      </c>
      <c r="C97" s="29" t="s">
        <v>71</v>
      </c>
      <c r="D97" t="s">
        <v>1061</v>
      </c>
      <c r="E97" t="s">
        <v>1061</v>
      </c>
      <c r="F97" t="s">
        <v>1061</v>
      </c>
      <c r="G97" s="1" t="s">
        <v>1061</v>
      </c>
      <c r="H97" s="1">
        <f>COUNTIF(C:G,Tabela1[[#This Row],[Liderado]])</f>
        <v>0</v>
      </c>
      <c r="I97" s="1" t="s">
        <v>225</v>
      </c>
      <c r="J97" s="1" t="s">
        <v>203</v>
      </c>
      <c r="K97" s="1" t="s">
        <v>9</v>
      </c>
      <c r="L97" s="2" t="s">
        <v>10</v>
      </c>
      <c r="M97" s="1" t="s">
        <v>11</v>
      </c>
      <c r="N97" s="2">
        <v>11024</v>
      </c>
      <c r="O97" s="1" t="s">
        <v>40</v>
      </c>
      <c r="P97" s="1" t="s">
        <v>175</v>
      </c>
      <c r="Q97" s="1" t="s">
        <v>629</v>
      </c>
      <c r="R97" s="1"/>
      <c r="S97" s="1" t="s">
        <v>692</v>
      </c>
    </row>
    <row r="98" spans="1:19" x14ac:dyDescent="0.25">
      <c r="A98" s="1" t="s">
        <v>627</v>
      </c>
      <c r="C98" s="29" t="s">
        <v>41</v>
      </c>
      <c r="D98" t="s">
        <v>38</v>
      </c>
      <c r="E98" t="s">
        <v>1061</v>
      </c>
      <c r="F98" t="s">
        <v>1061</v>
      </c>
      <c r="G98" s="1" t="s">
        <v>38</v>
      </c>
      <c r="H98" s="1">
        <f>COUNTIF(C:G,Tabela1[[#This Row],[Liderado]])</f>
        <v>0</v>
      </c>
      <c r="I98" s="1" t="s">
        <v>227</v>
      </c>
      <c r="J98" s="1" t="s">
        <v>168</v>
      </c>
      <c r="K98" s="1" t="s">
        <v>9</v>
      </c>
      <c r="L98" s="2" t="s">
        <v>10</v>
      </c>
      <c r="M98" s="1" t="s">
        <v>11</v>
      </c>
      <c r="N98" s="2">
        <v>11024</v>
      </c>
      <c r="O98" s="1" t="s">
        <v>40</v>
      </c>
      <c r="P98" s="1" t="s">
        <v>175</v>
      </c>
      <c r="Q98" s="1" t="s">
        <v>629</v>
      </c>
      <c r="R98" s="1"/>
      <c r="S98" s="1" t="s">
        <v>692</v>
      </c>
    </row>
    <row r="99" spans="1:19" x14ac:dyDescent="0.25">
      <c r="A99" s="1" t="s">
        <v>627</v>
      </c>
      <c r="C99" s="29" t="s">
        <v>41</v>
      </c>
      <c r="D99" t="s">
        <v>38</v>
      </c>
      <c r="E99" t="s">
        <v>1061</v>
      </c>
      <c r="F99" t="s">
        <v>1061</v>
      </c>
      <c r="G99" s="1" t="s">
        <v>38</v>
      </c>
      <c r="H99" s="1">
        <f>COUNTIF(C:G,Tabela1[[#This Row],[Liderado]])</f>
        <v>0</v>
      </c>
      <c r="I99" s="1" t="s">
        <v>228</v>
      </c>
      <c r="J99" s="1" t="s">
        <v>168</v>
      </c>
      <c r="K99" s="1" t="s">
        <v>9</v>
      </c>
      <c r="L99" s="2" t="s">
        <v>10</v>
      </c>
      <c r="M99" s="1" t="s">
        <v>11</v>
      </c>
      <c r="N99" s="2">
        <v>11024</v>
      </c>
      <c r="O99" s="1" t="s">
        <v>40</v>
      </c>
      <c r="P99" s="1" t="s">
        <v>175</v>
      </c>
      <c r="Q99" s="1" t="s">
        <v>629</v>
      </c>
      <c r="R99" s="1"/>
      <c r="S99" s="1" t="s">
        <v>692</v>
      </c>
    </row>
    <row r="100" spans="1:19" x14ac:dyDescent="0.25">
      <c r="A100" s="1" t="s">
        <v>627</v>
      </c>
      <c r="C100" s="29" t="s">
        <v>41</v>
      </c>
      <c r="D100" t="s">
        <v>38</v>
      </c>
      <c r="E100" t="s">
        <v>1061</v>
      </c>
      <c r="F100" t="s">
        <v>32</v>
      </c>
      <c r="G100" s="1" t="s">
        <v>1061</v>
      </c>
      <c r="H100" s="1">
        <f>COUNTIF(C:G,Tabela1[[#This Row],[Liderado]])</f>
        <v>0</v>
      </c>
      <c r="I100" s="1" t="s">
        <v>229</v>
      </c>
      <c r="J100" s="1" t="s">
        <v>230</v>
      </c>
      <c r="K100" s="1" t="s">
        <v>9</v>
      </c>
      <c r="L100" s="2" t="s">
        <v>10</v>
      </c>
      <c r="M100" s="1" t="s">
        <v>11</v>
      </c>
      <c r="N100" s="2">
        <v>11024</v>
      </c>
      <c r="O100" s="1" t="s">
        <v>40</v>
      </c>
      <c r="P100" s="1" t="s">
        <v>175</v>
      </c>
      <c r="Q100" s="1" t="s">
        <v>629</v>
      </c>
      <c r="R100" s="1"/>
      <c r="S100" s="1" t="s">
        <v>692</v>
      </c>
    </row>
    <row r="101" spans="1:19" x14ac:dyDescent="0.25">
      <c r="A101" s="1" t="s">
        <v>624</v>
      </c>
      <c r="C101" s="29" t="s">
        <v>71</v>
      </c>
      <c r="D101" t="s">
        <v>14</v>
      </c>
      <c r="E101" t="s">
        <v>1061</v>
      </c>
      <c r="F101" t="s">
        <v>1061</v>
      </c>
      <c r="G101" s="1" t="s">
        <v>1061</v>
      </c>
      <c r="H101" s="1">
        <f>COUNTIF(C:G,Tabela1[[#This Row],[Liderado]])</f>
        <v>0</v>
      </c>
      <c r="I101" s="1" t="s">
        <v>231</v>
      </c>
      <c r="J101" s="1" t="s">
        <v>203</v>
      </c>
      <c r="K101" s="1" t="s">
        <v>9</v>
      </c>
      <c r="L101" s="2" t="s">
        <v>10</v>
      </c>
      <c r="M101" s="1" t="s">
        <v>11</v>
      </c>
      <c r="N101" s="2">
        <v>11024</v>
      </c>
      <c r="O101" s="1" t="s">
        <v>40</v>
      </c>
      <c r="P101" s="1" t="s">
        <v>175</v>
      </c>
      <c r="Q101" s="1" t="s">
        <v>629</v>
      </c>
      <c r="R101" s="1"/>
      <c r="S101" s="1" t="s">
        <v>692</v>
      </c>
    </row>
    <row r="102" spans="1:19" x14ac:dyDescent="0.25">
      <c r="A102" s="1" t="s">
        <v>627</v>
      </c>
      <c r="C102" s="29" t="s">
        <v>41</v>
      </c>
      <c r="D102" t="s">
        <v>38</v>
      </c>
      <c r="E102" t="s">
        <v>1061</v>
      </c>
      <c r="F102" t="s">
        <v>1061</v>
      </c>
      <c r="G102" s="1" t="s">
        <v>38</v>
      </c>
      <c r="H102" s="1">
        <f>COUNTIF(C:G,Tabela1[[#This Row],[Liderado]])</f>
        <v>0</v>
      </c>
      <c r="I102" s="1" t="s">
        <v>232</v>
      </c>
      <c r="J102" s="1" t="s">
        <v>153</v>
      </c>
      <c r="K102" s="1" t="s">
        <v>9</v>
      </c>
      <c r="L102" s="2" t="s">
        <v>10</v>
      </c>
      <c r="M102" s="1" t="s">
        <v>11</v>
      </c>
      <c r="N102" s="2">
        <v>11024</v>
      </c>
      <c r="O102" s="1" t="s">
        <v>40</v>
      </c>
      <c r="P102" s="1" t="s">
        <v>175</v>
      </c>
      <c r="Q102" s="1" t="s">
        <v>629</v>
      </c>
      <c r="R102" s="1"/>
      <c r="S102" s="1" t="s">
        <v>692</v>
      </c>
    </row>
    <row r="103" spans="1:19" x14ac:dyDescent="0.25">
      <c r="A103" s="1" t="s">
        <v>624</v>
      </c>
      <c r="C103" s="29" t="s">
        <v>71</v>
      </c>
      <c r="D103" t="s">
        <v>236</v>
      </c>
      <c r="E103" t="s">
        <v>1061</v>
      </c>
      <c r="F103" t="s">
        <v>1061</v>
      </c>
      <c r="G103" s="1" t="s">
        <v>1061</v>
      </c>
      <c r="H103" s="1">
        <f>COUNTIF(C:G,Tabela1[[#This Row],[Liderado]])</f>
        <v>0</v>
      </c>
      <c r="I103" s="1" t="s">
        <v>233</v>
      </c>
      <c r="J103" s="1" t="s">
        <v>234</v>
      </c>
      <c r="K103" s="1" t="s">
        <v>9</v>
      </c>
      <c r="L103" s="2" t="s">
        <v>10</v>
      </c>
      <c r="M103" s="1" t="s">
        <v>11</v>
      </c>
      <c r="N103" s="2">
        <v>11024</v>
      </c>
      <c r="O103" s="1" t="s">
        <v>40</v>
      </c>
      <c r="P103" s="1" t="s">
        <v>175</v>
      </c>
      <c r="Q103" s="1" t="s">
        <v>629</v>
      </c>
      <c r="R103" s="1"/>
      <c r="S103" s="1" t="s">
        <v>692</v>
      </c>
    </row>
    <row r="104" spans="1:19" x14ac:dyDescent="0.25">
      <c r="A104" s="1" t="s">
        <v>624</v>
      </c>
      <c r="C104" s="29" t="s">
        <v>71</v>
      </c>
      <c r="D104" t="s">
        <v>236</v>
      </c>
      <c r="E104" t="s">
        <v>1061</v>
      </c>
      <c r="F104" t="s">
        <v>1061</v>
      </c>
      <c r="G104" s="1" t="s">
        <v>1061</v>
      </c>
      <c r="H104" s="1">
        <f>COUNTIF(C:G,Tabela1[[#This Row],[Liderado]])</f>
        <v>3</v>
      </c>
      <c r="I104" s="1" t="s">
        <v>151</v>
      </c>
      <c r="J104" s="1" t="s">
        <v>237</v>
      </c>
      <c r="K104" s="1" t="s">
        <v>9</v>
      </c>
      <c r="L104" s="2" t="s">
        <v>10</v>
      </c>
      <c r="M104" s="1" t="s">
        <v>11</v>
      </c>
      <c r="N104" s="2">
        <v>11024</v>
      </c>
      <c r="O104" s="1" t="s">
        <v>40</v>
      </c>
      <c r="P104" s="1" t="s">
        <v>175</v>
      </c>
      <c r="Q104" s="1" t="s">
        <v>629</v>
      </c>
      <c r="R104" s="1"/>
      <c r="S104" s="1" t="s">
        <v>692</v>
      </c>
    </row>
    <row r="105" spans="1:19" x14ac:dyDescent="0.25">
      <c r="A105" s="1" t="s">
        <v>624</v>
      </c>
      <c r="C105" s="29" t="s">
        <v>71</v>
      </c>
      <c r="D105" t="s">
        <v>141</v>
      </c>
      <c r="E105" t="s">
        <v>1061</v>
      </c>
      <c r="F105" t="s">
        <v>109</v>
      </c>
      <c r="G105" s="1" t="s">
        <v>1061</v>
      </c>
      <c r="H105" s="1">
        <f>COUNTIF(C:G,Tabela1[[#This Row],[Liderado]])</f>
        <v>0</v>
      </c>
      <c r="I105" s="1" t="s">
        <v>238</v>
      </c>
      <c r="J105" s="1" t="s">
        <v>239</v>
      </c>
      <c r="K105" s="1" t="s">
        <v>9</v>
      </c>
      <c r="L105" s="2" t="s">
        <v>10</v>
      </c>
      <c r="M105" s="1" t="s">
        <v>11</v>
      </c>
      <c r="N105" s="2">
        <v>11024</v>
      </c>
      <c r="O105" s="1" t="s">
        <v>40</v>
      </c>
      <c r="P105" s="1" t="s">
        <v>175</v>
      </c>
      <c r="Q105" s="1" t="s">
        <v>629</v>
      </c>
      <c r="R105" s="1"/>
      <c r="S105" s="1" t="s">
        <v>692</v>
      </c>
    </row>
    <row r="106" spans="1:19" x14ac:dyDescent="0.25">
      <c r="A106" s="1" t="s">
        <v>624</v>
      </c>
      <c r="C106" s="29" t="s">
        <v>71</v>
      </c>
      <c r="D106" t="s">
        <v>141</v>
      </c>
      <c r="E106" t="s">
        <v>1061</v>
      </c>
      <c r="F106" t="s">
        <v>109</v>
      </c>
      <c r="G106" s="1" t="s">
        <v>1061</v>
      </c>
      <c r="H106" s="1">
        <f>COUNTIF(C:G,Tabela1[[#This Row],[Liderado]])</f>
        <v>0</v>
      </c>
      <c r="I106" s="1" t="s">
        <v>242</v>
      </c>
      <c r="J106" s="1" t="s">
        <v>243</v>
      </c>
      <c r="K106" s="1" t="s">
        <v>9</v>
      </c>
      <c r="L106" s="2" t="s">
        <v>10</v>
      </c>
      <c r="M106" s="1" t="s">
        <v>11</v>
      </c>
      <c r="N106" s="2">
        <v>11024</v>
      </c>
      <c r="O106" s="1" t="s">
        <v>40</v>
      </c>
      <c r="P106" s="1" t="s">
        <v>175</v>
      </c>
      <c r="Q106" s="1" t="s">
        <v>629</v>
      </c>
      <c r="R106" s="1"/>
      <c r="S106" s="1" t="s">
        <v>692</v>
      </c>
    </row>
    <row r="107" spans="1:19" x14ac:dyDescent="0.25">
      <c r="A107" s="1" t="s">
        <v>624</v>
      </c>
      <c r="C107" s="29" t="s">
        <v>71</v>
      </c>
      <c r="D107" t="s">
        <v>141</v>
      </c>
      <c r="E107" t="s">
        <v>1061</v>
      </c>
      <c r="F107" t="s">
        <v>109</v>
      </c>
      <c r="G107" s="1" t="s">
        <v>1061</v>
      </c>
      <c r="H107" s="1">
        <f>COUNTIF(C:G,Tabela1[[#This Row],[Liderado]])</f>
        <v>0</v>
      </c>
      <c r="I107" s="1" t="s">
        <v>244</v>
      </c>
      <c r="J107" s="1" t="s">
        <v>243</v>
      </c>
      <c r="K107" s="1" t="s">
        <v>9</v>
      </c>
      <c r="L107" s="2" t="s">
        <v>10</v>
      </c>
      <c r="M107" s="1" t="s">
        <v>11</v>
      </c>
      <c r="N107" s="2">
        <v>11024</v>
      </c>
      <c r="O107" s="1" t="s">
        <v>40</v>
      </c>
      <c r="P107" s="1" t="s">
        <v>175</v>
      </c>
      <c r="Q107" s="1" t="s">
        <v>629</v>
      </c>
      <c r="R107" s="1"/>
      <c r="S107" s="1" t="s">
        <v>692</v>
      </c>
    </row>
    <row r="108" spans="1:19" x14ac:dyDescent="0.25">
      <c r="A108" s="1" t="s">
        <v>627</v>
      </c>
      <c r="C108" s="29" t="s">
        <v>41</v>
      </c>
      <c r="D108" t="s">
        <v>38</v>
      </c>
      <c r="E108" t="s">
        <v>1061</v>
      </c>
      <c r="F108" t="s">
        <v>1061</v>
      </c>
      <c r="G108" s="1" t="s">
        <v>1061</v>
      </c>
      <c r="H108" s="1">
        <f>COUNTIF(C:G,Tabela1[[#This Row],[Liderado]])</f>
        <v>21</v>
      </c>
      <c r="I108" s="1" t="s">
        <v>245</v>
      </c>
      <c r="J108" s="1" t="s">
        <v>246</v>
      </c>
      <c r="K108" s="1" t="s">
        <v>9</v>
      </c>
      <c r="L108" s="2" t="s">
        <v>10</v>
      </c>
      <c r="M108" s="1" t="s">
        <v>11</v>
      </c>
      <c r="N108" s="2">
        <v>11024</v>
      </c>
      <c r="O108" s="1" t="s">
        <v>40</v>
      </c>
      <c r="P108" s="1" t="s">
        <v>175</v>
      </c>
      <c r="Q108" s="1" t="s">
        <v>629</v>
      </c>
      <c r="R108" s="1"/>
      <c r="S108" s="1" t="s">
        <v>692</v>
      </c>
    </row>
    <row r="109" spans="1:19" x14ac:dyDescent="0.25">
      <c r="A109" s="1" t="s">
        <v>627</v>
      </c>
      <c r="C109" s="29" t="s">
        <v>71</v>
      </c>
      <c r="D109" t="s">
        <v>27</v>
      </c>
      <c r="E109" t="s">
        <v>1061</v>
      </c>
      <c r="F109" t="s">
        <v>1061</v>
      </c>
      <c r="G109" s="1" t="s">
        <v>1061</v>
      </c>
      <c r="H109" s="1">
        <f>COUNTIF(C:G,Tabela1[[#This Row],[Liderado]])</f>
        <v>8</v>
      </c>
      <c r="I109" s="1" t="s">
        <v>248</v>
      </c>
      <c r="J109" s="1" t="s">
        <v>22</v>
      </c>
      <c r="K109" s="1" t="s">
        <v>9</v>
      </c>
      <c r="L109" s="2" t="s">
        <v>10</v>
      </c>
      <c r="M109" s="1" t="s">
        <v>11</v>
      </c>
      <c r="N109" s="2">
        <v>11024</v>
      </c>
      <c r="O109" s="1" t="s">
        <v>40</v>
      </c>
      <c r="P109" s="1" t="s">
        <v>175</v>
      </c>
      <c r="Q109" s="1" t="s">
        <v>629</v>
      </c>
      <c r="R109" s="1"/>
      <c r="S109" s="1" t="s">
        <v>692</v>
      </c>
    </row>
    <row r="110" spans="1:19" x14ac:dyDescent="0.25">
      <c r="A110" s="1" t="s">
        <v>627</v>
      </c>
      <c r="C110" s="29" t="s">
        <v>41</v>
      </c>
      <c r="D110" t="s">
        <v>38</v>
      </c>
      <c r="E110" t="s">
        <v>1061</v>
      </c>
      <c r="F110" t="s">
        <v>32</v>
      </c>
      <c r="G110" s="1" t="s">
        <v>54</v>
      </c>
      <c r="H110" s="1">
        <f>COUNTIF(C:G,Tabela1[[#This Row],[Liderado]])</f>
        <v>0</v>
      </c>
      <c r="I110" s="1" t="s">
        <v>250</v>
      </c>
      <c r="J110" s="1" t="s">
        <v>34</v>
      </c>
      <c r="K110" s="1" t="s">
        <v>9</v>
      </c>
      <c r="L110" s="2" t="s">
        <v>10</v>
      </c>
      <c r="M110" s="1" t="s">
        <v>11</v>
      </c>
      <c r="N110" s="2">
        <v>11024</v>
      </c>
      <c r="O110" s="1" t="s">
        <v>40</v>
      </c>
      <c r="P110" s="1" t="s">
        <v>175</v>
      </c>
      <c r="Q110" s="1" t="s">
        <v>629</v>
      </c>
      <c r="R110" s="1"/>
      <c r="S110" s="1" t="s">
        <v>692</v>
      </c>
    </row>
    <row r="111" spans="1:19" x14ac:dyDescent="0.25">
      <c r="A111" s="1" t="s">
        <v>627</v>
      </c>
      <c r="C111" s="29" t="s">
        <v>41</v>
      </c>
      <c r="D111" t="s">
        <v>38</v>
      </c>
      <c r="E111" t="s">
        <v>37</v>
      </c>
      <c r="F111" t="s">
        <v>1061</v>
      </c>
      <c r="G111" s="1" t="s">
        <v>490</v>
      </c>
      <c r="H111" s="1">
        <f>COUNTIF(C:G,Tabela1[[#This Row],[Liderado]])</f>
        <v>0</v>
      </c>
      <c r="I111" s="1" t="s">
        <v>251</v>
      </c>
      <c r="J111" s="1" t="s">
        <v>34</v>
      </c>
      <c r="K111" s="1" t="s">
        <v>9</v>
      </c>
      <c r="L111" s="2" t="s">
        <v>10</v>
      </c>
      <c r="M111" s="1" t="s">
        <v>11</v>
      </c>
      <c r="N111" s="2">
        <v>11024</v>
      </c>
      <c r="O111" s="1" t="s">
        <v>40</v>
      </c>
      <c r="P111" s="1" t="s">
        <v>175</v>
      </c>
      <c r="Q111" s="1" t="s">
        <v>629</v>
      </c>
      <c r="R111" s="1"/>
      <c r="S111" s="1" t="s">
        <v>692</v>
      </c>
    </row>
    <row r="112" spans="1:19" x14ac:dyDescent="0.25">
      <c r="A112" s="1" t="s">
        <v>627</v>
      </c>
      <c r="C112" s="29" t="s">
        <v>41</v>
      </c>
      <c r="D112" t="s">
        <v>38</v>
      </c>
      <c r="E112" t="s">
        <v>1061</v>
      </c>
      <c r="F112" t="s">
        <v>32</v>
      </c>
      <c r="G112" s="1" t="s">
        <v>54</v>
      </c>
      <c r="H112" s="1">
        <f>COUNTIF(C:G,Tabela1[[#This Row],[Liderado]])</f>
        <v>0</v>
      </c>
      <c r="I112" s="1" t="s">
        <v>252</v>
      </c>
      <c r="J112" s="1" t="s">
        <v>34</v>
      </c>
      <c r="K112" s="1" t="s">
        <v>9</v>
      </c>
      <c r="L112" s="2" t="s">
        <v>10</v>
      </c>
      <c r="M112" s="1" t="s">
        <v>11</v>
      </c>
      <c r="N112" s="2">
        <v>11024</v>
      </c>
      <c r="O112" s="1" t="s">
        <v>40</v>
      </c>
      <c r="P112" s="1" t="s">
        <v>175</v>
      </c>
      <c r="Q112" s="1" t="s">
        <v>629</v>
      </c>
      <c r="R112" s="1"/>
      <c r="S112" s="1" t="s">
        <v>692</v>
      </c>
    </row>
    <row r="113" spans="1:19" x14ac:dyDescent="0.25">
      <c r="A113" s="1" t="s">
        <v>624</v>
      </c>
      <c r="C113" s="29" t="s">
        <v>71</v>
      </c>
      <c r="D113" t="s">
        <v>236</v>
      </c>
      <c r="E113" t="s">
        <v>1061</v>
      </c>
      <c r="F113" t="s">
        <v>151</v>
      </c>
      <c r="G113" s="1" t="s">
        <v>1061</v>
      </c>
      <c r="H113" s="1">
        <f>COUNTIF(C:G,Tabela1[[#This Row],[Liderado]])</f>
        <v>0</v>
      </c>
      <c r="I113" s="1" t="s">
        <v>253</v>
      </c>
      <c r="J113" s="1" t="s">
        <v>254</v>
      </c>
      <c r="K113" s="1" t="s">
        <v>9</v>
      </c>
      <c r="L113" s="2" t="s">
        <v>10</v>
      </c>
      <c r="M113" s="1" t="s">
        <v>11</v>
      </c>
      <c r="N113" s="2">
        <v>11024</v>
      </c>
      <c r="O113" s="1" t="s">
        <v>40</v>
      </c>
      <c r="P113" s="1" t="s">
        <v>175</v>
      </c>
      <c r="Q113" s="1" t="s">
        <v>629</v>
      </c>
      <c r="R113" s="1"/>
      <c r="S113" s="1" t="s">
        <v>692</v>
      </c>
    </row>
    <row r="114" spans="1:19" x14ac:dyDescent="0.25">
      <c r="A114" s="1" t="s">
        <v>624</v>
      </c>
      <c r="C114" s="29" t="s">
        <v>71</v>
      </c>
      <c r="D114" t="s">
        <v>236</v>
      </c>
      <c r="E114" t="s">
        <v>1061</v>
      </c>
      <c r="F114" t="s">
        <v>1061</v>
      </c>
      <c r="G114" s="1" t="s">
        <v>1061</v>
      </c>
      <c r="H114" s="1">
        <f>COUNTIF(C:G,Tabela1[[#This Row],[Liderado]])</f>
        <v>0</v>
      </c>
      <c r="I114" s="1" t="s">
        <v>255</v>
      </c>
      <c r="J114" s="1" t="s">
        <v>256</v>
      </c>
      <c r="K114" s="1" t="s">
        <v>9</v>
      </c>
      <c r="L114" s="2" t="s">
        <v>10</v>
      </c>
      <c r="M114" s="1" t="s">
        <v>11</v>
      </c>
      <c r="N114" s="2">
        <v>11024</v>
      </c>
      <c r="O114" s="1" t="s">
        <v>40</v>
      </c>
      <c r="P114" s="1" t="s">
        <v>175</v>
      </c>
      <c r="Q114" s="1" t="s">
        <v>629</v>
      </c>
      <c r="R114" s="1"/>
      <c r="S114" s="1" t="s">
        <v>692</v>
      </c>
    </row>
    <row r="115" spans="1:19" x14ac:dyDescent="0.25">
      <c r="A115" s="1" t="s">
        <v>638</v>
      </c>
      <c r="C115" s="29" t="s">
        <v>71</v>
      </c>
      <c r="D115" t="s">
        <v>236</v>
      </c>
      <c r="E115" t="s">
        <v>1061</v>
      </c>
      <c r="F115" t="s">
        <v>151</v>
      </c>
      <c r="G115" s="1" t="s">
        <v>1061</v>
      </c>
      <c r="H115" s="1">
        <f>COUNTIF(C:G,Tabela1[[#This Row],[Liderado]])</f>
        <v>0</v>
      </c>
      <c r="I115" s="1" t="s">
        <v>1290</v>
      </c>
      <c r="J115" s="1" t="s">
        <v>148</v>
      </c>
      <c r="K115" s="1" t="s">
        <v>9</v>
      </c>
      <c r="L115" s="2" t="s">
        <v>10</v>
      </c>
      <c r="M115" s="1" t="s">
        <v>11</v>
      </c>
      <c r="N115" s="2">
        <v>11024</v>
      </c>
      <c r="O115" s="1" t="s">
        <v>40</v>
      </c>
      <c r="P115" s="1" t="s">
        <v>175</v>
      </c>
      <c r="Q115" s="1" t="s">
        <v>629</v>
      </c>
      <c r="R115" s="1"/>
      <c r="S115" s="1" t="s">
        <v>692</v>
      </c>
    </row>
    <row r="116" spans="1:19" x14ac:dyDescent="0.25">
      <c r="A116" s="1" t="s">
        <v>627</v>
      </c>
      <c r="C116" s="29" t="s">
        <v>41</v>
      </c>
      <c r="D116" t="s">
        <v>38</v>
      </c>
      <c r="E116" t="s">
        <v>1061</v>
      </c>
      <c r="F116" t="s">
        <v>32</v>
      </c>
      <c r="G116" s="1" t="s">
        <v>1061</v>
      </c>
      <c r="H116" s="1">
        <f>COUNTIF(C:G,Tabela1[[#This Row],[Liderado]])</f>
        <v>0</v>
      </c>
      <c r="I116" s="1" t="s">
        <v>257</v>
      </c>
      <c r="J116" s="1" t="s">
        <v>61</v>
      </c>
      <c r="K116" s="1" t="s">
        <v>9</v>
      </c>
      <c r="L116" s="2" t="s">
        <v>10</v>
      </c>
      <c r="M116" s="1" t="s">
        <v>11</v>
      </c>
      <c r="N116" s="2">
        <v>11024</v>
      </c>
      <c r="O116" s="1" t="s">
        <v>40</v>
      </c>
      <c r="P116" s="1" t="s">
        <v>175</v>
      </c>
      <c r="Q116" s="1" t="s">
        <v>629</v>
      </c>
      <c r="R116" s="1"/>
      <c r="S116" s="1" t="s">
        <v>692</v>
      </c>
    </row>
    <row r="117" spans="1:19" x14ac:dyDescent="0.25">
      <c r="A117" s="1" t="s">
        <v>627</v>
      </c>
      <c r="C117" s="29" t="s">
        <v>41</v>
      </c>
      <c r="D117" t="s">
        <v>38</v>
      </c>
      <c r="E117" t="s">
        <v>1061</v>
      </c>
      <c r="F117" t="s">
        <v>32</v>
      </c>
      <c r="G117" s="1" t="s">
        <v>1061</v>
      </c>
      <c r="H117" s="1">
        <f>COUNTIF(C:G,Tabela1[[#This Row],[Liderado]])</f>
        <v>0</v>
      </c>
      <c r="I117" s="1" t="s">
        <v>258</v>
      </c>
      <c r="J117" s="1" t="s">
        <v>61</v>
      </c>
      <c r="K117" s="1" t="s">
        <v>9</v>
      </c>
      <c r="L117" s="2" t="s">
        <v>10</v>
      </c>
      <c r="M117" s="1" t="s">
        <v>11</v>
      </c>
      <c r="N117" s="2">
        <v>11024</v>
      </c>
      <c r="O117" s="1" t="s">
        <v>40</v>
      </c>
      <c r="P117" s="1" t="s">
        <v>175</v>
      </c>
      <c r="Q117" s="1" t="s">
        <v>629</v>
      </c>
      <c r="R117" s="1"/>
      <c r="S117" s="1" t="s">
        <v>692</v>
      </c>
    </row>
    <row r="118" spans="1:19" x14ac:dyDescent="0.25">
      <c r="A118" s="1" t="s">
        <v>624</v>
      </c>
      <c r="C118" s="29" t="s">
        <v>71</v>
      </c>
      <c r="D118" t="s">
        <v>236</v>
      </c>
      <c r="E118" t="s">
        <v>1061</v>
      </c>
      <c r="F118" t="s">
        <v>1061</v>
      </c>
      <c r="G118" s="1" t="s">
        <v>1061</v>
      </c>
      <c r="H118" s="1">
        <f>COUNTIF(C:G,Tabela1[[#This Row],[Liderado]])</f>
        <v>0</v>
      </c>
      <c r="I118" s="1" t="s">
        <v>1301</v>
      </c>
      <c r="J118" s="1" t="s">
        <v>1034</v>
      </c>
      <c r="K118" s="1" t="s">
        <v>9</v>
      </c>
      <c r="L118" s="2" t="s">
        <v>10</v>
      </c>
      <c r="M118" s="1" t="s">
        <v>11</v>
      </c>
      <c r="N118" s="2">
        <v>11024</v>
      </c>
      <c r="O118" s="1" t="s">
        <v>40</v>
      </c>
      <c r="P118" s="1" t="s">
        <v>175</v>
      </c>
      <c r="Q118" s="1" t="s">
        <v>629</v>
      </c>
      <c r="R118" s="1"/>
      <c r="S118" s="1" t="s">
        <v>692</v>
      </c>
    </row>
    <row r="119" spans="1:19" x14ac:dyDescent="0.25">
      <c r="A119" s="1" t="s">
        <v>624</v>
      </c>
      <c r="C119" s="29" t="s">
        <v>71</v>
      </c>
      <c r="D119" t="s">
        <v>236</v>
      </c>
      <c r="E119" t="s">
        <v>1061</v>
      </c>
      <c r="F119" t="s">
        <v>1061</v>
      </c>
      <c r="G119" s="1" t="s">
        <v>1061</v>
      </c>
      <c r="H119" s="1">
        <f>COUNTIF(C:G,Tabela1[[#This Row],[Liderado]])</f>
        <v>0</v>
      </c>
      <c r="I119" s="1" t="s">
        <v>1303</v>
      </c>
      <c r="J119" s="1" t="s">
        <v>1034</v>
      </c>
      <c r="K119" s="1" t="s">
        <v>9</v>
      </c>
      <c r="L119" s="2" t="s">
        <v>10</v>
      </c>
      <c r="M119" s="1" t="s">
        <v>11</v>
      </c>
      <c r="N119" s="2">
        <v>11024</v>
      </c>
      <c r="O119" s="1" t="s">
        <v>40</v>
      </c>
      <c r="P119" s="1" t="s">
        <v>175</v>
      </c>
      <c r="Q119" s="1" t="s">
        <v>629</v>
      </c>
      <c r="R119" s="1"/>
      <c r="S119" s="1" t="s">
        <v>692</v>
      </c>
    </row>
    <row r="120" spans="1:19" x14ac:dyDescent="0.25">
      <c r="A120" s="1" t="s">
        <v>627</v>
      </c>
      <c r="C120" s="29" t="s">
        <v>41</v>
      </c>
      <c r="D120" t="s">
        <v>38</v>
      </c>
      <c r="E120" t="s">
        <v>37</v>
      </c>
      <c r="F120" t="s">
        <v>1061</v>
      </c>
      <c r="G120" s="1" t="s">
        <v>1061</v>
      </c>
      <c r="H120" s="1">
        <f>COUNTIF(C:G,Tabela1[[#This Row],[Liderado]])</f>
        <v>5</v>
      </c>
      <c r="I120" s="1" t="s">
        <v>259</v>
      </c>
      <c r="J120" s="1" t="s">
        <v>29</v>
      </c>
      <c r="K120" s="1" t="s">
        <v>9</v>
      </c>
      <c r="L120" s="2" t="s">
        <v>10</v>
      </c>
      <c r="M120" s="1" t="s">
        <v>11</v>
      </c>
      <c r="N120" s="2">
        <v>11024</v>
      </c>
      <c r="O120" s="1" t="s">
        <v>40</v>
      </c>
      <c r="P120" s="1" t="s">
        <v>175</v>
      </c>
      <c r="Q120" s="1" t="s">
        <v>629</v>
      </c>
      <c r="R120" s="1"/>
      <c r="S120" s="1" t="s">
        <v>692</v>
      </c>
    </row>
    <row r="121" spans="1:19" x14ac:dyDescent="0.25">
      <c r="A121" s="1" t="s">
        <v>627</v>
      </c>
      <c r="C121" s="29" t="s">
        <v>41</v>
      </c>
      <c r="D121" t="s">
        <v>38</v>
      </c>
      <c r="E121" t="s">
        <v>1061</v>
      </c>
      <c r="F121" t="s">
        <v>32</v>
      </c>
      <c r="G121" s="1" t="s">
        <v>79</v>
      </c>
      <c r="H121" s="1">
        <f>COUNTIF(C:G,Tabela1[[#This Row],[Liderado]])</f>
        <v>0</v>
      </c>
      <c r="I121" s="1" t="s">
        <v>260</v>
      </c>
      <c r="J121" s="1" t="s">
        <v>34</v>
      </c>
      <c r="K121" s="1" t="s">
        <v>9</v>
      </c>
      <c r="L121" s="2" t="s">
        <v>10</v>
      </c>
      <c r="M121" s="1" t="s">
        <v>11</v>
      </c>
      <c r="N121" s="2">
        <v>11024</v>
      </c>
      <c r="O121" s="1" t="s">
        <v>40</v>
      </c>
      <c r="P121" s="1" t="s">
        <v>175</v>
      </c>
      <c r="Q121" s="1" t="s">
        <v>629</v>
      </c>
      <c r="R121" s="1"/>
      <c r="S121" s="1" t="s">
        <v>692</v>
      </c>
    </row>
    <row r="122" spans="1:19" x14ac:dyDescent="0.25">
      <c r="A122" s="1" t="s">
        <v>657</v>
      </c>
      <c r="C122" s="29" t="s">
        <v>71</v>
      </c>
      <c r="D122" t="s">
        <v>263</v>
      </c>
      <c r="E122" t="s">
        <v>1061</v>
      </c>
      <c r="F122" t="s">
        <v>1061</v>
      </c>
      <c r="G122" s="1" t="s">
        <v>1061</v>
      </c>
      <c r="H122" s="1">
        <f>COUNTIF(C:G,Tabela1[[#This Row],[Liderado]])</f>
        <v>0</v>
      </c>
      <c r="I122" s="1" t="s">
        <v>261</v>
      </c>
      <c r="J122" s="1" t="s">
        <v>34</v>
      </c>
      <c r="K122" s="1" t="s">
        <v>9</v>
      </c>
      <c r="L122" s="2" t="s">
        <v>10</v>
      </c>
      <c r="M122" s="1" t="s">
        <v>11</v>
      </c>
      <c r="N122" s="2">
        <v>11024</v>
      </c>
      <c r="O122" s="1" t="s">
        <v>40</v>
      </c>
      <c r="P122" s="1" t="s">
        <v>175</v>
      </c>
      <c r="Q122" s="1" t="s">
        <v>629</v>
      </c>
      <c r="R122" s="1"/>
      <c r="S122" s="1" t="s">
        <v>692</v>
      </c>
    </row>
    <row r="123" spans="1:19" x14ac:dyDescent="0.25">
      <c r="A123" s="1" t="s">
        <v>657</v>
      </c>
      <c r="C123" s="29" t="s">
        <v>71</v>
      </c>
      <c r="D123" t="s">
        <v>263</v>
      </c>
      <c r="E123" t="s">
        <v>1061</v>
      </c>
      <c r="F123" t="s">
        <v>1061</v>
      </c>
      <c r="G123" s="1" t="s">
        <v>1061</v>
      </c>
      <c r="H123" s="1">
        <f>COUNTIF(C:G,Tabela1[[#This Row],[Liderado]])</f>
        <v>0</v>
      </c>
      <c r="I123" s="1" t="s">
        <v>264</v>
      </c>
      <c r="J123" s="1" t="s">
        <v>265</v>
      </c>
      <c r="K123" s="1" t="s">
        <v>9</v>
      </c>
      <c r="L123" s="2" t="s">
        <v>10</v>
      </c>
      <c r="M123" s="1" t="s">
        <v>11</v>
      </c>
      <c r="N123" s="2">
        <v>11024</v>
      </c>
      <c r="O123" s="1" t="s">
        <v>40</v>
      </c>
      <c r="P123" s="1" t="s">
        <v>175</v>
      </c>
      <c r="Q123" s="1" t="s">
        <v>629</v>
      </c>
      <c r="R123" s="1"/>
      <c r="S123" s="1" t="s">
        <v>692</v>
      </c>
    </row>
    <row r="124" spans="1:19" x14ac:dyDescent="0.25">
      <c r="A124" s="1" t="s">
        <v>657</v>
      </c>
      <c r="C124" s="29" t="s">
        <v>71</v>
      </c>
      <c r="D124" t="s">
        <v>1061</v>
      </c>
      <c r="E124" t="s">
        <v>1061</v>
      </c>
      <c r="F124" t="s">
        <v>1061</v>
      </c>
      <c r="G124" s="1" t="s">
        <v>1061</v>
      </c>
      <c r="H124" s="1">
        <f>COUNTIF(C:G,Tabela1[[#This Row],[Liderado]])</f>
        <v>3</v>
      </c>
      <c r="I124" s="1" t="s">
        <v>263</v>
      </c>
      <c r="J124" s="1" t="s">
        <v>189</v>
      </c>
      <c r="K124" s="1" t="s">
        <v>9</v>
      </c>
      <c r="L124" s="2" t="s">
        <v>10</v>
      </c>
      <c r="M124" s="1" t="s">
        <v>11</v>
      </c>
      <c r="N124" s="2">
        <v>11024</v>
      </c>
      <c r="O124" s="1" t="s">
        <v>40</v>
      </c>
      <c r="P124" s="1" t="s">
        <v>175</v>
      </c>
      <c r="Q124" s="1" t="s">
        <v>629</v>
      </c>
      <c r="R124" s="1"/>
      <c r="S124" s="1" t="s">
        <v>692</v>
      </c>
    </row>
    <row r="125" spans="1:19" x14ac:dyDescent="0.25">
      <c r="A125" s="1" t="s">
        <v>657</v>
      </c>
      <c r="C125" s="29" t="s">
        <v>71</v>
      </c>
      <c r="D125" t="s">
        <v>263</v>
      </c>
      <c r="E125" t="s">
        <v>1061</v>
      </c>
      <c r="F125" t="s">
        <v>1061</v>
      </c>
      <c r="G125" s="1" t="s">
        <v>1061</v>
      </c>
      <c r="H125" s="1">
        <f>COUNTIF(C:G,Tabela1[[#This Row],[Liderado]])</f>
        <v>0</v>
      </c>
      <c r="I125" s="1" t="s">
        <v>267</v>
      </c>
      <c r="J125" s="1" t="s">
        <v>126</v>
      </c>
      <c r="K125" s="1" t="s">
        <v>9</v>
      </c>
      <c r="L125" s="2" t="s">
        <v>10</v>
      </c>
      <c r="M125" s="1" t="s">
        <v>11</v>
      </c>
      <c r="N125" s="2">
        <v>11024</v>
      </c>
      <c r="O125" s="1" t="s">
        <v>40</v>
      </c>
      <c r="P125" s="1" t="s">
        <v>175</v>
      </c>
      <c r="Q125" s="1" t="s">
        <v>629</v>
      </c>
      <c r="R125" s="1"/>
      <c r="S125" s="1" t="s">
        <v>692</v>
      </c>
    </row>
    <row r="126" spans="1:19" x14ac:dyDescent="0.25">
      <c r="A126" s="1" t="s">
        <v>658</v>
      </c>
      <c r="C126" s="29" t="s">
        <v>271</v>
      </c>
      <c r="D126" t="s">
        <v>296</v>
      </c>
      <c r="E126" t="s">
        <v>1061</v>
      </c>
      <c r="F126" t="s">
        <v>1327</v>
      </c>
      <c r="G126" s="1" t="s">
        <v>1061</v>
      </c>
      <c r="H126" s="1">
        <f>COUNTIF(C:G,Tabela1[[#This Row],[Liderado]])</f>
        <v>0</v>
      </c>
      <c r="I126" s="1" t="s">
        <v>1328</v>
      </c>
      <c r="J126" s="1" t="s">
        <v>34</v>
      </c>
      <c r="K126" s="1" t="s">
        <v>9</v>
      </c>
      <c r="L126" s="2" t="s">
        <v>10</v>
      </c>
      <c r="M126" s="1" t="s">
        <v>11</v>
      </c>
      <c r="N126" s="2">
        <v>11024</v>
      </c>
      <c r="O126" s="1" t="s">
        <v>40</v>
      </c>
      <c r="P126" s="1" t="s">
        <v>175</v>
      </c>
      <c r="Q126" s="1" t="s">
        <v>629</v>
      </c>
      <c r="R126" s="1"/>
      <c r="S126" s="1" t="s">
        <v>692</v>
      </c>
    </row>
    <row r="127" spans="1:19" x14ac:dyDescent="0.25">
      <c r="A127" s="1" t="s">
        <v>658</v>
      </c>
      <c r="C127" s="29" t="s">
        <v>271</v>
      </c>
      <c r="D127" t="s">
        <v>296</v>
      </c>
      <c r="E127" t="s">
        <v>1061</v>
      </c>
      <c r="F127" t="s">
        <v>1327</v>
      </c>
      <c r="G127" s="1" t="s">
        <v>1061</v>
      </c>
      <c r="H127" s="1">
        <f>COUNTIF(C:G,Tabela1[[#This Row],[Liderado]])</f>
        <v>0</v>
      </c>
      <c r="I127" s="1" t="s">
        <v>1333</v>
      </c>
      <c r="J127" s="1" t="s">
        <v>274</v>
      </c>
      <c r="K127" s="1" t="s">
        <v>9</v>
      </c>
      <c r="L127" s="2" t="s">
        <v>10</v>
      </c>
      <c r="M127" s="1" t="s">
        <v>11</v>
      </c>
      <c r="N127" s="2">
        <v>11024</v>
      </c>
      <c r="O127" s="1" t="s">
        <v>40</v>
      </c>
      <c r="P127" s="1" t="s">
        <v>175</v>
      </c>
      <c r="Q127" s="1" t="s">
        <v>629</v>
      </c>
      <c r="R127" s="1"/>
      <c r="S127" s="1" t="s">
        <v>692</v>
      </c>
    </row>
    <row r="128" spans="1:19" x14ac:dyDescent="0.25">
      <c r="A128" s="1" t="s">
        <v>658</v>
      </c>
      <c r="C128" s="29" t="s">
        <v>271</v>
      </c>
      <c r="D128" t="s">
        <v>296</v>
      </c>
      <c r="E128" t="s">
        <v>1061</v>
      </c>
      <c r="F128" t="s">
        <v>1061</v>
      </c>
      <c r="G128" s="1" t="s">
        <v>1340</v>
      </c>
      <c r="H128" s="1">
        <f>COUNTIF(C:G,Tabela1[[#This Row],[Liderado]])</f>
        <v>0</v>
      </c>
      <c r="I128" s="1" t="s">
        <v>1341</v>
      </c>
      <c r="J128" s="1" t="s">
        <v>34</v>
      </c>
      <c r="K128" s="1" t="s">
        <v>9</v>
      </c>
      <c r="L128" s="2" t="s">
        <v>10</v>
      </c>
      <c r="M128" s="1" t="s">
        <v>11</v>
      </c>
      <c r="N128" s="2">
        <v>11024</v>
      </c>
      <c r="O128" s="1" t="s">
        <v>40</v>
      </c>
      <c r="P128" s="1" t="s">
        <v>175</v>
      </c>
      <c r="Q128" s="1" t="s">
        <v>629</v>
      </c>
      <c r="R128" s="1"/>
      <c r="S128" s="1" t="s">
        <v>692</v>
      </c>
    </row>
    <row r="129" spans="1:19" x14ac:dyDescent="0.25">
      <c r="A129" s="1" t="s">
        <v>658</v>
      </c>
      <c r="C129" s="29" t="s">
        <v>271</v>
      </c>
      <c r="D129" t="s">
        <v>296</v>
      </c>
      <c r="E129" t="s">
        <v>1061</v>
      </c>
      <c r="F129" t="s">
        <v>1061</v>
      </c>
      <c r="G129" s="1" t="s">
        <v>296</v>
      </c>
      <c r="H129" s="1">
        <f>COUNTIF(C:G,Tabela1[[#This Row],[Liderado]])</f>
        <v>0</v>
      </c>
      <c r="I129" s="1" t="s">
        <v>1345</v>
      </c>
      <c r="J129" s="1" t="s">
        <v>265</v>
      </c>
      <c r="K129" s="1" t="s">
        <v>9</v>
      </c>
      <c r="L129" s="2" t="s">
        <v>10</v>
      </c>
      <c r="M129" s="1" t="s">
        <v>11</v>
      </c>
      <c r="N129" s="2">
        <v>11024</v>
      </c>
      <c r="O129" s="1" t="s">
        <v>40</v>
      </c>
      <c r="P129" s="1" t="s">
        <v>175</v>
      </c>
      <c r="Q129" s="1" t="s">
        <v>629</v>
      </c>
      <c r="R129" s="1"/>
      <c r="S129" s="1" t="s">
        <v>692</v>
      </c>
    </row>
    <row r="130" spans="1:19" x14ac:dyDescent="0.25">
      <c r="A130" s="1" t="s">
        <v>658</v>
      </c>
      <c r="C130" s="29" t="s">
        <v>271</v>
      </c>
      <c r="D130" t="s">
        <v>296</v>
      </c>
      <c r="E130" t="s">
        <v>1061</v>
      </c>
      <c r="F130" t="s">
        <v>1327</v>
      </c>
      <c r="G130" s="1" t="s">
        <v>1061</v>
      </c>
      <c r="H130" s="1">
        <f>COUNTIF(C:G,Tabela1[[#This Row],[Liderado]])</f>
        <v>0</v>
      </c>
      <c r="I130" s="1" t="s">
        <v>1349</v>
      </c>
      <c r="J130" s="1" t="s">
        <v>274</v>
      </c>
      <c r="K130" s="1" t="s">
        <v>9</v>
      </c>
      <c r="L130" s="2" t="s">
        <v>10</v>
      </c>
      <c r="M130" s="1" t="s">
        <v>11</v>
      </c>
      <c r="N130" s="2">
        <v>11024</v>
      </c>
      <c r="O130" s="1" t="s">
        <v>40</v>
      </c>
      <c r="P130" s="1" t="s">
        <v>175</v>
      </c>
      <c r="Q130" s="1" t="s">
        <v>629</v>
      </c>
      <c r="R130" s="1"/>
      <c r="S130" s="1" t="s">
        <v>692</v>
      </c>
    </row>
    <row r="131" spans="1:19" x14ac:dyDescent="0.25">
      <c r="A131" s="1" t="s">
        <v>658</v>
      </c>
      <c r="C131" s="29" t="s">
        <v>271</v>
      </c>
      <c r="D131" t="s">
        <v>296</v>
      </c>
      <c r="E131" t="s">
        <v>1061</v>
      </c>
      <c r="F131" t="s">
        <v>1061</v>
      </c>
      <c r="G131" s="1" t="s">
        <v>1061</v>
      </c>
      <c r="H131" s="1">
        <f>COUNTIF(C:G,Tabela1[[#This Row],[Liderado]])</f>
        <v>3</v>
      </c>
      <c r="I131" s="1" t="s">
        <v>1351</v>
      </c>
      <c r="J131" s="1" t="s">
        <v>137</v>
      </c>
      <c r="K131" s="1" t="s">
        <v>9</v>
      </c>
      <c r="L131" s="2" t="s">
        <v>10</v>
      </c>
      <c r="M131" s="1" t="s">
        <v>11</v>
      </c>
      <c r="N131" s="2">
        <v>11024</v>
      </c>
      <c r="O131" s="1" t="s">
        <v>40</v>
      </c>
      <c r="P131" s="1" t="s">
        <v>175</v>
      </c>
      <c r="Q131" s="1" t="s">
        <v>629</v>
      </c>
      <c r="R131" s="1"/>
      <c r="S131" s="1" t="s">
        <v>692</v>
      </c>
    </row>
    <row r="132" spans="1:19" x14ac:dyDescent="0.25">
      <c r="A132" s="1" t="s">
        <v>658</v>
      </c>
      <c r="C132" s="29" t="s">
        <v>271</v>
      </c>
      <c r="D132" t="s">
        <v>296</v>
      </c>
      <c r="E132" t="s">
        <v>1061</v>
      </c>
      <c r="F132" t="s">
        <v>1327</v>
      </c>
      <c r="G132" s="1" t="s">
        <v>1061</v>
      </c>
      <c r="H132" s="1">
        <f>COUNTIF(C:G,Tabela1[[#This Row],[Liderado]])</f>
        <v>0</v>
      </c>
      <c r="I132" s="1" t="s">
        <v>1358</v>
      </c>
      <c r="J132" s="1" t="s">
        <v>34</v>
      </c>
      <c r="K132" s="1" t="s">
        <v>9</v>
      </c>
      <c r="L132" s="2" t="s">
        <v>10</v>
      </c>
      <c r="M132" s="1" t="s">
        <v>11</v>
      </c>
      <c r="N132" s="2">
        <v>11024</v>
      </c>
      <c r="O132" s="1" t="s">
        <v>40</v>
      </c>
      <c r="P132" s="1" t="s">
        <v>175</v>
      </c>
      <c r="Q132" s="1" t="s">
        <v>629</v>
      </c>
      <c r="R132" s="1"/>
      <c r="S132" s="1" t="s">
        <v>692</v>
      </c>
    </row>
    <row r="133" spans="1:19" x14ac:dyDescent="0.25">
      <c r="A133" s="1" t="s">
        <v>658</v>
      </c>
      <c r="C133" s="29" t="s">
        <v>271</v>
      </c>
      <c r="D133" t="s">
        <v>296</v>
      </c>
      <c r="E133" t="s">
        <v>1061</v>
      </c>
      <c r="F133" t="s">
        <v>1061</v>
      </c>
      <c r="G133" s="1" t="s">
        <v>1351</v>
      </c>
      <c r="H133" s="1">
        <f>COUNTIF(C:G,Tabela1[[#This Row],[Liderado]])</f>
        <v>0</v>
      </c>
      <c r="I133" s="1" t="s">
        <v>1360</v>
      </c>
      <c r="J133" s="1" t="s">
        <v>92</v>
      </c>
      <c r="K133" s="1" t="s">
        <v>9</v>
      </c>
      <c r="L133" s="2" t="s">
        <v>10</v>
      </c>
      <c r="M133" s="1" t="s">
        <v>11</v>
      </c>
      <c r="N133" s="2">
        <v>11024</v>
      </c>
      <c r="O133" s="1" t="s">
        <v>40</v>
      </c>
      <c r="P133" s="1" t="s">
        <v>175</v>
      </c>
      <c r="Q133" s="1" t="s">
        <v>629</v>
      </c>
      <c r="R133" s="1"/>
      <c r="S133" s="1" t="s">
        <v>692</v>
      </c>
    </row>
    <row r="134" spans="1:19" x14ac:dyDescent="0.25">
      <c r="A134" s="1" t="s">
        <v>627</v>
      </c>
      <c r="C134" s="29" t="s">
        <v>71</v>
      </c>
      <c r="D134" t="s">
        <v>27</v>
      </c>
      <c r="E134" t="s">
        <v>1061</v>
      </c>
      <c r="F134" t="s">
        <v>248</v>
      </c>
      <c r="G134" s="1" t="s">
        <v>1061</v>
      </c>
      <c r="H134" s="1">
        <f>COUNTIF(C:G,Tabela1[[#This Row],[Liderado]])</f>
        <v>0</v>
      </c>
      <c r="I134" s="1" t="s">
        <v>277</v>
      </c>
      <c r="J134" s="1" t="s">
        <v>132</v>
      </c>
      <c r="K134" s="1" t="s">
        <v>9</v>
      </c>
      <c r="L134" s="2" t="s">
        <v>10</v>
      </c>
      <c r="M134" s="1" t="s">
        <v>11</v>
      </c>
      <c r="N134" s="2">
        <v>11024</v>
      </c>
      <c r="O134" s="1" t="s">
        <v>40</v>
      </c>
      <c r="P134" s="1" t="s">
        <v>175</v>
      </c>
      <c r="Q134" s="1" t="s">
        <v>629</v>
      </c>
      <c r="R134" s="1"/>
      <c r="S134" s="1" t="s">
        <v>692</v>
      </c>
    </row>
    <row r="135" spans="1:19" x14ac:dyDescent="0.25">
      <c r="A135" s="1" t="s">
        <v>658</v>
      </c>
      <c r="C135" s="29" t="s">
        <v>271</v>
      </c>
      <c r="D135" t="s">
        <v>296</v>
      </c>
      <c r="E135" t="s">
        <v>1061</v>
      </c>
      <c r="F135" t="s">
        <v>1327</v>
      </c>
      <c r="G135" s="1" t="s">
        <v>1061</v>
      </c>
      <c r="H135" s="1">
        <f>COUNTIF(C:G,Tabela1[[#This Row],[Liderado]])</f>
        <v>0</v>
      </c>
      <c r="I135" s="1" t="s">
        <v>1372</v>
      </c>
      <c r="J135" s="1" t="s">
        <v>34</v>
      </c>
      <c r="K135" s="1" t="s">
        <v>9</v>
      </c>
      <c r="L135" s="2" t="s">
        <v>10</v>
      </c>
      <c r="M135" s="1" t="s">
        <v>11</v>
      </c>
      <c r="N135" s="2">
        <v>11024</v>
      </c>
      <c r="O135" s="1" t="s">
        <v>40</v>
      </c>
      <c r="P135" s="1" t="s">
        <v>175</v>
      </c>
      <c r="Q135" s="1" t="s">
        <v>629</v>
      </c>
      <c r="R135" s="1"/>
      <c r="S135" s="1" t="s">
        <v>692</v>
      </c>
    </row>
    <row r="136" spans="1:19" x14ac:dyDescent="0.25">
      <c r="A136" s="1" t="s">
        <v>661</v>
      </c>
      <c r="C136" s="29" t="s">
        <v>271</v>
      </c>
      <c r="D136" t="s">
        <v>1061</v>
      </c>
      <c r="E136" t="s">
        <v>1061</v>
      </c>
      <c r="F136" t="s">
        <v>1061</v>
      </c>
      <c r="G136" s="1" t="s">
        <v>1061</v>
      </c>
      <c r="H136" s="1">
        <f>COUNTIF(C:G,Tabela1[[#This Row],[Liderado]])</f>
        <v>36</v>
      </c>
      <c r="I136" s="1" t="s">
        <v>280</v>
      </c>
      <c r="J136" s="1" t="s">
        <v>281</v>
      </c>
      <c r="K136" s="1" t="s">
        <v>9</v>
      </c>
      <c r="L136" s="2" t="s">
        <v>10</v>
      </c>
      <c r="M136" s="1" t="s">
        <v>11</v>
      </c>
      <c r="N136" s="2">
        <v>11024</v>
      </c>
      <c r="O136" s="1" t="s">
        <v>40</v>
      </c>
      <c r="P136" s="1" t="s">
        <v>175</v>
      </c>
      <c r="Q136" s="1" t="s">
        <v>629</v>
      </c>
      <c r="R136" s="1"/>
      <c r="S136" s="1" t="s">
        <v>692</v>
      </c>
    </row>
    <row r="137" spans="1:19" x14ac:dyDescent="0.25">
      <c r="A137" s="1" t="s">
        <v>661</v>
      </c>
      <c r="C137" s="29" t="s">
        <v>271</v>
      </c>
      <c r="D137" t="s">
        <v>280</v>
      </c>
      <c r="E137" t="s">
        <v>1061</v>
      </c>
      <c r="F137" t="s">
        <v>280</v>
      </c>
      <c r="G137" s="1" t="s">
        <v>1061</v>
      </c>
      <c r="H137" s="1">
        <f>COUNTIF(C:G,Tabela1[[#This Row],[Liderado]])</f>
        <v>0</v>
      </c>
      <c r="I137" s="1" t="s">
        <v>283</v>
      </c>
      <c r="J137" s="1" t="s">
        <v>34</v>
      </c>
      <c r="K137" s="1" t="s">
        <v>9</v>
      </c>
      <c r="L137" s="2" t="s">
        <v>10</v>
      </c>
      <c r="M137" s="1" t="s">
        <v>11</v>
      </c>
      <c r="N137" s="2">
        <v>11024</v>
      </c>
      <c r="O137" s="1" t="s">
        <v>40</v>
      </c>
      <c r="P137" s="1" t="s">
        <v>175</v>
      </c>
      <c r="Q137" s="1" t="s">
        <v>629</v>
      </c>
      <c r="R137" s="1"/>
      <c r="S137" s="1" t="s">
        <v>692</v>
      </c>
    </row>
    <row r="138" spans="1:19" x14ac:dyDescent="0.25">
      <c r="A138" s="1" t="s">
        <v>661</v>
      </c>
      <c r="C138" s="29" t="s">
        <v>271</v>
      </c>
      <c r="D138" t="s">
        <v>280</v>
      </c>
      <c r="E138" t="s">
        <v>1061</v>
      </c>
      <c r="F138" t="s">
        <v>1061</v>
      </c>
      <c r="G138" s="1" t="s">
        <v>1061</v>
      </c>
      <c r="H138" s="1">
        <f>COUNTIF(C:G,Tabela1[[#This Row],[Liderado]])</f>
        <v>3</v>
      </c>
      <c r="I138" s="1" t="s">
        <v>285</v>
      </c>
      <c r="J138" s="1" t="s">
        <v>286</v>
      </c>
      <c r="K138" s="1" t="s">
        <v>9</v>
      </c>
      <c r="L138" s="2" t="s">
        <v>10</v>
      </c>
      <c r="M138" s="1" t="s">
        <v>11</v>
      </c>
      <c r="N138" s="2">
        <v>11024</v>
      </c>
      <c r="O138" s="1" t="s">
        <v>40</v>
      </c>
      <c r="P138" s="1" t="s">
        <v>175</v>
      </c>
      <c r="Q138" s="1" t="s">
        <v>629</v>
      </c>
      <c r="R138" s="1"/>
      <c r="S138" s="1" t="s">
        <v>692</v>
      </c>
    </row>
    <row r="139" spans="1:19" x14ac:dyDescent="0.25">
      <c r="A139" s="1" t="s">
        <v>627</v>
      </c>
      <c r="C139" s="29" t="s">
        <v>41</v>
      </c>
      <c r="D139" t="s">
        <v>38</v>
      </c>
      <c r="E139" t="s">
        <v>1061</v>
      </c>
      <c r="F139" t="s">
        <v>1061</v>
      </c>
      <c r="G139" s="1" t="s">
        <v>38</v>
      </c>
      <c r="H139" s="1">
        <f>COUNTIF(C:G,Tabela1[[#This Row],[Liderado]])</f>
        <v>0</v>
      </c>
      <c r="I139" s="1" t="s">
        <v>289</v>
      </c>
      <c r="J139" s="1" t="s">
        <v>92</v>
      </c>
      <c r="K139" s="1" t="s">
        <v>9</v>
      </c>
      <c r="L139" s="2" t="s">
        <v>10</v>
      </c>
      <c r="M139" s="1" t="s">
        <v>11</v>
      </c>
      <c r="N139" s="2">
        <v>11024</v>
      </c>
      <c r="O139" s="1" t="s">
        <v>40</v>
      </c>
      <c r="P139" s="1" t="s">
        <v>175</v>
      </c>
      <c r="Q139" s="1" t="s">
        <v>629</v>
      </c>
      <c r="R139" s="1"/>
      <c r="S139" s="1" t="s">
        <v>692</v>
      </c>
    </row>
    <row r="140" spans="1:19" x14ac:dyDescent="0.25">
      <c r="A140" s="1" t="s">
        <v>627</v>
      </c>
      <c r="C140" s="29" t="s">
        <v>41</v>
      </c>
      <c r="D140" t="s">
        <v>38</v>
      </c>
      <c r="E140" t="s">
        <v>1061</v>
      </c>
      <c r="F140" t="s">
        <v>1061</v>
      </c>
      <c r="G140" s="1" t="s">
        <v>38</v>
      </c>
      <c r="H140" s="1">
        <f>COUNTIF(C:G,Tabela1[[#This Row],[Liderado]])</f>
        <v>0</v>
      </c>
      <c r="I140" s="1" t="s">
        <v>291</v>
      </c>
      <c r="J140" s="1" t="s">
        <v>92</v>
      </c>
      <c r="K140" s="1" t="s">
        <v>9</v>
      </c>
      <c r="L140" s="2" t="s">
        <v>10</v>
      </c>
      <c r="M140" s="1" t="s">
        <v>11</v>
      </c>
      <c r="N140" s="2">
        <v>11024</v>
      </c>
      <c r="O140" s="1" t="s">
        <v>40</v>
      </c>
      <c r="P140" s="1" t="s">
        <v>175</v>
      </c>
      <c r="Q140" s="1" t="s">
        <v>629</v>
      </c>
      <c r="R140" s="1"/>
      <c r="S140" s="1" t="s">
        <v>692</v>
      </c>
    </row>
    <row r="141" spans="1:19" x14ac:dyDescent="0.25">
      <c r="A141" s="1" t="s">
        <v>658</v>
      </c>
      <c r="C141" s="29" t="s">
        <v>271</v>
      </c>
      <c r="D141" t="s">
        <v>296</v>
      </c>
      <c r="E141" t="s">
        <v>1061</v>
      </c>
      <c r="F141" t="s">
        <v>1061</v>
      </c>
      <c r="G141" s="1" t="s">
        <v>1061</v>
      </c>
      <c r="H141" s="1">
        <f>COUNTIF(C:G,Tabela1[[#This Row],[Liderado]])</f>
        <v>7</v>
      </c>
      <c r="I141" s="1" t="s">
        <v>1340</v>
      </c>
      <c r="J141" s="1" t="s">
        <v>29</v>
      </c>
      <c r="K141" s="1" t="s">
        <v>9</v>
      </c>
      <c r="L141" s="2" t="s">
        <v>10</v>
      </c>
      <c r="M141" s="1" t="s">
        <v>11</v>
      </c>
      <c r="N141" s="2">
        <v>11024</v>
      </c>
      <c r="O141" s="1" t="s">
        <v>40</v>
      </c>
      <c r="P141" s="1" t="s">
        <v>175</v>
      </c>
      <c r="Q141" s="1" t="s">
        <v>629</v>
      </c>
      <c r="R141" s="1"/>
      <c r="S141" s="1" t="s">
        <v>692</v>
      </c>
    </row>
    <row r="142" spans="1:19" x14ac:dyDescent="0.25">
      <c r="A142" s="1" t="s">
        <v>661</v>
      </c>
      <c r="C142" s="29" t="s">
        <v>271</v>
      </c>
      <c r="D142" t="s">
        <v>280</v>
      </c>
      <c r="E142" t="s">
        <v>1061</v>
      </c>
      <c r="F142" t="s">
        <v>1061</v>
      </c>
      <c r="G142" s="1" t="s">
        <v>1061</v>
      </c>
      <c r="H142" s="1">
        <f>COUNTIF(C:G,Tabela1[[#This Row],[Liderado]])</f>
        <v>0</v>
      </c>
      <c r="I142" s="1" t="s">
        <v>1401</v>
      </c>
      <c r="J142" s="1" t="s">
        <v>34</v>
      </c>
      <c r="K142" s="1" t="s">
        <v>9</v>
      </c>
      <c r="L142" s="2" t="s">
        <v>10</v>
      </c>
      <c r="M142" s="1" t="s">
        <v>11</v>
      </c>
      <c r="N142" s="2">
        <v>11024</v>
      </c>
      <c r="O142" s="1" t="s">
        <v>40</v>
      </c>
      <c r="P142" s="1" t="s">
        <v>175</v>
      </c>
      <c r="Q142" s="1" t="s">
        <v>629</v>
      </c>
      <c r="R142" s="1"/>
      <c r="S142" s="1" t="s">
        <v>692</v>
      </c>
    </row>
    <row r="143" spans="1:19" x14ac:dyDescent="0.25">
      <c r="A143" s="1" t="s">
        <v>658</v>
      </c>
      <c r="C143" s="29" t="s">
        <v>271</v>
      </c>
      <c r="D143" t="s">
        <v>296</v>
      </c>
      <c r="E143" t="s">
        <v>1061</v>
      </c>
      <c r="F143" t="s">
        <v>1061</v>
      </c>
      <c r="G143" s="1" t="s">
        <v>1351</v>
      </c>
      <c r="H143" s="1">
        <f>COUNTIF(C:G,Tabela1[[#This Row],[Liderado]])</f>
        <v>0</v>
      </c>
      <c r="I143" s="1" t="s">
        <v>1405</v>
      </c>
      <c r="J143" s="1" t="s">
        <v>294</v>
      </c>
      <c r="K143" s="1" t="s">
        <v>9</v>
      </c>
      <c r="L143" s="2" t="s">
        <v>10</v>
      </c>
      <c r="M143" s="1" t="s">
        <v>11</v>
      </c>
      <c r="N143" s="2">
        <v>11024</v>
      </c>
      <c r="O143" s="1" t="s">
        <v>40</v>
      </c>
      <c r="P143" s="1" t="s">
        <v>175</v>
      </c>
      <c r="Q143" s="1" t="s">
        <v>629</v>
      </c>
      <c r="R143" s="1"/>
      <c r="S143" s="1" t="s">
        <v>692</v>
      </c>
    </row>
    <row r="144" spans="1:19" x14ac:dyDescent="0.25">
      <c r="A144" s="1" t="s">
        <v>658</v>
      </c>
      <c r="C144" s="29" t="s">
        <v>271</v>
      </c>
      <c r="D144" t="s">
        <v>296</v>
      </c>
      <c r="E144" t="s">
        <v>1061</v>
      </c>
      <c r="F144" t="s">
        <v>1061</v>
      </c>
      <c r="G144" s="1" t="s">
        <v>1340</v>
      </c>
      <c r="H144" s="1">
        <f>COUNTIF(C:G,Tabela1[[#This Row],[Liderado]])</f>
        <v>0</v>
      </c>
      <c r="I144" s="1" t="s">
        <v>1412</v>
      </c>
      <c r="J144" s="1" t="s">
        <v>34</v>
      </c>
      <c r="K144" s="1" t="s">
        <v>9</v>
      </c>
      <c r="L144" s="2" t="s">
        <v>10</v>
      </c>
      <c r="M144" s="1" t="s">
        <v>11</v>
      </c>
      <c r="N144" s="2">
        <v>11024</v>
      </c>
      <c r="O144" s="1" t="s">
        <v>40</v>
      </c>
      <c r="P144" s="1" t="s">
        <v>175</v>
      </c>
      <c r="Q144" s="1" t="s">
        <v>629</v>
      </c>
      <c r="R144" s="1"/>
      <c r="S144" s="1" t="s">
        <v>692</v>
      </c>
    </row>
    <row r="145" spans="1:19" x14ac:dyDescent="0.25">
      <c r="A145" s="1" t="s">
        <v>658</v>
      </c>
      <c r="C145" s="29" t="s">
        <v>271</v>
      </c>
      <c r="D145" t="s">
        <v>1061</v>
      </c>
      <c r="E145" t="s">
        <v>1061</v>
      </c>
      <c r="F145" t="s">
        <v>1061</v>
      </c>
      <c r="G145" s="1" t="s">
        <v>1061</v>
      </c>
      <c r="H145" s="1">
        <f>COUNTIF(C:G,Tabela1[[#This Row],[Liderado]])</f>
        <v>35</v>
      </c>
      <c r="I145" s="1" t="s">
        <v>296</v>
      </c>
      <c r="J145" s="1" t="s">
        <v>281</v>
      </c>
      <c r="K145" s="1" t="s">
        <v>9</v>
      </c>
      <c r="L145" s="2" t="s">
        <v>10</v>
      </c>
      <c r="M145" s="1" t="s">
        <v>11</v>
      </c>
      <c r="N145" s="2">
        <v>11024</v>
      </c>
      <c r="O145" s="1" t="s">
        <v>40</v>
      </c>
      <c r="P145" s="1" t="s">
        <v>175</v>
      </c>
      <c r="Q145" s="1" t="s">
        <v>629</v>
      </c>
      <c r="R145" s="1"/>
      <c r="S145" s="1" t="s">
        <v>692</v>
      </c>
    </row>
    <row r="146" spans="1:19" x14ac:dyDescent="0.25">
      <c r="A146" s="1" t="s">
        <v>661</v>
      </c>
      <c r="C146" s="29" t="s">
        <v>271</v>
      </c>
      <c r="D146" t="s">
        <v>280</v>
      </c>
      <c r="E146" t="s">
        <v>1061</v>
      </c>
      <c r="F146" t="s">
        <v>308</v>
      </c>
      <c r="G146" s="1" t="s">
        <v>1061</v>
      </c>
      <c r="H146" s="1">
        <f>COUNTIF(C:G,Tabela1[[#This Row],[Liderado]])</f>
        <v>0</v>
      </c>
      <c r="I146" s="1" t="s">
        <v>1417</v>
      </c>
      <c r="J146" s="1" t="s">
        <v>34</v>
      </c>
      <c r="K146" s="1" t="s">
        <v>9</v>
      </c>
      <c r="L146" s="2" t="s">
        <v>10</v>
      </c>
      <c r="M146" s="1" t="s">
        <v>11</v>
      </c>
      <c r="N146" s="2">
        <v>11024</v>
      </c>
      <c r="O146" s="1" t="s">
        <v>40</v>
      </c>
      <c r="P146" s="1" t="s">
        <v>175</v>
      </c>
      <c r="Q146" s="1" t="s">
        <v>629</v>
      </c>
      <c r="R146" s="1"/>
      <c r="S146" s="1" t="s">
        <v>692</v>
      </c>
    </row>
    <row r="147" spans="1:19" x14ac:dyDescent="0.25">
      <c r="A147" s="1" t="s">
        <v>661</v>
      </c>
      <c r="C147" s="29" t="s">
        <v>271</v>
      </c>
      <c r="D147" t="s">
        <v>280</v>
      </c>
      <c r="E147" t="s">
        <v>1061</v>
      </c>
      <c r="F147" t="s">
        <v>1061</v>
      </c>
      <c r="G147" s="1" t="s">
        <v>1061</v>
      </c>
      <c r="H147" s="1">
        <f>COUNTIF(C:G,Tabela1[[#This Row],[Liderado]])</f>
        <v>0</v>
      </c>
      <c r="I147" s="1" t="s">
        <v>297</v>
      </c>
      <c r="J147" s="1" t="s">
        <v>153</v>
      </c>
      <c r="K147" s="1" t="s">
        <v>9</v>
      </c>
      <c r="L147" s="2" t="s">
        <v>10</v>
      </c>
      <c r="M147" s="1" t="s">
        <v>11</v>
      </c>
      <c r="N147" s="2">
        <v>11024</v>
      </c>
      <c r="O147" s="1" t="s">
        <v>40</v>
      </c>
      <c r="P147" s="1" t="s">
        <v>175</v>
      </c>
      <c r="Q147" s="1" t="s">
        <v>629</v>
      </c>
      <c r="R147" s="1"/>
      <c r="S147" s="1" t="s">
        <v>692</v>
      </c>
    </row>
    <row r="148" spans="1:19" x14ac:dyDescent="0.25">
      <c r="A148" s="1" t="s">
        <v>627</v>
      </c>
      <c r="C148" s="29" t="s">
        <v>41</v>
      </c>
      <c r="D148" t="s">
        <v>38</v>
      </c>
      <c r="E148" t="s">
        <v>1061</v>
      </c>
      <c r="F148" t="s">
        <v>32</v>
      </c>
      <c r="G148" s="1" t="s">
        <v>79</v>
      </c>
      <c r="H148" s="1">
        <f>COUNTIF(C:G,Tabela1[[#This Row],[Liderado]])</f>
        <v>0</v>
      </c>
      <c r="I148" s="1" t="s">
        <v>299</v>
      </c>
      <c r="J148" s="1" t="s">
        <v>34</v>
      </c>
      <c r="K148" s="1" t="s">
        <v>9</v>
      </c>
      <c r="L148" s="2" t="s">
        <v>10</v>
      </c>
      <c r="M148" s="1" t="s">
        <v>11</v>
      </c>
      <c r="N148" s="2">
        <v>11024</v>
      </c>
      <c r="O148" s="1" t="s">
        <v>40</v>
      </c>
      <c r="P148" s="1" t="s">
        <v>175</v>
      </c>
      <c r="Q148" s="1" t="s">
        <v>629</v>
      </c>
      <c r="R148" s="1"/>
      <c r="S148" s="1" t="s">
        <v>692</v>
      </c>
    </row>
    <row r="149" spans="1:19" x14ac:dyDescent="0.25">
      <c r="A149" s="1" t="s">
        <v>661</v>
      </c>
      <c r="C149" s="29" t="s">
        <v>271</v>
      </c>
      <c r="D149" t="s">
        <v>280</v>
      </c>
      <c r="E149" t="s">
        <v>1061</v>
      </c>
      <c r="F149" t="s">
        <v>1061</v>
      </c>
      <c r="G149" s="1" t="s">
        <v>1061</v>
      </c>
      <c r="H149" s="1">
        <f>COUNTIF(C:G,Tabela1[[#This Row],[Liderado]])</f>
        <v>0</v>
      </c>
      <c r="I149" s="1" t="s">
        <v>300</v>
      </c>
      <c r="J149" s="1" t="s">
        <v>301</v>
      </c>
      <c r="K149" s="1" t="s">
        <v>9</v>
      </c>
      <c r="L149" s="2" t="s">
        <v>10</v>
      </c>
      <c r="M149" s="1" t="s">
        <v>11</v>
      </c>
      <c r="N149" s="2">
        <v>11024</v>
      </c>
      <c r="O149" s="1" t="s">
        <v>40</v>
      </c>
      <c r="P149" s="1" t="s">
        <v>175</v>
      </c>
      <c r="Q149" s="1" t="s">
        <v>629</v>
      </c>
      <c r="R149" s="1"/>
      <c r="S149" s="1" t="s">
        <v>692</v>
      </c>
    </row>
    <row r="150" spans="1:19" x14ac:dyDescent="0.25">
      <c r="A150" s="1" t="s">
        <v>661</v>
      </c>
      <c r="C150" s="29" t="s">
        <v>271</v>
      </c>
      <c r="D150" t="s">
        <v>280</v>
      </c>
      <c r="E150" t="s">
        <v>1061</v>
      </c>
      <c r="F150" t="s">
        <v>285</v>
      </c>
      <c r="G150" s="1" t="s">
        <v>1061</v>
      </c>
      <c r="H150" s="1">
        <f>COUNTIF(C:G,Tabela1[[#This Row],[Liderado]])</f>
        <v>0</v>
      </c>
      <c r="I150" s="1" t="s">
        <v>302</v>
      </c>
      <c r="J150" s="1" t="s">
        <v>303</v>
      </c>
      <c r="K150" s="1" t="s">
        <v>9</v>
      </c>
      <c r="L150" s="2" t="s">
        <v>10</v>
      </c>
      <c r="M150" s="1" t="s">
        <v>11</v>
      </c>
      <c r="N150" s="2">
        <v>11024</v>
      </c>
      <c r="O150" s="1" t="s">
        <v>40</v>
      </c>
      <c r="P150" s="1" t="s">
        <v>175</v>
      </c>
      <c r="Q150" s="1" t="s">
        <v>629</v>
      </c>
      <c r="R150" s="1"/>
      <c r="S150" s="1" t="s">
        <v>692</v>
      </c>
    </row>
    <row r="151" spans="1:19" x14ac:dyDescent="0.25">
      <c r="A151" s="1" t="s">
        <v>661</v>
      </c>
      <c r="C151" s="29" t="s">
        <v>271</v>
      </c>
      <c r="D151" t="s">
        <v>280</v>
      </c>
      <c r="E151" t="s">
        <v>1061</v>
      </c>
      <c r="F151" t="s">
        <v>1061</v>
      </c>
      <c r="G151" s="1" t="s">
        <v>1061</v>
      </c>
      <c r="H151" s="1">
        <f>COUNTIF(C:G,Tabela1[[#This Row],[Liderado]])</f>
        <v>0</v>
      </c>
      <c r="I151" s="1" t="s">
        <v>305</v>
      </c>
      <c r="J151" s="1" t="s">
        <v>92</v>
      </c>
      <c r="K151" s="1" t="s">
        <v>9</v>
      </c>
      <c r="L151" s="2" t="s">
        <v>10</v>
      </c>
      <c r="M151" s="1" t="s">
        <v>11</v>
      </c>
      <c r="N151" s="2">
        <v>11024</v>
      </c>
      <c r="O151" s="1" t="s">
        <v>40</v>
      </c>
      <c r="P151" s="1" t="s">
        <v>175</v>
      </c>
      <c r="Q151" s="1" t="s">
        <v>629</v>
      </c>
      <c r="R151" s="1"/>
      <c r="S151" s="1" t="s">
        <v>692</v>
      </c>
    </row>
    <row r="152" spans="1:19" x14ac:dyDescent="0.25">
      <c r="A152" s="1" t="s">
        <v>661</v>
      </c>
      <c r="C152" s="29" t="s">
        <v>271</v>
      </c>
      <c r="D152" t="s">
        <v>280</v>
      </c>
      <c r="E152" t="s">
        <v>1061</v>
      </c>
      <c r="F152" t="s">
        <v>1061</v>
      </c>
      <c r="G152" s="1" t="s">
        <v>1061</v>
      </c>
      <c r="H152" s="1">
        <f>COUNTIF(C:G,Tabela1[[#This Row],[Liderado]])</f>
        <v>7</v>
      </c>
      <c r="I152" s="1" t="s">
        <v>308</v>
      </c>
      <c r="J152" s="1" t="s">
        <v>43</v>
      </c>
      <c r="K152" s="1" t="s">
        <v>9</v>
      </c>
      <c r="L152" s="2" t="s">
        <v>10</v>
      </c>
      <c r="M152" s="1" t="s">
        <v>11</v>
      </c>
      <c r="N152" s="2">
        <v>11024</v>
      </c>
      <c r="O152" s="1" t="s">
        <v>40</v>
      </c>
      <c r="P152" s="1" t="s">
        <v>175</v>
      </c>
      <c r="Q152" s="1" t="s">
        <v>629</v>
      </c>
      <c r="R152" s="1"/>
      <c r="S152" s="1" t="s">
        <v>692</v>
      </c>
    </row>
    <row r="153" spans="1:19" x14ac:dyDescent="0.25">
      <c r="A153" s="1" t="s">
        <v>658</v>
      </c>
      <c r="C153" s="29" t="s">
        <v>271</v>
      </c>
      <c r="D153" t="s">
        <v>296</v>
      </c>
      <c r="E153" t="s">
        <v>1061</v>
      </c>
      <c r="F153" t="s">
        <v>1061</v>
      </c>
      <c r="G153" s="1" t="s">
        <v>1340</v>
      </c>
      <c r="H153" s="1">
        <f>COUNTIF(C:G,Tabela1[[#This Row],[Liderado]])</f>
        <v>0</v>
      </c>
      <c r="I153" s="1" t="s">
        <v>1446</v>
      </c>
      <c r="J153" s="1" t="s">
        <v>34</v>
      </c>
      <c r="K153" s="1" t="s">
        <v>9</v>
      </c>
      <c r="L153" s="2" t="s">
        <v>10</v>
      </c>
      <c r="M153" s="1" t="s">
        <v>11</v>
      </c>
      <c r="N153" s="2">
        <v>11024</v>
      </c>
      <c r="O153" s="1" t="s">
        <v>40</v>
      </c>
      <c r="P153" s="1" t="s">
        <v>175</v>
      </c>
      <c r="Q153" s="1" t="s">
        <v>629</v>
      </c>
      <c r="R153" s="1"/>
      <c r="S153" s="1" t="s">
        <v>692</v>
      </c>
    </row>
    <row r="154" spans="1:19" x14ac:dyDescent="0.25">
      <c r="A154" s="1" t="s">
        <v>661</v>
      </c>
      <c r="C154" s="29" t="s">
        <v>271</v>
      </c>
      <c r="D154" t="s">
        <v>280</v>
      </c>
      <c r="E154" t="s">
        <v>1061</v>
      </c>
      <c r="F154" t="s">
        <v>285</v>
      </c>
      <c r="G154" s="1" t="s">
        <v>1061</v>
      </c>
      <c r="H154" s="1">
        <f>COUNTIF(C:G,Tabela1[[#This Row],[Liderado]])</f>
        <v>0</v>
      </c>
      <c r="I154" s="1" t="s">
        <v>310</v>
      </c>
      <c r="J154" s="1" t="s">
        <v>294</v>
      </c>
      <c r="K154" s="1" t="s">
        <v>9</v>
      </c>
      <c r="L154" s="2" t="s">
        <v>10</v>
      </c>
      <c r="M154" s="1" t="s">
        <v>11</v>
      </c>
      <c r="N154" s="2">
        <v>11024</v>
      </c>
      <c r="O154" s="1" t="s">
        <v>40</v>
      </c>
      <c r="P154" s="1" t="s">
        <v>175</v>
      </c>
      <c r="Q154" s="1" t="s">
        <v>629</v>
      </c>
      <c r="R154" s="1"/>
      <c r="S154" s="1" t="s">
        <v>692</v>
      </c>
    </row>
    <row r="155" spans="1:19" x14ac:dyDescent="0.25">
      <c r="A155" s="1" t="s">
        <v>661</v>
      </c>
      <c r="C155" s="29" t="s">
        <v>271</v>
      </c>
      <c r="D155" t="s">
        <v>280</v>
      </c>
      <c r="E155" t="s">
        <v>1061</v>
      </c>
      <c r="F155" t="s">
        <v>1061</v>
      </c>
      <c r="G155" s="1" t="s">
        <v>1061</v>
      </c>
      <c r="H155" s="1">
        <f>COUNTIF(C:G,Tabela1[[#This Row],[Liderado]])</f>
        <v>0</v>
      </c>
      <c r="I155" s="1" t="s">
        <v>312</v>
      </c>
      <c r="J155" s="1" t="s">
        <v>92</v>
      </c>
      <c r="K155" s="1" t="s">
        <v>9</v>
      </c>
      <c r="L155" s="2" t="s">
        <v>10</v>
      </c>
      <c r="M155" s="1" t="s">
        <v>11</v>
      </c>
      <c r="N155" s="2">
        <v>11024</v>
      </c>
      <c r="O155" s="1" t="s">
        <v>40</v>
      </c>
      <c r="P155" s="1" t="s">
        <v>175</v>
      </c>
      <c r="Q155" s="1" t="s">
        <v>629</v>
      </c>
      <c r="R155" s="1"/>
      <c r="S155" s="1" t="s">
        <v>692</v>
      </c>
    </row>
    <row r="156" spans="1:19" x14ac:dyDescent="0.25">
      <c r="A156" s="1" t="s">
        <v>658</v>
      </c>
      <c r="C156" s="29" t="s">
        <v>71</v>
      </c>
      <c r="D156" t="s">
        <v>27</v>
      </c>
      <c r="E156" t="s">
        <v>1061</v>
      </c>
      <c r="F156" t="s">
        <v>1061</v>
      </c>
      <c r="G156" s="1" t="s">
        <v>1061</v>
      </c>
      <c r="H156" s="1">
        <f>COUNTIF(C:G,Tabela1[[#This Row],[Liderado]])</f>
        <v>0</v>
      </c>
      <c r="I156" s="1" t="s">
        <v>313</v>
      </c>
      <c r="J156" s="1" t="s">
        <v>104</v>
      </c>
      <c r="K156" s="1" t="s">
        <v>9</v>
      </c>
      <c r="L156" s="2" t="s">
        <v>10</v>
      </c>
      <c r="M156" s="1" t="s">
        <v>11</v>
      </c>
      <c r="N156" s="2">
        <v>11024</v>
      </c>
      <c r="O156" s="1" t="s">
        <v>40</v>
      </c>
      <c r="P156" s="1" t="s">
        <v>175</v>
      </c>
      <c r="Q156" s="1" t="s">
        <v>629</v>
      </c>
      <c r="R156" s="1"/>
      <c r="S156" s="1" t="s">
        <v>692</v>
      </c>
    </row>
    <row r="157" spans="1:19" x14ac:dyDescent="0.25">
      <c r="A157" s="1" t="s">
        <v>627</v>
      </c>
      <c r="C157" s="29" t="s">
        <v>71</v>
      </c>
      <c r="D157" t="s">
        <v>27</v>
      </c>
      <c r="E157" t="s">
        <v>1061</v>
      </c>
      <c r="F157" t="s">
        <v>21</v>
      </c>
      <c r="G157" s="1" t="s">
        <v>1061</v>
      </c>
      <c r="H157" s="1">
        <f>COUNTIF(C:G,Tabela1[[#This Row],[Liderado]])</f>
        <v>0</v>
      </c>
      <c r="I157" s="1" t="s">
        <v>315</v>
      </c>
      <c r="J157" s="1" t="s">
        <v>220</v>
      </c>
      <c r="K157" s="1" t="s">
        <v>9</v>
      </c>
      <c r="L157" s="2" t="s">
        <v>10</v>
      </c>
      <c r="M157" s="1" t="s">
        <v>11</v>
      </c>
      <c r="N157" s="2">
        <v>11024</v>
      </c>
      <c r="O157" s="1" t="s">
        <v>40</v>
      </c>
      <c r="P157" s="1" t="s">
        <v>175</v>
      </c>
      <c r="Q157" s="1" t="s">
        <v>629</v>
      </c>
      <c r="R157" s="1"/>
      <c r="S157" s="1" t="s">
        <v>692</v>
      </c>
    </row>
    <row r="158" spans="1:19" x14ac:dyDescent="0.25">
      <c r="A158" s="1" t="s">
        <v>661</v>
      </c>
      <c r="C158" s="29" t="s">
        <v>271</v>
      </c>
      <c r="D158" t="s">
        <v>280</v>
      </c>
      <c r="E158" t="s">
        <v>1061</v>
      </c>
      <c r="F158" t="s">
        <v>308</v>
      </c>
      <c r="G158" s="1" t="s">
        <v>1061</v>
      </c>
      <c r="H158" s="1">
        <f>COUNTIF(C:G,Tabela1[[#This Row],[Liderado]])</f>
        <v>0</v>
      </c>
      <c r="I158" s="1" t="s">
        <v>1462</v>
      </c>
      <c r="J158" s="1" t="s">
        <v>34</v>
      </c>
      <c r="K158" s="1" t="s">
        <v>9</v>
      </c>
      <c r="L158" s="2" t="s">
        <v>10</v>
      </c>
      <c r="M158" s="1" t="s">
        <v>11</v>
      </c>
      <c r="N158" s="2">
        <v>11024</v>
      </c>
      <c r="O158" s="1" t="s">
        <v>40</v>
      </c>
      <c r="P158" s="1" t="s">
        <v>175</v>
      </c>
      <c r="Q158" s="1" t="s">
        <v>629</v>
      </c>
      <c r="R158" s="1"/>
      <c r="S158" s="1" t="s">
        <v>692</v>
      </c>
    </row>
    <row r="159" spans="1:19" x14ac:dyDescent="0.25">
      <c r="A159" s="1" t="s">
        <v>661</v>
      </c>
      <c r="C159" s="29" t="s">
        <v>271</v>
      </c>
      <c r="D159" t="s">
        <v>280</v>
      </c>
      <c r="E159" t="s">
        <v>1061</v>
      </c>
      <c r="F159" t="s">
        <v>308</v>
      </c>
      <c r="G159" s="1" t="s">
        <v>1061</v>
      </c>
      <c r="H159" s="1">
        <f>COUNTIF(C:G,Tabela1[[#This Row],[Liderado]])</f>
        <v>0</v>
      </c>
      <c r="I159" s="1" t="s">
        <v>317</v>
      </c>
      <c r="J159" s="1" t="s">
        <v>34</v>
      </c>
      <c r="K159" s="1" t="s">
        <v>9</v>
      </c>
      <c r="L159" s="2" t="s">
        <v>10</v>
      </c>
      <c r="M159" s="1" t="s">
        <v>11</v>
      </c>
      <c r="N159" s="2">
        <v>11024</v>
      </c>
      <c r="O159" s="1" t="s">
        <v>40</v>
      </c>
      <c r="P159" s="1" t="s">
        <v>175</v>
      </c>
      <c r="Q159" s="1" t="s">
        <v>629</v>
      </c>
      <c r="R159" s="1"/>
      <c r="S159" s="1" t="s">
        <v>692</v>
      </c>
    </row>
    <row r="160" spans="1:19" x14ac:dyDescent="0.25">
      <c r="A160" s="1" t="s">
        <v>661</v>
      </c>
      <c r="C160" s="29" t="s">
        <v>271</v>
      </c>
      <c r="D160" t="s">
        <v>280</v>
      </c>
      <c r="E160" t="s">
        <v>1061</v>
      </c>
      <c r="F160" t="s">
        <v>1061</v>
      </c>
      <c r="G160" s="1" t="s">
        <v>1061</v>
      </c>
      <c r="H160" s="1">
        <f>COUNTIF(C:G,Tabela1[[#This Row],[Liderado]])</f>
        <v>0</v>
      </c>
      <c r="I160" s="1" t="s">
        <v>318</v>
      </c>
      <c r="J160" s="1" t="s">
        <v>126</v>
      </c>
      <c r="K160" s="1" t="s">
        <v>9</v>
      </c>
      <c r="L160" s="2" t="s">
        <v>10</v>
      </c>
      <c r="M160" s="1" t="s">
        <v>11</v>
      </c>
      <c r="N160" s="2">
        <v>11024</v>
      </c>
      <c r="O160" s="1" t="s">
        <v>40</v>
      </c>
      <c r="P160" s="1" t="s">
        <v>175</v>
      </c>
      <c r="Q160" s="1" t="s">
        <v>629</v>
      </c>
      <c r="R160" s="1"/>
      <c r="S160" s="1" t="s">
        <v>692</v>
      </c>
    </row>
    <row r="161" spans="1:19" x14ac:dyDescent="0.25">
      <c r="A161" s="1" t="s">
        <v>661</v>
      </c>
      <c r="C161" s="29" t="s">
        <v>71</v>
      </c>
      <c r="D161" t="s">
        <v>27</v>
      </c>
      <c r="E161" t="s">
        <v>1061</v>
      </c>
      <c r="F161" t="s">
        <v>1061</v>
      </c>
      <c r="G161" s="1" t="s">
        <v>1061</v>
      </c>
      <c r="H161" s="1">
        <f>COUNTIF(C:G,Tabela1[[#This Row],[Liderado]])</f>
        <v>0</v>
      </c>
      <c r="I161" s="1" t="s">
        <v>320</v>
      </c>
      <c r="J161" s="1" t="s">
        <v>104</v>
      </c>
      <c r="K161" s="1" t="s">
        <v>9</v>
      </c>
      <c r="L161" s="2" t="s">
        <v>10</v>
      </c>
      <c r="M161" s="1" t="s">
        <v>11</v>
      </c>
      <c r="N161" s="2">
        <v>11024</v>
      </c>
      <c r="O161" s="1" t="s">
        <v>40</v>
      </c>
      <c r="P161" s="1" t="s">
        <v>175</v>
      </c>
      <c r="Q161" s="1" t="s">
        <v>629</v>
      </c>
      <c r="R161" s="1"/>
      <c r="S161" s="1" t="s">
        <v>692</v>
      </c>
    </row>
    <row r="162" spans="1:19" x14ac:dyDescent="0.25">
      <c r="A162" s="1" t="s">
        <v>661</v>
      </c>
      <c r="C162" s="29" t="s">
        <v>271</v>
      </c>
      <c r="D162" t="s">
        <v>280</v>
      </c>
      <c r="E162" t="s">
        <v>1061</v>
      </c>
      <c r="F162" t="s">
        <v>308</v>
      </c>
      <c r="G162" s="1" t="s">
        <v>1061</v>
      </c>
      <c r="H162" s="1">
        <f>COUNTIF(C:G,Tabela1[[#This Row],[Liderado]])</f>
        <v>0</v>
      </c>
      <c r="I162" s="1" t="s">
        <v>322</v>
      </c>
      <c r="J162" s="1" t="s">
        <v>34</v>
      </c>
      <c r="K162" s="1" t="s">
        <v>9</v>
      </c>
      <c r="L162" s="2" t="s">
        <v>10</v>
      </c>
      <c r="M162" s="1" t="s">
        <v>11</v>
      </c>
      <c r="N162" s="2">
        <v>11024</v>
      </c>
      <c r="O162" s="1" t="s">
        <v>40</v>
      </c>
      <c r="P162" s="1" t="s">
        <v>175</v>
      </c>
      <c r="Q162" s="1" t="s">
        <v>629</v>
      </c>
      <c r="R162" s="1"/>
      <c r="S162" s="1" t="s">
        <v>692</v>
      </c>
    </row>
    <row r="163" spans="1:19" x14ac:dyDescent="0.25">
      <c r="A163" s="1" t="s">
        <v>627</v>
      </c>
      <c r="C163" s="29" t="s">
        <v>41</v>
      </c>
      <c r="D163" t="s">
        <v>38</v>
      </c>
      <c r="E163" t="s">
        <v>1061</v>
      </c>
      <c r="F163" t="s">
        <v>32</v>
      </c>
      <c r="G163" s="1" t="s">
        <v>1061</v>
      </c>
      <c r="H163" s="1">
        <f>COUNTIF(C:G,Tabela1[[#This Row],[Liderado]])</f>
        <v>0</v>
      </c>
      <c r="I163" s="1" t="s">
        <v>323</v>
      </c>
      <c r="J163" s="1" t="s">
        <v>61</v>
      </c>
      <c r="K163" s="1" t="s">
        <v>9</v>
      </c>
      <c r="L163" s="2" t="s">
        <v>10</v>
      </c>
      <c r="M163" s="1" t="s">
        <v>11</v>
      </c>
      <c r="N163" s="2">
        <v>11024</v>
      </c>
      <c r="O163" s="1" t="s">
        <v>40</v>
      </c>
      <c r="P163" s="1" t="s">
        <v>175</v>
      </c>
      <c r="Q163" s="1" t="s">
        <v>629</v>
      </c>
      <c r="R163" s="1"/>
      <c r="S163" s="1" t="s">
        <v>692</v>
      </c>
    </row>
    <row r="164" spans="1:19" x14ac:dyDescent="0.25">
      <c r="A164" s="1" t="s">
        <v>661</v>
      </c>
      <c r="C164" s="29" t="s">
        <v>271</v>
      </c>
      <c r="D164" t="s">
        <v>280</v>
      </c>
      <c r="E164" t="s">
        <v>1061</v>
      </c>
      <c r="F164" t="s">
        <v>1061</v>
      </c>
      <c r="G164" s="1" t="s">
        <v>1061</v>
      </c>
      <c r="H164" s="1">
        <f>COUNTIF(C:G,Tabela1[[#This Row],[Liderado]])</f>
        <v>0</v>
      </c>
      <c r="I164" s="1" t="s">
        <v>324</v>
      </c>
      <c r="J164" s="1" t="s">
        <v>34</v>
      </c>
      <c r="K164" s="1" t="s">
        <v>9</v>
      </c>
      <c r="L164" s="2" t="s">
        <v>10</v>
      </c>
      <c r="M164" s="1" t="s">
        <v>11</v>
      </c>
      <c r="N164" s="2">
        <v>11024</v>
      </c>
      <c r="O164" s="1" t="s">
        <v>40</v>
      </c>
      <c r="P164" s="1" t="s">
        <v>175</v>
      </c>
      <c r="Q164" s="1" t="s">
        <v>629</v>
      </c>
      <c r="R164" s="1"/>
      <c r="S164" s="1" t="s">
        <v>692</v>
      </c>
    </row>
    <row r="165" spans="1:19" x14ac:dyDescent="0.25">
      <c r="A165" s="1" t="s">
        <v>627</v>
      </c>
      <c r="C165" s="29" t="s">
        <v>41</v>
      </c>
      <c r="D165" t="s">
        <v>38</v>
      </c>
      <c r="E165" t="s">
        <v>1061</v>
      </c>
      <c r="F165" t="s">
        <v>32</v>
      </c>
      <c r="G165" s="1" t="s">
        <v>79</v>
      </c>
      <c r="H165" s="1">
        <f>COUNTIF(C:G,Tabela1[[#This Row],[Liderado]])</f>
        <v>0</v>
      </c>
      <c r="I165" s="1" t="s">
        <v>325</v>
      </c>
      <c r="J165" s="1" t="s">
        <v>34</v>
      </c>
      <c r="K165" s="1" t="s">
        <v>9</v>
      </c>
      <c r="L165" s="2" t="s">
        <v>10</v>
      </c>
      <c r="M165" s="1" t="s">
        <v>11</v>
      </c>
      <c r="N165" s="2">
        <v>11024</v>
      </c>
      <c r="O165" s="1" t="s">
        <v>40</v>
      </c>
      <c r="P165" s="1" t="s">
        <v>175</v>
      </c>
      <c r="Q165" s="1" t="s">
        <v>629</v>
      </c>
      <c r="R165" s="1"/>
      <c r="S165" s="1" t="s">
        <v>692</v>
      </c>
    </row>
    <row r="166" spans="1:19" x14ac:dyDescent="0.25">
      <c r="A166" s="1" t="s">
        <v>661</v>
      </c>
      <c r="C166" s="29" t="s">
        <v>271</v>
      </c>
      <c r="D166" t="s">
        <v>280</v>
      </c>
      <c r="E166" t="s">
        <v>1061</v>
      </c>
      <c r="F166" t="s">
        <v>1061</v>
      </c>
      <c r="G166" s="1" t="s">
        <v>1061</v>
      </c>
      <c r="H166" s="1">
        <f>COUNTIF(C:G,Tabela1[[#This Row],[Liderado]])</f>
        <v>0</v>
      </c>
      <c r="I166" s="1" t="s">
        <v>326</v>
      </c>
      <c r="J166" s="1" t="s">
        <v>34</v>
      </c>
      <c r="K166" s="1" t="s">
        <v>9</v>
      </c>
      <c r="L166" s="2" t="s">
        <v>10</v>
      </c>
      <c r="M166" s="1" t="s">
        <v>11</v>
      </c>
      <c r="N166" s="2">
        <v>11024</v>
      </c>
      <c r="O166" s="1" t="s">
        <v>40</v>
      </c>
      <c r="P166" s="1" t="s">
        <v>175</v>
      </c>
      <c r="Q166" s="1" t="s">
        <v>629</v>
      </c>
      <c r="R166" s="1"/>
      <c r="S166" s="1" t="s">
        <v>692</v>
      </c>
    </row>
    <row r="167" spans="1:19" x14ac:dyDescent="0.25">
      <c r="A167" s="1" t="s">
        <v>661</v>
      </c>
      <c r="C167" s="29" t="s">
        <v>271</v>
      </c>
      <c r="D167" t="s">
        <v>280</v>
      </c>
      <c r="E167" t="s">
        <v>1061</v>
      </c>
      <c r="F167" t="s">
        <v>285</v>
      </c>
      <c r="G167" s="1" t="s">
        <v>1061</v>
      </c>
      <c r="H167" s="1">
        <f>COUNTIF(C:G,Tabela1[[#This Row],[Liderado]])</f>
        <v>0</v>
      </c>
      <c r="I167" s="1" t="s">
        <v>327</v>
      </c>
      <c r="J167" s="1" t="s">
        <v>303</v>
      </c>
      <c r="K167" s="1" t="s">
        <v>9</v>
      </c>
      <c r="L167" s="2" t="s">
        <v>10</v>
      </c>
      <c r="M167" s="1" t="s">
        <v>11</v>
      </c>
      <c r="N167" s="2">
        <v>11024</v>
      </c>
      <c r="O167" s="1" t="s">
        <v>40</v>
      </c>
      <c r="P167" s="1" t="s">
        <v>175</v>
      </c>
      <c r="Q167" s="1" t="s">
        <v>629</v>
      </c>
      <c r="R167" s="1"/>
      <c r="S167" s="1" t="s">
        <v>692</v>
      </c>
    </row>
    <row r="168" spans="1:19" x14ac:dyDescent="0.25">
      <c r="A168" s="1" t="s">
        <v>627</v>
      </c>
      <c r="C168" s="29" t="s">
        <v>41</v>
      </c>
      <c r="D168" t="s">
        <v>38</v>
      </c>
      <c r="E168" t="s">
        <v>1061</v>
      </c>
      <c r="F168" t="s">
        <v>1061</v>
      </c>
      <c r="G168" s="1" t="s">
        <v>38</v>
      </c>
      <c r="H168" s="1">
        <f>COUNTIF(C:G,Tabela1[[#This Row],[Liderado]])</f>
        <v>0</v>
      </c>
      <c r="I168" s="1" t="s">
        <v>1487</v>
      </c>
      <c r="J168" s="1" t="s">
        <v>1489</v>
      </c>
      <c r="K168" s="1" t="s">
        <v>9</v>
      </c>
      <c r="L168" s="2" t="s">
        <v>10</v>
      </c>
      <c r="M168" s="1" t="s">
        <v>11</v>
      </c>
      <c r="N168" s="2">
        <v>11024</v>
      </c>
      <c r="O168" s="1" t="s">
        <v>40</v>
      </c>
      <c r="P168" s="1" t="s">
        <v>175</v>
      </c>
      <c r="Q168" s="1" t="s">
        <v>629</v>
      </c>
      <c r="R168" s="1"/>
      <c r="S168" s="1" t="s">
        <v>692</v>
      </c>
    </row>
    <row r="169" spans="1:19" x14ac:dyDescent="0.25">
      <c r="A169" s="1" t="s">
        <v>661</v>
      </c>
      <c r="C169" s="29" t="s">
        <v>271</v>
      </c>
      <c r="D169" t="s">
        <v>280</v>
      </c>
      <c r="E169" t="s">
        <v>1061</v>
      </c>
      <c r="F169" t="s">
        <v>1061</v>
      </c>
      <c r="G169" s="1" t="s">
        <v>1061</v>
      </c>
      <c r="H169" s="1">
        <f>COUNTIF(C:G,Tabela1[[#This Row],[Liderado]])</f>
        <v>0</v>
      </c>
      <c r="I169" s="1" t="s">
        <v>307</v>
      </c>
      <c r="J169" s="1" t="s">
        <v>29</v>
      </c>
      <c r="K169" s="1" t="s">
        <v>9</v>
      </c>
      <c r="L169" s="2" t="s">
        <v>10</v>
      </c>
      <c r="M169" s="1" t="s">
        <v>11</v>
      </c>
      <c r="N169" s="2">
        <v>11024</v>
      </c>
      <c r="O169" s="1" t="s">
        <v>40</v>
      </c>
      <c r="P169" s="1" t="s">
        <v>175</v>
      </c>
      <c r="Q169" s="1" t="s">
        <v>629</v>
      </c>
      <c r="R169" s="1"/>
      <c r="S169" s="1" t="s">
        <v>692</v>
      </c>
    </row>
    <row r="170" spans="1:19" x14ac:dyDescent="0.25">
      <c r="A170" s="1" t="s">
        <v>661</v>
      </c>
      <c r="C170" s="29" t="s">
        <v>271</v>
      </c>
      <c r="D170" t="s">
        <v>280</v>
      </c>
      <c r="E170" t="s">
        <v>1061</v>
      </c>
      <c r="F170" t="s">
        <v>308</v>
      </c>
      <c r="G170" s="1" t="s">
        <v>1061</v>
      </c>
      <c r="H170" s="1">
        <f>COUNTIF(C:G,Tabela1[[#This Row],[Liderado]])</f>
        <v>0</v>
      </c>
      <c r="I170" s="1" t="s">
        <v>1494</v>
      </c>
      <c r="J170" s="1" t="s">
        <v>34</v>
      </c>
      <c r="K170" s="1" t="s">
        <v>9</v>
      </c>
      <c r="L170" s="2" t="s">
        <v>10</v>
      </c>
      <c r="M170" s="1" t="s">
        <v>11</v>
      </c>
      <c r="N170" s="2">
        <v>11024</v>
      </c>
      <c r="O170" s="1" t="s">
        <v>40</v>
      </c>
      <c r="P170" s="1" t="s">
        <v>175</v>
      </c>
      <c r="Q170" s="1" t="s">
        <v>629</v>
      </c>
      <c r="R170" s="1"/>
      <c r="S170" s="1" t="s">
        <v>692</v>
      </c>
    </row>
    <row r="171" spans="1:19" x14ac:dyDescent="0.25">
      <c r="A171" s="1" t="s">
        <v>627</v>
      </c>
      <c r="C171" s="29" t="s">
        <v>71</v>
      </c>
      <c r="D171" t="s">
        <v>27</v>
      </c>
      <c r="E171" t="s">
        <v>1061</v>
      </c>
      <c r="F171" t="s">
        <v>248</v>
      </c>
      <c r="G171" s="1" t="s">
        <v>1061</v>
      </c>
      <c r="H171" s="1">
        <f>COUNTIF(C:G,Tabela1[[#This Row],[Liderado]])</f>
        <v>0</v>
      </c>
      <c r="I171" s="1" t="s">
        <v>328</v>
      </c>
      <c r="J171" s="1" t="s">
        <v>104</v>
      </c>
      <c r="K171" s="1" t="s">
        <v>9</v>
      </c>
      <c r="L171" s="2" t="s">
        <v>10</v>
      </c>
      <c r="M171" s="1" t="s">
        <v>11</v>
      </c>
      <c r="N171" s="2">
        <v>11024</v>
      </c>
      <c r="O171" s="1" t="s">
        <v>40</v>
      </c>
      <c r="P171" s="1" t="s">
        <v>175</v>
      </c>
      <c r="Q171" s="1" t="s">
        <v>629</v>
      </c>
      <c r="R171" s="1"/>
      <c r="S171" s="1" t="s">
        <v>692</v>
      </c>
    </row>
    <row r="172" spans="1:19" x14ac:dyDescent="0.25">
      <c r="A172" s="1" t="s">
        <v>661</v>
      </c>
      <c r="C172" s="29" t="s">
        <v>271</v>
      </c>
      <c r="D172" t="s">
        <v>280</v>
      </c>
      <c r="E172" t="s">
        <v>1061</v>
      </c>
      <c r="F172" t="s">
        <v>1061</v>
      </c>
      <c r="G172" s="1" t="s">
        <v>1061</v>
      </c>
      <c r="H172" s="1">
        <f>COUNTIF(C:G,Tabela1[[#This Row],[Liderado]])</f>
        <v>0</v>
      </c>
      <c r="I172" s="1" t="s">
        <v>330</v>
      </c>
      <c r="J172" s="1" t="s">
        <v>126</v>
      </c>
      <c r="K172" s="1" t="s">
        <v>9</v>
      </c>
      <c r="L172" s="2" t="s">
        <v>10</v>
      </c>
      <c r="M172" s="1" t="s">
        <v>11</v>
      </c>
      <c r="N172" s="2">
        <v>11024</v>
      </c>
      <c r="O172" s="1" t="s">
        <v>40</v>
      </c>
      <c r="P172" s="1" t="s">
        <v>175</v>
      </c>
      <c r="Q172" s="1" t="s">
        <v>629</v>
      </c>
      <c r="R172" s="1"/>
      <c r="S172" s="1" t="s">
        <v>692</v>
      </c>
    </row>
    <row r="173" spans="1:19" x14ac:dyDescent="0.25">
      <c r="A173" s="1" t="s">
        <v>627</v>
      </c>
      <c r="C173" s="29" t="s">
        <v>41</v>
      </c>
      <c r="D173" t="s">
        <v>38</v>
      </c>
      <c r="E173" t="s">
        <v>1061</v>
      </c>
      <c r="F173" t="s">
        <v>1061</v>
      </c>
      <c r="G173" s="1" t="s">
        <v>38</v>
      </c>
      <c r="H173" s="1">
        <f>COUNTIF(C:G,Tabela1[[#This Row],[Liderado]])</f>
        <v>0</v>
      </c>
      <c r="I173" s="1" t="s">
        <v>331</v>
      </c>
      <c r="J173" s="1" t="s">
        <v>92</v>
      </c>
      <c r="K173" s="1" t="s">
        <v>9</v>
      </c>
      <c r="L173" s="2" t="s">
        <v>10</v>
      </c>
      <c r="M173" s="1" t="s">
        <v>11</v>
      </c>
      <c r="N173" s="2">
        <v>11024</v>
      </c>
      <c r="O173" s="1" t="s">
        <v>40</v>
      </c>
      <c r="P173" s="1" t="s">
        <v>175</v>
      </c>
      <c r="Q173" s="1" t="s">
        <v>629</v>
      </c>
      <c r="R173" s="1"/>
      <c r="S173" s="1" t="s">
        <v>692</v>
      </c>
    </row>
    <row r="174" spans="1:19" x14ac:dyDescent="0.25">
      <c r="A174" s="1" t="s">
        <v>661</v>
      </c>
      <c r="C174" s="29" t="s">
        <v>271</v>
      </c>
      <c r="D174" t="s">
        <v>280</v>
      </c>
      <c r="E174" t="s">
        <v>1061</v>
      </c>
      <c r="F174" t="s">
        <v>280</v>
      </c>
      <c r="G174" s="1" t="s">
        <v>1061</v>
      </c>
      <c r="H174" s="1">
        <f>COUNTIF(C:G,Tabela1[[#This Row],[Liderado]])</f>
        <v>0</v>
      </c>
      <c r="I174" s="1" t="s">
        <v>1504</v>
      </c>
      <c r="J174" s="1" t="s">
        <v>34</v>
      </c>
      <c r="K174" s="1" t="s">
        <v>9</v>
      </c>
      <c r="L174" s="2" t="s">
        <v>10</v>
      </c>
      <c r="M174" s="1" t="s">
        <v>11</v>
      </c>
      <c r="N174" s="2">
        <v>11024</v>
      </c>
      <c r="O174" s="1" t="s">
        <v>40</v>
      </c>
      <c r="P174" s="1" t="s">
        <v>175</v>
      </c>
      <c r="Q174" s="1" t="s">
        <v>629</v>
      </c>
      <c r="R174" s="1"/>
      <c r="S174" s="1" t="s">
        <v>692</v>
      </c>
    </row>
    <row r="175" spans="1:19" x14ac:dyDescent="0.25">
      <c r="A175" s="1" t="s">
        <v>661</v>
      </c>
      <c r="C175" s="29" t="s">
        <v>271</v>
      </c>
      <c r="D175" t="s">
        <v>280</v>
      </c>
      <c r="E175" t="s">
        <v>1061</v>
      </c>
      <c r="F175" t="s">
        <v>1061</v>
      </c>
      <c r="G175" s="1" t="s">
        <v>1061</v>
      </c>
      <c r="H175" s="1">
        <f>COUNTIF(C:G,Tabela1[[#This Row],[Liderado]])</f>
        <v>0</v>
      </c>
      <c r="I175" s="1" t="s">
        <v>333</v>
      </c>
      <c r="J175" s="1" t="s">
        <v>220</v>
      </c>
      <c r="K175" s="1" t="s">
        <v>9</v>
      </c>
      <c r="L175" s="2" t="s">
        <v>10</v>
      </c>
      <c r="M175" s="1" t="s">
        <v>11</v>
      </c>
      <c r="N175" s="2">
        <v>11024</v>
      </c>
      <c r="O175" s="1" t="s">
        <v>40</v>
      </c>
      <c r="P175" s="1" t="s">
        <v>175</v>
      </c>
      <c r="Q175" s="1" t="s">
        <v>629</v>
      </c>
      <c r="R175" s="1"/>
      <c r="S175" s="1" t="s">
        <v>692</v>
      </c>
    </row>
    <row r="176" spans="1:19" x14ac:dyDescent="0.25">
      <c r="A176" s="1" t="s">
        <v>627</v>
      </c>
      <c r="C176" s="29" t="s">
        <v>71</v>
      </c>
      <c r="D176" t="s">
        <v>27</v>
      </c>
      <c r="E176" t="s">
        <v>1061</v>
      </c>
      <c r="F176" t="s">
        <v>248</v>
      </c>
      <c r="G176" s="1" t="s">
        <v>1061</v>
      </c>
      <c r="H176" s="1">
        <f>COUNTIF(C:G,Tabela1[[#This Row],[Liderado]])</f>
        <v>0</v>
      </c>
      <c r="I176" s="1" t="s">
        <v>334</v>
      </c>
      <c r="J176" s="1" t="s">
        <v>132</v>
      </c>
      <c r="K176" s="1" t="s">
        <v>9</v>
      </c>
      <c r="L176" s="2" t="s">
        <v>10</v>
      </c>
      <c r="M176" s="1" t="s">
        <v>11</v>
      </c>
      <c r="N176" s="2">
        <v>11024</v>
      </c>
      <c r="O176" s="1" t="s">
        <v>40</v>
      </c>
      <c r="P176" s="1" t="s">
        <v>175</v>
      </c>
      <c r="Q176" s="1" t="s">
        <v>629</v>
      </c>
      <c r="R176" s="1"/>
      <c r="S176" s="1" t="s">
        <v>692</v>
      </c>
    </row>
    <row r="177" spans="1:19" x14ac:dyDescent="0.25">
      <c r="A177" s="1" t="s">
        <v>627</v>
      </c>
      <c r="C177" s="29" t="s">
        <v>71</v>
      </c>
      <c r="D177" t="s">
        <v>27</v>
      </c>
      <c r="E177" t="s">
        <v>1061</v>
      </c>
      <c r="F177" t="s">
        <v>21</v>
      </c>
      <c r="G177" s="1" t="s">
        <v>1167</v>
      </c>
      <c r="H177" s="1">
        <f>COUNTIF(C:G,Tabela1[[#This Row],[Liderado]])</f>
        <v>0</v>
      </c>
      <c r="I177" s="1" t="s">
        <v>335</v>
      </c>
      <c r="J177" s="1" t="s">
        <v>126</v>
      </c>
      <c r="K177" s="1" t="s">
        <v>9</v>
      </c>
      <c r="L177" s="2" t="s">
        <v>10</v>
      </c>
      <c r="M177" s="1" t="s">
        <v>11</v>
      </c>
      <c r="N177" s="2">
        <v>11024</v>
      </c>
      <c r="O177" s="1" t="s">
        <v>40</v>
      </c>
      <c r="P177" s="1" t="s">
        <v>175</v>
      </c>
      <c r="Q177" s="1" t="s">
        <v>629</v>
      </c>
      <c r="R177" s="1"/>
      <c r="S177" s="1" t="s">
        <v>692</v>
      </c>
    </row>
    <row r="178" spans="1:19" x14ac:dyDescent="0.25">
      <c r="A178" s="1" t="s">
        <v>627</v>
      </c>
      <c r="C178" s="29" t="s">
        <v>71</v>
      </c>
      <c r="D178" t="s">
        <v>27</v>
      </c>
      <c r="E178" t="s">
        <v>1061</v>
      </c>
      <c r="F178" t="s">
        <v>248</v>
      </c>
      <c r="G178" s="1" t="s">
        <v>1061</v>
      </c>
      <c r="H178" s="1">
        <f>COUNTIF(C:G,Tabela1[[#This Row],[Liderado]])</f>
        <v>0</v>
      </c>
      <c r="I178" s="1" t="s">
        <v>336</v>
      </c>
      <c r="J178" s="1" t="s">
        <v>132</v>
      </c>
      <c r="K178" s="1" t="s">
        <v>9</v>
      </c>
      <c r="L178" s="2" t="s">
        <v>10</v>
      </c>
      <c r="M178" s="1" t="s">
        <v>11</v>
      </c>
      <c r="N178" s="2">
        <v>11024</v>
      </c>
      <c r="O178" s="1" t="s">
        <v>40</v>
      </c>
      <c r="P178" s="1" t="s">
        <v>175</v>
      </c>
      <c r="Q178" s="1" t="s">
        <v>629</v>
      </c>
      <c r="R178" s="1"/>
      <c r="S178" s="1" t="s">
        <v>692</v>
      </c>
    </row>
    <row r="179" spans="1:19" x14ac:dyDescent="0.25">
      <c r="A179" s="1" t="s">
        <v>661</v>
      </c>
      <c r="C179" s="29" t="s">
        <v>271</v>
      </c>
      <c r="D179" t="s">
        <v>280</v>
      </c>
      <c r="E179" t="s">
        <v>1061</v>
      </c>
      <c r="F179" t="s">
        <v>308</v>
      </c>
      <c r="G179" s="1" t="s">
        <v>1061</v>
      </c>
      <c r="H179" s="1">
        <f>COUNTIF(C:G,Tabela1[[#This Row],[Liderado]])</f>
        <v>0</v>
      </c>
      <c r="I179" s="1" t="s">
        <v>337</v>
      </c>
      <c r="J179" s="1" t="s">
        <v>34</v>
      </c>
      <c r="K179" s="1" t="s">
        <v>9</v>
      </c>
      <c r="L179" s="2" t="s">
        <v>10</v>
      </c>
      <c r="M179" s="1" t="s">
        <v>11</v>
      </c>
      <c r="N179" s="2">
        <v>11024</v>
      </c>
      <c r="O179" s="1" t="s">
        <v>40</v>
      </c>
      <c r="P179" s="1" t="s">
        <v>175</v>
      </c>
      <c r="Q179" s="1" t="s">
        <v>629</v>
      </c>
      <c r="R179" s="1"/>
      <c r="S179" s="1" t="s">
        <v>692</v>
      </c>
    </row>
    <row r="180" spans="1:19" x14ac:dyDescent="0.25">
      <c r="A180" s="1" t="s">
        <v>627</v>
      </c>
      <c r="C180" s="29" t="s">
        <v>71</v>
      </c>
      <c r="D180" t="s">
        <v>27</v>
      </c>
      <c r="E180" t="s">
        <v>1061</v>
      </c>
      <c r="F180" t="s">
        <v>21</v>
      </c>
      <c r="G180" s="1" t="s">
        <v>1167</v>
      </c>
      <c r="H180" s="1">
        <f>COUNTIF(C:G,Tabela1[[#This Row],[Liderado]])</f>
        <v>0</v>
      </c>
      <c r="I180" s="1" t="s">
        <v>338</v>
      </c>
      <c r="J180" s="1" t="s">
        <v>339</v>
      </c>
      <c r="K180" s="1" t="s">
        <v>9</v>
      </c>
      <c r="L180" s="2" t="s">
        <v>10</v>
      </c>
      <c r="M180" s="1" t="s">
        <v>11</v>
      </c>
      <c r="N180" s="2">
        <v>11024</v>
      </c>
      <c r="O180" s="1" t="s">
        <v>40</v>
      </c>
      <c r="P180" s="1" t="s">
        <v>175</v>
      </c>
      <c r="Q180" s="1" t="s">
        <v>629</v>
      </c>
      <c r="R180" s="1"/>
      <c r="S180" s="1" t="s">
        <v>692</v>
      </c>
    </row>
    <row r="181" spans="1:19" x14ac:dyDescent="0.25">
      <c r="A181" s="1" t="s">
        <v>627</v>
      </c>
      <c r="C181" s="29" t="s">
        <v>71</v>
      </c>
      <c r="D181" t="s">
        <v>27</v>
      </c>
      <c r="E181" t="s">
        <v>1061</v>
      </c>
      <c r="F181" t="s">
        <v>21</v>
      </c>
      <c r="G181" s="1" t="s">
        <v>1167</v>
      </c>
      <c r="H181" s="1">
        <f>COUNTIF(C:G,Tabela1[[#This Row],[Liderado]])</f>
        <v>0</v>
      </c>
      <c r="I181" s="1" t="s">
        <v>340</v>
      </c>
      <c r="J181" s="1" t="s">
        <v>126</v>
      </c>
      <c r="K181" s="1" t="s">
        <v>9</v>
      </c>
      <c r="L181" s="2" t="s">
        <v>10</v>
      </c>
      <c r="M181" s="1" t="s">
        <v>11</v>
      </c>
      <c r="N181" s="2">
        <v>11024</v>
      </c>
      <c r="O181" s="1" t="s">
        <v>40</v>
      </c>
      <c r="P181" s="1" t="s">
        <v>175</v>
      </c>
      <c r="Q181" s="1" t="s">
        <v>629</v>
      </c>
      <c r="R181" s="1"/>
      <c r="S181" s="1" t="s">
        <v>692</v>
      </c>
    </row>
    <row r="182" spans="1:19" x14ac:dyDescent="0.25">
      <c r="A182" s="1" t="s">
        <v>627</v>
      </c>
      <c r="C182" s="29" t="s">
        <v>71</v>
      </c>
      <c r="D182" t="s">
        <v>27</v>
      </c>
      <c r="E182" t="s">
        <v>1061</v>
      </c>
      <c r="F182" t="s">
        <v>21</v>
      </c>
      <c r="G182" s="1" t="s">
        <v>1167</v>
      </c>
      <c r="H182" s="1">
        <f>COUNTIF(C:G,Tabela1[[#This Row],[Liderado]])</f>
        <v>0</v>
      </c>
      <c r="I182" s="1" t="s">
        <v>341</v>
      </c>
      <c r="J182" s="1" t="s">
        <v>126</v>
      </c>
      <c r="K182" s="1" t="s">
        <v>9</v>
      </c>
      <c r="L182" s="2" t="s">
        <v>10</v>
      </c>
      <c r="M182" s="1" t="s">
        <v>11</v>
      </c>
      <c r="N182" s="2">
        <v>11024</v>
      </c>
      <c r="O182" s="1" t="s">
        <v>40</v>
      </c>
      <c r="P182" s="1" t="s">
        <v>175</v>
      </c>
      <c r="Q182" s="1" t="s">
        <v>629</v>
      </c>
      <c r="R182" s="1"/>
      <c r="S182" s="1" t="s">
        <v>692</v>
      </c>
    </row>
    <row r="183" spans="1:19" x14ac:dyDescent="0.25">
      <c r="A183" s="1" t="s">
        <v>627</v>
      </c>
      <c r="C183" s="29" t="s">
        <v>71</v>
      </c>
      <c r="D183" t="s">
        <v>27</v>
      </c>
      <c r="E183" t="s">
        <v>1061</v>
      </c>
      <c r="F183" t="s">
        <v>21</v>
      </c>
      <c r="G183" s="1" t="s">
        <v>1061</v>
      </c>
      <c r="H183" s="1">
        <f>COUNTIF(C:G,Tabela1[[#This Row],[Liderado]])</f>
        <v>0</v>
      </c>
      <c r="I183" s="1" t="s">
        <v>342</v>
      </c>
      <c r="J183" s="1" t="s">
        <v>220</v>
      </c>
      <c r="K183" s="1" t="s">
        <v>9</v>
      </c>
      <c r="L183" s="2" t="s">
        <v>10</v>
      </c>
      <c r="M183" s="1" t="s">
        <v>11</v>
      </c>
      <c r="N183" s="2">
        <v>11024</v>
      </c>
      <c r="O183" s="1" t="s">
        <v>40</v>
      </c>
      <c r="P183" s="1" t="s">
        <v>175</v>
      </c>
      <c r="Q183" s="1" t="s">
        <v>629</v>
      </c>
      <c r="R183" s="1"/>
      <c r="S183" s="1" t="s">
        <v>692</v>
      </c>
    </row>
    <row r="184" spans="1:19" x14ac:dyDescent="0.25">
      <c r="A184" s="1" t="s">
        <v>627</v>
      </c>
      <c r="C184" s="29" t="s">
        <v>71</v>
      </c>
      <c r="D184" t="s">
        <v>27</v>
      </c>
      <c r="E184" t="s">
        <v>1061</v>
      </c>
      <c r="F184" t="s">
        <v>248</v>
      </c>
      <c r="G184" s="1" t="s">
        <v>1061</v>
      </c>
      <c r="H184" s="1">
        <f>COUNTIF(C:G,Tabela1[[#This Row],[Liderado]])</f>
        <v>0</v>
      </c>
      <c r="I184" s="1" t="s">
        <v>343</v>
      </c>
      <c r="J184" s="1" t="s">
        <v>132</v>
      </c>
      <c r="K184" s="1" t="s">
        <v>9</v>
      </c>
      <c r="L184" s="2" t="s">
        <v>10</v>
      </c>
      <c r="M184" s="1" t="s">
        <v>11</v>
      </c>
      <c r="N184" s="2">
        <v>11024</v>
      </c>
      <c r="O184" s="1" t="s">
        <v>40</v>
      </c>
      <c r="P184" s="1" t="s">
        <v>175</v>
      </c>
      <c r="Q184" s="1" t="s">
        <v>629</v>
      </c>
      <c r="R184" s="1"/>
      <c r="S184" s="1" t="s">
        <v>692</v>
      </c>
    </row>
    <row r="185" spans="1:19" x14ac:dyDescent="0.25">
      <c r="A185" s="1" t="s">
        <v>661</v>
      </c>
      <c r="C185" s="29" t="s">
        <v>271</v>
      </c>
      <c r="D185" t="s">
        <v>280</v>
      </c>
      <c r="E185" t="s">
        <v>1061</v>
      </c>
      <c r="F185" t="s">
        <v>1061</v>
      </c>
      <c r="G185" s="1" t="s">
        <v>1061</v>
      </c>
      <c r="H185" s="1">
        <f>COUNTIF(C:G,Tabela1[[#This Row],[Liderado]])</f>
        <v>0</v>
      </c>
      <c r="I185" s="1" t="s">
        <v>344</v>
      </c>
      <c r="J185" s="1" t="s">
        <v>34</v>
      </c>
      <c r="K185" s="1" t="s">
        <v>9</v>
      </c>
      <c r="L185" s="2" t="s">
        <v>10</v>
      </c>
      <c r="M185" s="1" t="s">
        <v>11</v>
      </c>
      <c r="N185" s="2">
        <v>11024</v>
      </c>
      <c r="O185" s="1" t="s">
        <v>40</v>
      </c>
      <c r="P185" s="1" t="s">
        <v>175</v>
      </c>
      <c r="Q185" s="1" t="s">
        <v>629</v>
      </c>
      <c r="R185" s="1"/>
      <c r="S185" s="1" t="s">
        <v>692</v>
      </c>
    </row>
    <row r="186" spans="1:19" x14ac:dyDescent="0.25">
      <c r="A186" s="1" t="s">
        <v>658</v>
      </c>
      <c r="C186" s="29" t="s">
        <v>271</v>
      </c>
      <c r="D186" t="s">
        <v>296</v>
      </c>
      <c r="E186" t="s">
        <v>1061</v>
      </c>
      <c r="F186" t="s">
        <v>1061</v>
      </c>
      <c r="G186" s="1" t="s">
        <v>296</v>
      </c>
      <c r="H186" s="1">
        <f>COUNTIF(C:G,Tabela1[[#This Row],[Liderado]])</f>
        <v>0</v>
      </c>
      <c r="I186" s="1" t="s">
        <v>345</v>
      </c>
      <c r="J186" s="1" t="s">
        <v>126</v>
      </c>
      <c r="K186" s="1" t="s">
        <v>9</v>
      </c>
      <c r="L186" s="2" t="s">
        <v>10</v>
      </c>
      <c r="M186" s="1" t="s">
        <v>11</v>
      </c>
      <c r="N186" s="2">
        <v>11024</v>
      </c>
      <c r="O186" s="1" t="s">
        <v>40</v>
      </c>
      <c r="P186" s="1" t="s">
        <v>175</v>
      </c>
      <c r="Q186" s="1" t="s">
        <v>629</v>
      </c>
      <c r="R186" s="1"/>
      <c r="S186" s="1" t="s">
        <v>692</v>
      </c>
    </row>
    <row r="187" spans="1:19" x14ac:dyDescent="0.25">
      <c r="A187" s="1" t="s">
        <v>627</v>
      </c>
      <c r="C187" s="29" t="s">
        <v>71</v>
      </c>
      <c r="D187" t="s">
        <v>27</v>
      </c>
      <c r="E187" t="s">
        <v>1061</v>
      </c>
      <c r="F187" t="s">
        <v>21</v>
      </c>
      <c r="G187" s="1" t="s">
        <v>1167</v>
      </c>
      <c r="H187" s="1">
        <f>COUNTIF(C:G,Tabela1[[#This Row],[Liderado]])</f>
        <v>0</v>
      </c>
      <c r="I187" s="1" t="s">
        <v>347</v>
      </c>
      <c r="J187" s="1" t="s">
        <v>220</v>
      </c>
      <c r="K187" s="1" t="s">
        <v>9</v>
      </c>
      <c r="L187" s="2" t="s">
        <v>10</v>
      </c>
      <c r="M187" s="1" t="s">
        <v>11</v>
      </c>
      <c r="N187" s="2">
        <v>11024</v>
      </c>
      <c r="O187" s="1" t="s">
        <v>40</v>
      </c>
      <c r="P187" s="1" t="s">
        <v>175</v>
      </c>
      <c r="Q187" s="1" t="s">
        <v>629</v>
      </c>
      <c r="R187" s="1"/>
      <c r="S187" s="1" t="s">
        <v>692</v>
      </c>
    </row>
    <row r="188" spans="1:19" x14ac:dyDescent="0.25">
      <c r="A188" s="1" t="s">
        <v>658</v>
      </c>
      <c r="C188" s="29" t="s">
        <v>271</v>
      </c>
      <c r="D188" t="s">
        <v>296</v>
      </c>
      <c r="E188" t="s">
        <v>1061</v>
      </c>
      <c r="F188" t="s">
        <v>1061</v>
      </c>
      <c r="G188" s="1" t="s">
        <v>296</v>
      </c>
      <c r="H188" s="1">
        <f>COUNTIF(C:G,Tabela1[[#This Row],[Liderado]])</f>
        <v>0</v>
      </c>
      <c r="I188" s="1" t="s">
        <v>348</v>
      </c>
      <c r="J188" s="1" t="s">
        <v>126</v>
      </c>
      <c r="K188" s="1" t="s">
        <v>9</v>
      </c>
      <c r="L188" s="2" t="s">
        <v>10</v>
      </c>
      <c r="M188" s="1" t="s">
        <v>11</v>
      </c>
      <c r="N188" s="2">
        <v>11024</v>
      </c>
      <c r="O188" s="1" t="s">
        <v>40</v>
      </c>
      <c r="P188" s="1" t="s">
        <v>175</v>
      </c>
      <c r="Q188" s="1" t="s">
        <v>629</v>
      </c>
      <c r="R188" s="1"/>
      <c r="S188" s="1" t="s">
        <v>692</v>
      </c>
    </row>
    <row r="189" spans="1:19" x14ac:dyDescent="0.25">
      <c r="A189" s="1" t="s">
        <v>658</v>
      </c>
      <c r="C189" s="29" t="s">
        <v>271</v>
      </c>
      <c r="D189" t="s">
        <v>296</v>
      </c>
      <c r="E189" t="s">
        <v>1061</v>
      </c>
      <c r="F189" t="s">
        <v>1061</v>
      </c>
      <c r="G189" s="1" t="s">
        <v>1351</v>
      </c>
      <c r="H189" s="1">
        <f>COUNTIF(C:G,Tabela1[[#This Row],[Liderado]])</f>
        <v>0</v>
      </c>
      <c r="I189" s="1" t="s">
        <v>1536</v>
      </c>
      <c r="J189" s="1" t="s">
        <v>303</v>
      </c>
      <c r="K189" s="1" t="s">
        <v>9</v>
      </c>
      <c r="L189" s="2" t="s">
        <v>10</v>
      </c>
      <c r="M189" s="1" t="s">
        <v>11</v>
      </c>
      <c r="N189" s="2">
        <v>11024</v>
      </c>
      <c r="O189" s="1" t="s">
        <v>40</v>
      </c>
      <c r="P189" s="1" t="s">
        <v>175</v>
      </c>
      <c r="Q189" s="1" t="s">
        <v>629</v>
      </c>
      <c r="R189" s="1"/>
      <c r="S189" s="1" t="s">
        <v>692</v>
      </c>
    </row>
    <row r="190" spans="1:19" x14ac:dyDescent="0.25">
      <c r="A190" s="1" t="s">
        <v>661</v>
      </c>
      <c r="C190" s="29" t="s">
        <v>271</v>
      </c>
      <c r="D190" t="s">
        <v>280</v>
      </c>
      <c r="E190" t="s">
        <v>1061</v>
      </c>
      <c r="F190" t="s">
        <v>1061</v>
      </c>
      <c r="G190" s="1" t="s">
        <v>280</v>
      </c>
      <c r="H190" s="1">
        <f>COUNTIF(C:G,Tabela1[[#This Row],[Liderado]])</f>
        <v>0</v>
      </c>
      <c r="I190" s="1" t="s">
        <v>1540</v>
      </c>
      <c r="J190" s="1" t="s">
        <v>349</v>
      </c>
      <c r="K190" s="1" t="s">
        <v>9</v>
      </c>
      <c r="L190" s="2" t="s">
        <v>10</v>
      </c>
      <c r="M190" s="1" t="s">
        <v>11</v>
      </c>
      <c r="N190" s="2">
        <v>11024</v>
      </c>
      <c r="O190" s="1" t="s">
        <v>40</v>
      </c>
      <c r="P190" s="1" t="s">
        <v>175</v>
      </c>
      <c r="Q190" s="1" t="s">
        <v>629</v>
      </c>
      <c r="R190" s="1"/>
      <c r="S190" s="1" t="s">
        <v>692</v>
      </c>
    </row>
    <row r="191" spans="1:19" x14ac:dyDescent="0.25">
      <c r="A191" s="1" t="s">
        <v>661</v>
      </c>
      <c r="C191" s="29" t="s">
        <v>271</v>
      </c>
      <c r="D191" t="s">
        <v>280</v>
      </c>
      <c r="E191" t="s">
        <v>1061</v>
      </c>
      <c r="F191" t="s">
        <v>1061</v>
      </c>
      <c r="G191" s="1" t="s">
        <v>280</v>
      </c>
      <c r="H191" s="1">
        <f>COUNTIF(C:G,Tabela1[[#This Row],[Liderado]])</f>
        <v>0</v>
      </c>
      <c r="I191" s="1" t="s">
        <v>350</v>
      </c>
      <c r="J191" s="1" t="s">
        <v>126</v>
      </c>
      <c r="K191" s="1" t="s">
        <v>9</v>
      </c>
      <c r="L191" s="2" t="s">
        <v>10</v>
      </c>
      <c r="M191" s="1" t="s">
        <v>11</v>
      </c>
      <c r="N191" s="2">
        <v>11024</v>
      </c>
      <c r="O191" s="1" t="s">
        <v>40</v>
      </c>
      <c r="P191" s="1" t="s">
        <v>175</v>
      </c>
      <c r="Q191" s="1" t="s">
        <v>629</v>
      </c>
      <c r="R191" s="1"/>
      <c r="S191" s="1" t="s">
        <v>692</v>
      </c>
    </row>
    <row r="192" spans="1:19" x14ac:dyDescent="0.25">
      <c r="A192" s="1" t="s">
        <v>661</v>
      </c>
      <c r="C192" s="29" t="s">
        <v>271</v>
      </c>
      <c r="D192" t="s">
        <v>280</v>
      </c>
      <c r="E192" t="s">
        <v>1061</v>
      </c>
      <c r="F192" t="s">
        <v>308</v>
      </c>
      <c r="G192" s="1" t="s">
        <v>1061</v>
      </c>
      <c r="H192" s="1">
        <f>COUNTIF(C:G,Tabela1[[#This Row],[Liderado]])</f>
        <v>0</v>
      </c>
      <c r="I192" s="1" t="s">
        <v>351</v>
      </c>
      <c r="J192" s="1" t="s">
        <v>34</v>
      </c>
      <c r="K192" s="1" t="s">
        <v>9</v>
      </c>
      <c r="L192" s="2" t="s">
        <v>10</v>
      </c>
      <c r="M192" s="1" t="s">
        <v>11</v>
      </c>
      <c r="N192" s="2">
        <v>11024</v>
      </c>
      <c r="O192" s="1" t="s">
        <v>40</v>
      </c>
      <c r="P192" s="1" t="s">
        <v>175</v>
      </c>
      <c r="Q192" s="1" t="s">
        <v>629</v>
      </c>
      <c r="R192" s="1"/>
      <c r="S192" s="1" t="s">
        <v>692</v>
      </c>
    </row>
    <row r="193" spans="1:19" x14ac:dyDescent="0.25">
      <c r="A193" s="1" t="s">
        <v>658</v>
      </c>
      <c r="C193" s="29" t="s">
        <v>271</v>
      </c>
      <c r="D193" t="s">
        <v>296</v>
      </c>
      <c r="E193" t="s">
        <v>1061</v>
      </c>
      <c r="F193" t="s">
        <v>1061</v>
      </c>
      <c r="G193" s="1" t="s">
        <v>1340</v>
      </c>
      <c r="H193" s="1">
        <f>COUNTIF(C:G,Tabela1[[#This Row],[Liderado]])</f>
        <v>0</v>
      </c>
      <c r="I193" s="1" t="s">
        <v>352</v>
      </c>
      <c r="J193" s="1" t="s">
        <v>34</v>
      </c>
      <c r="K193" s="1" t="s">
        <v>9</v>
      </c>
      <c r="L193" s="2" t="s">
        <v>10</v>
      </c>
      <c r="M193" s="1" t="s">
        <v>11</v>
      </c>
      <c r="N193" s="2">
        <v>11024</v>
      </c>
      <c r="O193" s="1" t="s">
        <v>40</v>
      </c>
      <c r="P193" s="1" t="s">
        <v>175</v>
      </c>
      <c r="Q193" s="1" t="s">
        <v>629</v>
      </c>
      <c r="R193" s="1"/>
      <c r="S193" s="1" t="s">
        <v>692</v>
      </c>
    </row>
    <row r="194" spans="1:19" x14ac:dyDescent="0.25">
      <c r="A194" s="1" t="s">
        <v>627</v>
      </c>
      <c r="C194" s="29" t="s">
        <v>71</v>
      </c>
      <c r="D194" t="s">
        <v>27</v>
      </c>
      <c r="E194" t="s">
        <v>1061</v>
      </c>
      <c r="F194" t="s">
        <v>21</v>
      </c>
      <c r="G194" s="1" t="s">
        <v>1167</v>
      </c>
      <c r="H194" s="1">
        <f>COUNTIF(C:G,Tabela1[[#This Row],[Liderado]])</f>
        <v>0</v>
      </c>
      <c r="I194" s="1" t="s">
        <v>353</v>
      </c>
      <c r="J194" s="1" t="s">
        <v>339</v>
      </c>
      <c r="K194" s="1" t="s">
        <v>9</v>
      </c>
      <c r="L194" s="2" t="s">
        <v>10</v>
      </c>
      <c r="M194" s="1" t="s">
        <v>11</v>
      </c>
      <c r="N194" s="2">
        <v>11024</v>
      </c>
      <c r="O194" s="1" t="s">
        <v>40</v>
      </c>
      <c r="P194" s="1" t="s">
        <v>175</v>
      </c>
      <c r="Q194" s="1" t="s">
        <v>629</v>
      </c>
      <c r="R194" s="1"/>
      <c r="S194" s="1" t="s">
        <v>692</v>
      </c>
    </row>
    <row r="195" spans="1:19" x14ac:dyDescent="0.25">
      <c r="A195" s="1" t="s">
        <v>661</v>
      </c>
      <c r="C195" s="29" t="s">
        <v>271</v>
      </c>
      <c r="D195" t="s">
        <v>280</v>
      </c>
      <c r="E195" t="s">
        <v>1061</v>
      </c>
      <c r="F195" t="s">
        <v>1061</v>
      </c>
      <c r="G195" s="1" t="s">
        <v>280</v>
      </c>
      <c r="H195" s="1">
        <f>COUNTIF(C:G,Tabela1[[#This Row],[Liderado]])</f>
        <v>0</v>
      </c>
      <c r="I195" s="1" t="s">
        <v>354</v>
      </c>
      <c r="J195" s="1" t="s">
        <v>301</v>
      </c>
      <c r="K195" s="1" t="s">
        <v>9</v>
      </c>
      <c r="L195" s="2" t="s">
        <v>10</v>
      </c>
      <c r="M195" s="1" t="s">
        <v>11</v>
      </c>
      <c r="N195" s="2">
        <v>11024</v>
      </c>
      <c r="O195" s="1" t="s">
        <v>40</v>
      </c>
      <c r="P195" s="1" t="s">
        <v>175</v>
      </c>
      <c r="Q195" s="1" t="s">
        <v>629</v>
      </c>
      <c r="R195" s="1"/>
      <c r="S195" s="1" t="s">
        <v>692</v>
      </c>
    </row>
    <row r="196" spans="1:19" x14ac:dyDescent="0.25">
      <c r="A196" s="1" t="s">
        <v>627</v>
      </c>
      <c r="C196" s="29" t="s">
        <v>71</v>
      </c>
      <c r="D196" t="s">
        <v>27</v>
      </c>
      <c r="E196" t="s">
        <v>1061</v>
      </c>
      <c r="F196" t="s">
        <v>21</v>
      </c>
      <c r="G196" s="1" t="s">
        <v>1061</v>
      </c>
      <c r="H196" s="1">
        <f>COUNTIF(C:G,Tabela1[[#This Row],[Liderado]])</f>
        <v>0</v>
      </c>
      <c r="I196" s="1" t="s">
        <v>1557</v>
      </c>
      <c r="J196" s="1" t="s">
        <v>220</v>
      </c>
      <c r="K196" s="1" t="s">
        <v>9</v>
      </c>
      <c r="L196" s="2" t="s">
        <v>10</v>
      </c>
      <c r="M196" s="1" t="s">
        <v>11</v>
      </c>
      <c r="N196" s="2">
        <v>11024</v>
      </c>
      <c r="O196" s="1" t="s">
        <v>40</v>
      </c>
      <c r="P196" s="1" t="s">
        <v>175</v>
      </c>
      <c r="Q196" s="1" t="s">
        <v>629</v>
      </c>
      <c r="R196" s="1"/>
      <c r="S196" s="1" t="s">
        <v>692</v>
      </c>
    </row>
    <row r="197" spans="1:19" x14ac:dyDescent="0.25">
      <c r="A197" s="1" t="s">
        <v>658</v>
      </c>
      <c r="C197" s="29" t="s">
        <v>271</v>
      </c>
      <c r="D197" t="s">
        <v>296</v>
      </c>
      <c r="E197" t="s">
        <v>1061</v>
      </c>
      <c r="F197" t="s">
        <v>1061</v>
      </c>
      <c r="G197" s="1" t="s">
        <v>1340</v>
      </c>
      <c r="H197" s="1">
        <f>COUNTIF(C:G,Tabela1[[#This Row],[Liderado]])</f>
        <v>0</v>
      </c>
      <c r="I197" s="1" t="s">
        <v>355</v>
      </c>
      <c r="J197" s="1" t="s">
        <v>34</v>
      </c>
      <c r="K197" s="1" t="s">
        <v>9</v>
      </c>
      <c r="L197" s="2" t="s">
        <v>10</v>
      </c>
      <c r="M197" s="1" t="s">
        <v>11</v>
      </c>
      <c r="N197" s="2">
        <v>11024</v>
      </c>
      <c r="O197" s="1" t="s">
        <v>40</v>
      </c>
      <c r="P197" s="1" t="s">
        <v>175</v>
      </c>
      <c r="Q197" s="1" t="s">
        <v>629</v>
      </c>
      <c r="R197" s="1"/>
      <c r="S197" s="1" t="s">
        <v>692</v>
      </c>
    </row>
    <row r="198" spans="1:19" x14ac:dyDescent="0.25">
      <c r="A198" s="1" t="s">
        <v>661</v>
      </c>
      <c r="C198" s="29" t="s">
        <v>271</v>
      </c>
      <c r="D198" t="s">
        <v>280</v>
      </c>
      <c r="E198" t="s">
        <v>1061</v>
      </c>
      <c r="F198" t="s">
        <v>1061</v>
      </c>
      <c r="G198" s="1" t="s">
        <v>280</v>
      </c>
      <c r="H198" s="1">
        <f>COUNTIF(C:G,Tabela1[[#This Row],[Liderado]])</f>
        <v>0</v>
      </c>
      <c r="I198" s="1" t="s">
        <v>1564</v>
      </c>
      <c r="J198" s="1" t="s">
        <v>349</v>
      </c>
      <c r="K198" s="1" t="s">
        <v>9</v>
      </c>
      <c r="L198" s="2" t="s">
        <v>10</v>
      </c>
      <c r="M198" s="1" t="s">
        <v>11</v>
      </c>
      <c r="N198" s="2">
        <v>11024</v>
      </c>
      <c r="O198" s="1" t="s">
        <v>40</v>
      </c>
      <c r="P198" s="1" t="s">
        <v>175</v>
      </c>
      <c r="Q198" s="1" t="s">
        <v>629</v>
      </c>
      <c r="R198" s="1"/>
      <c r="S198" s="1" t="s">
        <v>692</v>
      </c>
    </row>
    <row r="199" spans="1:19" x14ac:dyDescent="0.25">
      <c r="A199" s="1" t="s">
        <v>627</v>
      </c>
      <c r="C199" s="29" t="s">
        <v>71</v>
      </c>
      <c r="D199" t="s">
        <v>27</v>
      </c>
      <c r="E199" t="s">
        <v>1061</v>
      </c>
      <c r="F199" t="s">
        <v>21</v>
      </c>
      <c r="G199" s="1" t="s">
        <v>1061</v>
      </c>
      <c r="H199" s="1">
        <f>COUNTIF(C:G,Tabela1[[#This Row],[Liderado]])</f>
        <v>0</v>
      </c>
      <c r="I199" s="1" t="s">
        <v>360</v>
      </c>
      <c r="J199" s="1" t="s">
        <v>220</v>
      </c>
      <c r="K199" s="1" t="s">
        <v>9</v>
      </c>
      <c r="L199" s="2" t="s">
        <v>10</v>
      </c>
      <c r="M199" s="1" t="s">
        <v>11</v>
      </c>
      <c r="N199" s="2">
        <v>11024</v>
      </c>
      <c r="O199" s="1" t="s">
        <v>40</v>
      </c>
      <c r="P199" s="1" t="s">
        <v>175</v>
      </c>
      <c r="Q199" s="1" t="s">
        <v>629</v>
      </c>
      <c r="R199" s="1"/>
      <c r="S199" s="1" t="s">
        <v>692</v>
      </c>
    </row>
    <row r="200" spans="1:19" x14ac:dyDescent="0.25">
      <c r="A200" s="1" t="s">
        <v>641</v>
      </c>
      <c r="C200" s="29" t="s">
        <v>71</v>
      </c>
      <c r="D200" t="s">
        <v>116</v>
      </c>
      <c r="E200" t="s">
        <v>1061</v>
      </c>
      <c r="F200" t="s">
        <v>1061</v>
      </c>
      <c r="G200" s="1" t="s">
        <v>1061</v>
      </c>
      <c r="H200" s="1">
        <f>COUNTIF(C:G,Tabela1[[#This Row],[Liderado]])</f>
        <v>0</v>
      </c>
      <c r="I200" s="1" t="s">
        <v>361</v>
      </c>
      <c r="J200" s="1" t="s">
        <v>265</v>
      </c>
      <c r="K200" s="1" t="s">
        <v>9</v>
      </c>
      <c r="L200" s="2" t="s">
        <v>10</v>
      </c>
      <c r="M200" s="1" t="s">
        <v>11</v>
      </c>
      <c r="N200" s="2">
        <v>11024</v>
      </c>
      <c r="O200" s="1" t="s">
        <v>40</v>
      </c>
      <c r="P200" s="1" t="s">
        <v>175</v>
      </c>
      <c r="Q200" s="1" t="s">
        <v>629</v>
      </c>
      <c r="R200" s="1"/>
      <c r="S200" s="1" t="s">
        <v>692</v>
      </c>
    </row>
    <row r="201" spans="1:19" x14ac:dyDescent="0.25">
      <c r="A201" s="1" t="s">
        <v>658</v>
      </c>
      <c r="C201" s="29" t="s">
        <v>271</v>
      </c>
      <c r="D201" t="s">
        <v>296</v>
      </c>
      <c r="E201" t="s">
        <v>1061</v>
      </c>
      <c r="F201" t="s">
        <v>1061</v>
      </c>
      <c r="G201" s="1" t="s">
        <v>1340</v>
      </c>
      <c r="H201" s="1">
        <f>COUNTIF(C:G,Tabela1[[#This Row],[Liderado]])</f>
        <v>0</v>
      </c>
      <c r="I201" s="1" t="s">
        <v>1572</v>
      </c>
      <c r="J201" s="1" t="s">
        <v>34</v>
      </c>
      <c r="K201" s="1" t="s">
        <v>9</v>
      </c>
      <c r="L201" s="2" t="s">
        <v>10</v>
      </c>
      <c r="M201" s="1" t="s">
        <v>11</v>
      </c>
      <c r="N201" s="2">
        <v>11024</v>
      </c>
      <c r="O201" s="1" t="s">
        <v>40</v>
      </c>
      <c r="P201" s="1" t="s">
        <v>175</v>
      </c>
      <c r="Q201" s="1" t="s">
        <v>629</v>
      </c>
      <c r="R201" s="1"/>
      <c r="S201" s="1" t="s">
        <v>692</v>
      </c>
    </row>
    <row r="202" spans="1:19" x14ac:dyDescent="0.25">
      <c r="A202" s="1" t="s">
        <v>658</v>
      </c>
      <c r="C202" s="29" t="s">
        <v>271</v>
      </c>
      <c r="D202" t="s">
        <v>296</v>
      </c>
      <c r="E202" t="s">
        <v>1061</v>
      </c>
      <c r="F202" t="s">
        <v>1061</v>
      </c>
      <c r="G202" s="1" t="s">
        <v>296</v>
      </c>
      <c r="H202" s="1">
        <f>COUNTIF(C:G,Tabela1[[#This Row],[Liderado]])</f>
        <v>0</v>
      </c>
      <c r="I202" s="1" t="s">
        <v>1575</v>
      </c>
      <c r="J202" s="1" t="s">
        <v>34</v>
      </c>
      <c r="K202" s="1" t="s">
        <v>9</v>
      </c>
      <c r="L202" s="2" t="s">
        <v>10</v>
      </c>
      <c r="M202" s="1" t="s">
        <v>11</v>
      </c>
      <c r="N202" s="2">
        <v>11024</v>
      </c>
      <c r="O202" s="1" t="s">
        <v>40</v>
      </c>
      <c r="P202" s="1" t="s">
        <v>175</v>
      </c>
      <c r="Q202" s="1" t="s">
        <v>629</v>
      </c>
      <c r="R202" s="1"/>
      <c r="S202" s="1" t="s">
        <v>692</v>
      </c>
    </row>
    <row r="203" spans="1:19" x14ac:dyDescent="0.25">
      <c r="A203" s="1" t="s">
        <v>664</v>
      </c>
      <c r="C203" s="29" t="s">
        <v>71</v>
      </c>
      <c r="D203" t="s">
        <v>1061</v>
      </c>
      <c r="E203" t="s">
        <v>1061</v>
      </c>
      <c r="F203" t="s">
        <v>1061</v>
      </c>
      <c r="G203" s="1" t="s">
        <v>1061</v>
      </c>
      <c r="H203" s="1">
        <f>COUNTIF(C:G,Tabela1[[#This Row],[Liderado]])</f>
        <v>9</v>
      </c>
      <c r="I203" s="1" t="s">
        <v>362</v>
      </c>
      <c r="J203" s="1" t="s">
        <v>189</v>
      </c>
      <c r="K203" s="1" t="s">
        <v>9</v>
      </c>
      <c r="L203" s="2" t="s">
        <v>10</v>
      </c>
      <c r="M203" s="1" t="s">
        <v>11</v>
      </c>
      <c r="N203" s="2">
        <v>11024</v>
      </c>
      <c r="O203" s="1" t="s">
        <v>40</v>
      </c>
      <c r="P203" s="1" t="s">
        <v>175</v>
      </c>
      <c r="Q203" s="1" t="s">
        <v>629</v>
      </c>
      <c r="R203" s="1"/>
      <c r="S203" s="1" t="s">
        <v>692</v>
      </c>
    </row>
    <row r="204" spans="1:19" x14ac:dyDescent="0.25">
      <c r="A204" s="1" t="s">
        <v>627</v>
      </c>
      <c r="C204" s="29" t="s">
        <v>41</v>
      </c>
      <c r="D204" t="s">
        <v>38</v>
      </c>
      <c r="E204" t="s">
        <v>1061</v>
      </c>
      <c r="F204" t="s">
        <v>32</v>
      </c>
      <c r="G204" s="1" t="s">
        <v>79</v>
      </c>
      <c r="H204" s="1">
        <f>COUNTIF(C:G,Tabela1[[#This Row],[Liderado]])</f>
        <v>0</v>
      </c>
      <c r="I204" s="1" t="s">
        <v>364</v>
      </c>
      <c r="J204" s="1" t="s">
        <v>34</v>
      </c>
      <c r="K204" s="1" t="s">
        <v>9</v>
      </c>
      <c r="L204" s="2" t="s">
        <v>10</v>
      </c>
      <c r="M204" s="1" t="s">
        <v>11</v>
      </c>
      <c r="N204" s="2">
        <v>11024</v>
      </c>
      <c r="O204" s="1" t="s">
        <v>40</v>
      </c>
      <c r="P204" s="1" t="s">
        <v>175</v>
      </c>
      <c r="Q204" s="1" t="s">
        <v>629</v>
      </c>
      <c r="R204" s="1"/>
      <c r="S204" s="1" t="s">
        <v>692</v>
      </c>
    </row>
    <row r="205" spans="1:19" x14ac:dyDescent="0.25">
      <c r="A205" s="1" t="s">
        <v>658</v>
      </c>
      <c r="C205" s="29" t="s">
        <v>271</v>
      </c>
      <c r="D205" t="s">
        <v>296</v>
      </c>
      <c r="E205" t="s">
        <v>1061</v>
      </c>
      <c r="F205" t="s">
        <v>1327</v>
      </c>
      <c r="G205" s="1" t="s">
        <v>1061</v>
      </c>
      <c r="H205" s="1">
        <f>COUNTIF(C:G,Tabela1[[#This Row],[Liderado]])</f>
        <v>0</v>
      </c>
      <c r="I205" s="1" t="s">
        <v>1583</v>
      </c>
      <c r="J205" s="1" t="s">
        <v>34</v>
      </c>
      <c r="K205" s="1" t="s">
        <v>9</v>
      </c>
      <c r="L205" s="2" t="s">
        <v>10</v>
      </c>
      <c r="M205" s="1" t="s">
        <v>11</v>
      </c>
      <c r="N205" s="2">
        <v>11024</v>
      </c>
      <c r="O205" s="1" t="s">
        <v>40</v>
      </c>
      <c r="P205" s="1" t="s">
        <v>175</v>
      </c>
      <c r="Q205" s="1" t="s">
        <v>629</v>
      </c>
      <c r="R205" s="1"/>
      <c r="S205" s="1" t="s">
        <v>692</v>
      </c>
    </row>
    <row r="206" spans="1:19" x14ac:dyDescent="0.25">
      <c r="A206" s="1" t="s">
        <v>627</v>
      </c>
      <c r="C206" s="29" t="s">
        <v>41</v>
      </c>
      <c r="D206" t="s">
        <v>38</v>
      </c>
      <c r="E206" t="s">
        <v>1061</v>
      </c>
      <c r="F206" t="s">
        <v>1061</v>
      </c>
      <c r="G206" s="1" t="s">
        <v>38</v>
      </c>
      <c r="H206" s="1">
        <f>COUNTIF(C:G,Tabela1[[#This Row],[Liderado]])</f>
        <v>0</v>
      </c>
      <c r="I206" s="1" t="s">
        <v>365</v>
      </c>
      <c r="J206" s="1" t="s">
        <v>301</v>
      </c>
      <c r="K206" s="1" t="s">
        <v>9</v>
      </c>
      <c r="L206" s="2" t="s">
        <v>10</v>
      </c>
      <c r="M206" s="1" t="s">
        <v>11</v>
      </c>
      <c r="N206" s="2">
        <v>11024</v>
      </c>
      <c r="O206" s="1" t="s">
        <v>40</v>
      </c>
      <c r="P206" s="1" t="s">
        <v>175</v>
      </c>
      <c r="Q206" s="1" t="s">
        <v>629</v>
      </c>
      <c r="R206" s="1"/>
      <c r="S206" s="1" t="s">
        <v>692</v>
      </c>
    </row>
    <row r="207" spans="1:19" x14ac:dyDescent="0.25">
      <c r="A207" s="1" t="s">
        <v>658</v>
      </c>
      <c r="C207" s="29" t="s">
        <v>271</v>
      </c>
      <c r="D207" t="s">
        <v>296</v>
      </c>
      <c r="E207" t="s">
        <v>1061</v>
      </c>
      <c r="F207" t="s">
        <v>1061</v>
      </c>
      <c r="G207" s="1" t="s">
        <v>296</v>
      </c>
      <c r="H207" s="1">
        <f>COUNTIF(C:G,Tabela1[[#This Row],[Liderado]])</f>
        <v>0</v>
      </c>
      <c r="I207" s="1" t="s">
        <v>366</v>
      </c>
      <c r="J207" s="1" t="s">
        <v>220</v>
      </c>
      <c r="K207" s="1" t="s">
        <v>9</v>
      </c>
      <c r="L207" s="2" t="s">
        <v>10</v>
      </c>
      <c r="M207" s="1" t="s">
        <v>11</v>
      </c>
      <c r="N207" s="2">
        <v>11024</v>
      </c>
      <c r="O207" s="1" t="s">
        <v>40</v>
      </c>
      <c r="P207" s="1" t="s">
        <v>175</v>
      </c>
      <c r="Q207" s="1" t="s">
        <v>629</v>
      </c>
      <c r="R207" s="1"/>
      <c r="S207" s="1" t="s">
        <v>692</v>
      </c>
    </row>
    <row r="208" spans="1:19" x14ac:dyDescent="0.25">
      <c r="A208" s="1" t="s">
        <v>627</v>
      </c>
      <c r="C208" s="29" t="s">
        <v>41</v>
      </c>
      <c r="D208" t="s">
        <v>38</v>
      </c>
      <c r="E208" t="s">
        <v>1061</v>
      </c>
      <c r="F208" t="s">
        <v>1061</v>
      </c>
      <c r="G208" s="1" t="s">
        <v>38</v>
      </c>
      <c r="H208" s="1">
        <f>COUNTIF(C:G,Tabela1[[#This Row],[Liderado]])</f>
        <v>0</v>
      </c>
      <c r="I208" s="1" t="s">
        <v>368</v>
      </c>
      <c r="J208" s="1" t="s">
        <v>301</v>
      </c>
      <c r="K208" s="1" t="s">
        <v>9</v>
      </c>
      <c r="L208" s="2" t="s">
        <v>10</v>
      </c>
      <c r="M208" s="1" t="s">
        <v>11</v>
      </c>
      <c r="N208" s="2">
        <v>11024</v>
      </c>
      <c r="O208" s="1" t="s">
        <v>40</v>
      </c>
      <c r="P208" s="1" t="s">
        <v>175</v>
      </c>
      <c r="Q208" s="1" t="s">
        <v>629</v>
      </c>
      <c r="R208" s="1"/>
      <c r="S208" s="1" t="s">
        <v>692</v>
      </c>
    </row>
    <row r="209" spans="1:19" x14ac:dyDescent="0.25">
      <c r="A209" s="1" t="s">
        <v>658</v>
      </c>
      <c r="C209" s="29" t="s">
        <v>271</v>
      </c>
      <c r="D209" t="s">
        <v>296</v>
      </c>
      <c r="E209" t="s">
        <v>1061</v>
      </c>
      <c r="F209" t="s">
        <v>1061</v>
      </c>
      <c r="G209" s="1" t="s">
        <v>296</v>
      </c>
      <c r="H209" s="1">
        <f>COUNTIF(C:G,Tabela1[[#This Row],[Liderado]])</f>
        <v>0</v>
      </c>
      <c r="I209" s="1" t="s">
        <v>1595</v>
      </c>
      <c r="J209" s="1" t="s">
        <v>1597</v>
      </c>
      <c r="K209" s="1" t="s">
        <v>9</v>
      </c>
      <c r="L209" s="2" t="s">
        <v>10</v>
      </c>
      <c r="M209" s="1" t="s">
        <v>11</v>
      </c>
      <c r="N209" s="2">
        <v>11024</v>
      </c>
      <c r="O209" s="1" t="s">
        <v>40</v>
      </c>
      <c r="P209" s="1" t="s">
        <v>175</v>
      </c>
      <c r="Q209" s="1" t="s">
        <v>629</v>
      </c>
      <c r="R209" s="1"/>
      <c r="S209" s="1" t="s">
        <v>692</v>
      </c>
    </row>
    <row r="210" spans="1:19" x14ac:dyDescent="0.25">
      <c r="A210" s="1" t="s">
        <v>658</v>
      </c>
      <c r="C210" s="29" t="s">
        <v>271</v>
      </c>
      <c r="D210" t="s">
        <v>296</v>
      </c>
      <c r="E210" t="s">
        <v>1061</v>
      </c>
      <c r="F210" t="s">
        <v>1061</v>
      </c>
      <c r="G210" s="1" t="s">
        <v>1340</v>
      </c>
      <c r="H210" s="1">
        <f>COUNTIF(C:G,Tabela1[[#This Row],[Liderado]])</f>
        <v>0</v>
      </c>
      <c r="I210" s="1" t="s">
        <v>1603</v>
      </c>
      <c r="J210" s="1" t="s">
        <v>34</v>
      </c>
      <c r="K210" s="1" t="s">
        <v>9</v>
      </c>
      <c r="L210" s="2" t="s">
        <v>10</v>
      </c>
      <c r="M210" s="1" t="s">
        <v>11</v>
      </c>
      <c r="N210" s="2">
        <v>11024</v>
      </c>
      <c r="O210" s="1" t="s">
        <v>40</v>
      </c>
      <c r="P210" s="1" t="s">
        <v>175</v>
      </c>
      <c r="Q210" s="1" t="s">
        <v>629</v>
      </c>
      <c r="R210" s="1"/>
      <c r="S210" s="1" t="s">
        <v>692</v>
      </c>
    </row>
    <row r="211" spans="1:19" x14ac:dyDescent="0.25">
      <c r="A211" s="1" t="s">
        <v>627</v>
      </c>
      <c r="C211" s="29" t="s">
        <v>41</v>
      </c>
      <c r="D211" t="s">
        <v>38</v>
      </c>
      <c r="E211" t="s">
        <v>37</v>
      </c>
      <c r="F211" t="s">
        <v>1061</v>
      </c>
      <c r="G211" s="1" t="s">
        <v>259</v>
      </c>
      <c r="H211" s="1">
        <f>COUNTIF(C:G,Tabela1[[#This Row],[Liderado]])</f>
        <v>0</v>
      </c>
      <c r="I211" s="1" t="s">
        <v>369</v>
      </c>
      <c r="J211" s="1" t="s">
        <v>34</v>
      </c>
      <c r="K211" s="1" t="s">
        <v>9</v>
      </c>
      <c r="L211" s="2" t="s">
        <v>10</v>
      </c>
      <c r="M211" s="1" t="s">
        <v>11</v>
      </c>
      <c r="N211" s="2">
        <v>11024</v>
      </c>
      <c r="O211" s="1" t="s">
        <v>40</v>
      </c>
      <c r="P211" s="1" t="s">
        <v>175</v>
      </c>
      <c r="Q211" s="1" t="s">
        <v>629</v>
      </c>
      <c r="R211" s="1"/>
      <c r="S211" s="1" t="s">
        <v>692</v>
      </c>
    </row>
    <row r="212" spans="1:19" x14ac:dyDescent="0.25">
      <c r="A212" s="1" t="s">
        <v>627</v>
      </c>
      <c r="C212" s="29" t="s">
        <v>71</v>
      </c>
      <c r="D212" t="s">
        <v>27</v>
      </c>
      <c r="E212" t="s">
        <v>1061</v>
      </c>
      <c r="F212" t="s">
        <v>21</v>
      </c>
      <c r="G212" s="1" t="s">
        <v>1061</v>
      </c>
      <c r="H212" s="1">
        <f>COUNTIF(C:G,Tabela1[[#This Row],[Liderado]])</f>
        <v>0</v>
      </c>
      <c r="I212" s="1" t="s">
        <v>370</v>
      </c>
      <c r="J212" s="1" t="s">
        <v>220</v>
      </c>
      <c r="K212" s="1" t="s">
        <v>9</v>
      </c>
      <c r="L212" s="2" t="s">
        <v>10</v>
      </c>
      <c r="M212" s="1" t="s">
        <v>11</v>
      </c>
      <c r="N212" s="2">
        <v>11024</v>
      </c>
      <c r="O212" s="1" t="s">
        <v>40</v>
      </c>
      <c r="P212" s="1" t="s">
        <v>175</v>
      </c>
      <c r="Q212" s="1" t="s">
        <v>629</v>
      </c>
      <c r="R212" s="1"/>
      <c r="S212" s="1" t="s">
        <v>692</v>
      </c>
    </row>
    <row r="213" spans="1:19" x14ac:dyDescent="0.25">
      <c r="A213" s="1" t="s">
        <v>627</v>
      </c>
      <c r="C213" s="29" t="s">
        <v>71</v>
      </c>
      <c r="D213" t="s">
        <v>27</v>
      </c>
      <c r="E213" t="s">
        <v>1061</v>
      </c>
      <c r="F213" t="s">
        <v>21</v>
      </c>
      <c r="G213" s="1" t="s">
        <v>1061</v>
      </c>
      <c r="H213" s="1">
        <f>COUNTIF(C:G,Tabela1[[#This Row],[Liderado]])</f>
        <v>0</v>
      </c>
      <c r="I213" s="1" t="s">
        <v>371</v>
      </c>
      <c r="J213" s="1" t="s">
        <v>220</v>
      </c>
      <c r="K213" s="1" t="s">
        <v>9</v>
      </c>
      <c r="L213" s="2" t="s">
        <v>10</v>
      </c>
      <c r="M213" s="1" t="s">
        <v>11</v>
      </c>
      <c r="N213" s="2">
        <v>11024</v>
      </c>
      <c r="O213" s="1" t="s">
        <v>40</v>
      </c>
      <c r="P213" s="1" t="s">
        <v>175</v>
      </c>
      <c r="Q213" s="1" t="s">
        <v>629</v>
      </c>
      <c r="R213" s="1"/>
      <c r="S213" s="1" t="s">
        <v>692</v>
      </c>
    </row>
    <row r="214" spans="1:19" x14ac:dyDescent="0.25">
      <c r="A214" s="1" t="s">
        <v>627</v>
      </c>
      <c r="C214" s="29" t="s">
        <v>71</v>
      </c>
      <c r="D214" t="s">
        <v>27</v>
      </c>
      <c r="E214" t="s">
        <v>1061</v>
      </c>
      <c r="F214" t="s">
        <v>50</v>
      </c>
      <c r="G214" s="1" t="s">
        <v>1061</v>
      </c>
      <c r="H214" s="1">
        <f>COUNTIF(C:G,Tabela1[[#This Row],[Liderado]])</f>
        <v>0</v>
      </c>
      <c r="I214" s="1" t="s">
        <v>372</v>
      </c>
      <c r="J214" s="1" t="s">
        <v>34</v>
      </c>
      <c r="K214" s="1" t="s">
        <v>9</v>
      </c>
      <c r="L214" s="2" t="s">
        <v>10</v>
      </c>
      <c r="M214" s="1" t="s">
        <v>11</v>
      </c>
      <c r="N214" s="2">
        <v>11024</v>
      </c>
      <c r="O214" s="1" t="s">
        <v>40</v>
      </c>
      <c r="P214" s="1" t="s">
        <v>175</v>
      </c>
      <c r="Q214" s="1" t="s">
        <v>629</v>
      </c>
      <c r="R214" s="1"/>
      <c r="S214" s="1" t="s">
        <v>692</v>
      </c>
    </row>
    <row r="215" spans="1:19" x14ac:dyDescent="0.25">
      <c r="A215" s="1" t="s">
        <v>641</v>
      </c>
      <c r="C215" s="29" t="s">
        <v>71</v>
      </c>
      <c r="D215" t="s">
        <v>116</v>
      </c>
      <c r="E215" t="s">
        <v>1061</v>
      </c>
      <c r="F215" t="s">
        <v>1061</v>
      </c>
      <c r="G215" s="1" t="s">
        <v>1061</v>
      </c>
      <c r="H215" s="1">
        <f>COUNTIF(C:G,Tabela1[[#This Row],[Liderado]])</f>
        <v>0</v>
      </c>
      <c r="I215" s="1" t="s">
        <v>1610</v>
      </c>
      <c r="J215" s="1" t="s">
        <v>34</v>
      </c>
      <c r="K215" s="1" t="s">
        <v>9</v>
      </c>
      <c r="L215" s="2" t="s">
        <v>10</v>
      </c>
      <c r="M215" s="1" t="s">
        <v>11</v>
      </c>
      <c r="N215" s="2">
        <v>11024</v>
      </c>
      <c r="O215" s="1" t="s">
        <v>40</v>
      </c>
      <c r="P215" s="1" t="s">
        <v>175</v>
      </c>
      <c r="Q215" s="1" t="s">
        <v>629</v>
      </c>
      <c r="R215" s="1"/>
      <c r="S215" s="1" t="s">
        <v>692</v>
      </c>
    </row>
    <row r="216" spans="1:19" x14ac:dyDescent="0.25">
      <c r="A216" s="1" t="s">
        <v>658</v>
      </c>
      <c r="C216" s="29" t="s">
        <v>271</v>
      </c>
      <c r="D216" t="s">
        <v>296</v>
      </c>
      <c r="E216" t="s">
        <v>1061</v>
      </c>
      <c r="F216" t="s">
        <v>1327</v>
      </c>
      <c r="G216" s="1" t="s">
        <v>1061</v>
      </c>
      <c r="H216" s="1">
        <f>COUNTIF(C:G,Tabela1[[#This Row],[Liderado]])</f>
        <v>0</v>
      </c>
      <c r="I216" s="1" t="s">
        <v>1613</v>
      </c>
      <c r="J216" s="1" t="s">
        <v>34</v>
      </c>
      <c r="K216" s="1" t="s">
        <v>9</v>
      </c>
      <c r="L216" s="2" t="s">
        <v>10</v>
      </c>
      <c r="M216" s="1" t="s">
        <v>11</v>
      </c>
      <c r="N216" s="2">
        <v>11024</v>
      </c>
      <c r="O216" s="1" t="s">
        <v>40</v>
      </c>
      <c r="P216" s="1" t="s">
        <v>175</v>
      </c>
      <c r="Q216" s="1" t="s">
        <v>629</v>
      </c>
      <c r="R216" s="1"/>
      <c r="S216" s="1" t="s">
        <v>692</v>
      </c>
    </row>
    <row r="217" spans="1:19" x14ac:dyDescent="0.25">
      <c r="A217" s="1" t="s">
        <v>627</v>
      </c>
      <c r="C217" s="29" t="s">
        <v>41</v>
      </c>
      <c r="D217" t="s">
        <v>38</v>
      </c>
      <c r="E217" t="s">
        <v>1061</v>
      </c>
      <c r="F217" t="s">
        <v>1061</v>
      </c>
      <c r="G217" s="1" t="s">
        <v>38</v>
      </c>
      <c r="H217" s="1">
        <f>COUNTIF(C:G,Tabela1[[#This Row],[Liderado]])</f>
        <v>0</v>
      </c>
      <c r="I217" s="1" t="s">
        <v>373</v>
      </c>
      <c r="J217" s="1" t="s">
        <v>301</v>
      </c>
      <c r="K217" s="1" t="s">
        <v>9</v>
      </c>
      <c r="L217" s="2" t="s">
        <v>10</v>
      </c>
      <c r="M217" s="1" t="s">
        <v>11</v>
      </c>
      <c r="N217" s="2">
        <v>11024</v>
      </c>
      <c r="O217" s="1" t="s">
        <v>40</v>
      </c>
      <c r="P217" s="1" t="s">
        <v>175</v>
      </c>
      <c r="Q217" s="1" t="s">
        <v>629</v>
      </c>
      <c r="R217" s="1"/>
      <c r="S217" s="1" t="s">
        <v>692</v>
      </c>
    </row>
    <row r="218" spans="1:19" x14ac:dyDescent="0.25">
      <c r="A218" s="1" t="s">
        <v>627</v>
      </c>
      <c r="C218" s="29" t="s">
        <v>41</v>
      </c>
      <c r="D218" t="s">
        <v>38</v>
      </c>
      <c r="E218" t="s">
        <v>1061</v>
      </c>
      <c r="F218" t="s">
        <v>32</v>
      </c>
      <c r="G218" s="1" t="s">
        <v>79</v>
      </c>
      <c r="H218" s="1">
        <f>COUNTIF(C:G,Tabela1[[#This Row],[Liderado]])</f>
        <v>0</v>
      </c>
      <c r="I218" s="1" t="s">
        <v>374</v>
      </c>
      <c r="J218" s="1" t="s">
        <v>34</v>
      </c>
      <c r="K218" s="1" t="s">
        <v>9</v>
      </c>
      <c r="L218" s="2" t="s">
        <v>10</v>
      </c>
      <c r="M218" s="1" t="s">
        <v>11</v>
      </c>
      <c r="N218" s="2">
        <v>11024</v>
      </c>
      <c r="O218" s="1" t="s">
        <v>40</v>
      </c>
      <c r="P218" s="1" t="s">
        <v>175</v>
      </c>
      <c r="Q218" s="1" t="s">
        <v>629</v>
      </c>
      <c r="R218" s="1"/>
      <c r="S218" s="1" t="s">
        <v>692</v>
      </c>
    </row>
    <row r="219" spans="1:19" x14ac:dyDescent="0.25">
      <c r="A219" s="1" t="s">
        <v>627</v>
      </c>
      <c r="C219" s="29" t="s">
        <v>41</v>
      </c>
      <c r="D219" t="s">
        <v>38</v>
      </c>
      <c r="E219" t="s">
        <v>1061</v>
      </c>
      <c r="F219" t="s">
        <v>32</v>
      </c>
      <c r="G219" s="1" t="s">
        <v>79</v>
      </c>
      <c r="H219" s="1">
        <f>COUNTIF(C:G,Tabela1[[#This Row],[Liderado]])</f>
        <v>0</v>
      </c>
      <c r="I219" s="1" t="s">
        <v>375</v>
      </c>
      <c r="J219" s="1" t="s">
        <v>34</v>
      </c>
      <c r="K219" s="1" t="s">
        <v>9</v>
      </c>
      <c r="L219" s="2" t="s">
        <v>10</v>
      </c>
      <c r="M219" s="1" t="s">
        <v>11</v>
      </c>
      <c r="N219" s="2">
        <v>11024</v>
      </c>
      <c r="O219" s="1" t="s">
        <v>40</v>
      </c>
      <c r="P219" s="1" t="s">
        <v>175</v>
      </c>
      <c r="Q219" s="1" t="s">
        <v>629</v>
      </c>
      <c r="R219" s="1"/>
      <c r="S219" s="1" t="s">
        <v>692</v>
      </c>
    </row>
    <row r="220" spans="1:19" x14ac:dyDescent="0.25">
      <c r="A220" s="1" t="s">
        <v>627</v>
      </c>
      <c r="C220" s="29" t="s">
        <v>41</v>
      </c>
      <c r="D220" t="s">
        <v>38</v>
      </c>
      <c r="E220" t="s">
        <v>37</v>
      </c>
      <c r="F220" t="s">
        <v>1061</v>
      </c>
      <c r="G220" s="1" t="s">
        <v>490</v>
      </c>
      <c r="H220" s="1">
        <f>COUNTIF(C:G,Tabela1[[#This Row],[Liderado]])</f>
        <v>0</v>
      </c>
      <c r="I220" s="1" t="s">
        <v>376</v>
      </c>
      <c r="J220" s="1" t="s">
        <v>34</v>
      </c>
      <c r="K220" s="1" t="s">
        <v>9</v>
      </c>
      <c r="L220" s="2" t="s">
        <v>10</v>
      </c>
      <c r="M220" s="1" t="s">
        <v>11</v>
      </c>
      <c r="N220" s="2">
        <v>11024</v>
      </c>
      <c r="O220" s="1" t="s">
        <v>40</v>
      </c>
      <c r="P220" s="1" t="s">
        <v>175</v>
      </c>
      <c r="Q220" s="1" t="s">
        <v>629</v>
      </c>
      <c r="R220" s="1"/>
      <c r="S220" s="1" t="s">
        <v>692</v>
      </c>
    </row>
    <row r="221" spans="1:19" x14ac:dyDescent="0.25">
      <c r="A221" s="1" t="s">
        <v>627</v>
      </c>
      <c r="C221" s="29" t="s">
        <v>71</v>
      </c>
      <c r="D221" t="s">
        <v>27</v>
      </c>
      <c r="E221" t="s">
        <v>1061</v>
      </c>
      <c r="F221" t="s">
        <v>21</v>
      </c>
      <c r="G221" s="1" t="s">
        <v>1061</v>
      </c>
      <c r="H221" s="1">
        <f>COUNTIF(C:G,Tabela1[[#This Row],[Liderado]])</f>
        <v>0</v>
      </c>
      <c r="I221" s="1" t="s">
        <v>377</v>
      </c>
      <c r="J221" s="1" t="s">
        <v>220</v>
      </c>
      <c r="K221" s="1" t="s">
        <v>9</v>
      </c>
      <c r="L221" s="2" t="s">
        <v>10</v>
      </c>
      <c r="M221" s="1" t="s">
        <v>11</v>
      </c>
      <c r="N221" s="2">
        <v>11024</v>
      </c>
      <c r="O221" s="1" t="s">
        <v>40</v>
      </c>
      <c r="P221" s="1" t="s">
        <v>175</v>
      </c>
      <c r="Q221" s="1" t="s">
        <v>629</v>
      </c>
      <c r="R221" s="1"/>
      <c r="S221" s="1" t="s">
        <v>692</v>
      </c>
    </row>
    <row r="222" spans="1:19" x14ac:dyDescent="0.25">
      <c r="A222" s="1" t="s">
        <v>627</v>
      </c>
      <c r="C222" s="29" t="s">
        <v>71</v>
      </c>
      <c r="D222" t="s">
        <v>27</v>
      </c>
      <c r="E222" t="s">
        <v>1061</v>
      </c>
      <c r="F222" t="s">
        <v>248</v>
      </c>
      <c r="G222" s="1" t="s">
        <v>1061</v>
      </c>
      <c r="H222" s="1">
        <f>COUNTIF(C:G,Tabela1[[#This Row],[Liderado]])</f>
        <v>0</v>
      </c>
      <c r="I222" s="1" t="s">
        <v>378</v>
      </c>
      <c r="J222" s="1" t="s">
        <v>92</v>
      </c>
      <c r="K222" s="1" t="s">
        <v>9</v>
      </c>
      <c r="L222" s="2" t="s">
        <v>10</v>
      </c>
      <c r="M222" s="1" t="s">
        <v>11</v>
      </c>
      <c r="N222" s="2">
        <v>11024</v>
      </c>
      <c r="O222" s="1" t="s">
        <v>40</v>
      </c>
      <c r="P222" s="1" t="s">
        <v>175</v>
      </c>
      <c r="Q222" s="1" t="s">
        <v>629</v>
      </c>
      <c r="R222" s="1"/>
      <c r="S222" s="1" t="s">
        <v>692</v>
      </c>
    </row>
    <row r="223" spans="1:19" x14ac:dyDescent="0.25">
      <c r="A223" s="1" t="s">
        <v>627</v>
      </c>
      <c r="C223" s="29" t="s">
        <v>41</v>
      </c>
      <c r="D223" t="s">
        <v>38</v>
      </c>
      <c r="E223" t="s">
        <v>1061</v>
      </c>
      <c r="F223" t="s">
        <v>1061</v>
      </c>
      <c r="G223" s="1" t="s">
        <v>38</v>
      </c>
      <c r="H223" s="1">
        <f>COUNTIF(C:G,Tabela1[[#This Row],[Liderado]])</f>
        <v>0</v>
      </c>
      <c r="I223" s="1" t="s">
        <v>379</v>
      </c>
      <c r="J223" s="1" t="s">
        <v>92</v>
      </c>
      <c r="K223" s="1" t="s">
        <v>9</v>
      </c>
      <c r="L223" s="2" t="s">
        <v>10</v>
      </c>
      <c r="M223" s="1" t="s">
        <v>11</v>
      </c>
      <c r="N223" s="2">
        <v>11024</v>
      </c>
      <c r="O223" s="1" t="s">
        <v>40</v>
      </c>
      <c r="P223" s="1" t="s">
        <v>175</v>
      </c>
      <c r="Q223" s="1" t="s">
        <v>629</v>
      </c>
      <c r="R223" s="1"/>
      <c r="S223" s="1" t="s">
        <v>692</v>
      </c>
    </row>
    <row r="224" spans="1:19" x14ac:dyDescent="0.25">
      <c r="A224" s="1" t="s">
        <v>664</v>
      </c>
      <c r="C224" s="29" t="s">
        <v>71</v>
      </c>
      <c r="D224" t="s">
        <v>1061</v>
      </c>
      <c r="E224" t="s">
        <v>1061</v>
      </c>
      <c r="F224" t="s">
        <v>1061</v>
      </c>
      <c r="G224" s="1" t="s">
        <v>1061</v>
      </c>
      <c r="H224" s="1">
        <f>COUNTIF(C:G,Tabela1[[#This Row],[Liderado]])</f>
        <v>19</v>
      </c>
      <c r="I224" s="1" t="s">
        <v>380</v>
      </c>
      <c r="J224" s="1" t="s">
        <v>381</v>
      </c>
      <c r="K224" s="1" t="s">
        <v>9</v>
      </c>
      <c r="L224" s="2" t="s">
        <v>10</v>
      </c>
      <c r="M224" s="1" t="s">
        <v>11</v>
      </c>
      <c r="N224" s="2">
        <v>11024</v>
      </c>
      <c r="O224" s="1" t="s">
        <v>40</v>
      </c>
      <c r="P224" s="1" t="s">
        <v>175</v>
      </c>
      <c r="Q224" s="1" t="s">
        <v>629</v>
      </c>
      <c r="R224" s="1"/>
      <c r="S224" s="1" t="s">
        <v>692</v>
      </c>
    </row>
    <row r="225" spans="1:19" x14ac:dyDescent="0.25">
      <c r="A225" s="1" t="s">
        <v>666</v>
      </c>
      <c r="C225" s="29" t="s">
        <v>71</v>
      </c>
      <c r="D225" t="s">
        <v>27</v>
      </c>
      <c r="E225" t="s">
        <v>1061</v>
      </c>
      <c r="F225" t="s">
        <v>1061</v>
      </c>
      <c r="G225" s="1" t="s">
        <v>1061</v>
      </c>
      <c r="H225" s="1">
        <f>COUNTIF(C:G,Tabela1[[#This Row],[Liderado]])</f>
        <v>0</v>
      </c>
      <c r="I225" s="1" t="s">
        <v>385</v>
      </c>
      <c r="J225" s="1" t="s">
        <v>104</v>
      </c>
      <c r="K225" s="1" t="s">
        <v>9</v>
      </c>
      <c r="L225" s="2" t="s">
        <v>10</v>
      </c>
      <c r="M225" s="1" t="s">
        <v>11</v>
      </c>
      <c r="N225" s="2">
        <v>11024</v>
      </c>
      <c r="O225" s="1" t="s">
        <v>40</v>
      </c>
      <c r="P225" s="1" t="s">
        <v>175</v>
      </c>
      <c r="Q225" s="1" t="s">
        <v>629</v>
      </c>
      <c r="R225" s="1"/>
      <c r="S225" s="1" t="s">
        <v>692</v>
      </c>
    </row>
    <row r="226" spans="1:19" x14ac:dyDescent="0.25">
      <c r="A226" s="1" t="s">
        <v>664</v>
      </c>
      <c r="C226" s="29" t="s">
        <v>71</v>
      </c>
      <c r="D226" t="s">
        <v>380</v>
      </c>
      <c r="E226" t="s">
        <v>1061</v>
      </c>
      <c r="F226" t="s">
        <v>1061</v>
      </c>
      <c r="G226" s="1" t="s">
        <v>1061</v>
      </c>
      <c r="H226" s="1">
        <f>COUNTIF(C:G,Tabela1[[#This Row],[Liderado]])</f>
        <v>0</v>
      </c>
      <c r="I226" s="1" t="s">
        <v>387</v>
      </c>
      <c r="J226" s="1" t="s">
        <v>388</v>
      </c>
      <c r="K226" s="1" t="s">
        <v>9</v>
      </c>
      <c r="L226" s="2" t="s">
        <v>10</v>
      </c>
      <c r="M226" s="1" t="s">
        <v>11</v>
      </c>
      <c r="N226" s="2">
        <v>11024</v>
      </c>
      <c r="O226" s="1" t="s">
        <v>40</v>
      </c>
      <c r="P226" s="1" t="s">
        <v>175</v>
      </c>
      <c r="Q226" s="1" t="s">
        <v>629</v>
      </c>
      <c r="R226" s="1"/>
      <c r="S226" s="1" t="s">
        <v>692</v>
      </c>
    </row>
    <row r="227" spans="1:19" x14ac:dyDescent="0.25">
      <c r="A227" s="1" t="s">
        <v>664</v>
      </c>
      <c r="C227" s="29" t="s">
        <v>71</v>
      </c>
      <c r="D227" t="s">
        <v>362</v>
      </c>
      <c r="E227" t="s">
        <v>1061</v>
      </c>
      <c r="F227" t="s">
        <v>1061</v>
      </c>
      <c r="G227" s="1" t="s">
        <v>1061</v>
      </c>
      <c r="H227" s="1">
        <f>COUNTIF(C:G,Tabela1[[#This Row],[Liderado]])</f>
        <v>0</v>
      </c>
      <c r="I227" s="1" t="s">
        <v>391</v>
      </c>
      <c r="J227" s="1" t="s">
        <v>388</v>
      </c>
      <c r="K227" s="1" t="s">
        <v>9</v>
      </c>
      <c r="L227" s="2" t="s">
        <v>10</v>
      </c>
      <c r="M227" s="1" t="s">
        <v>11</v>
      </c>
      <c r="N227" s="2">
        <v>11024</v>
      </c>
      <c r="O227" s="1" t="s">
        <v>40</v>
      </c>
      <c r="P227" s="1" t="s">
        <v>175</v>
      </c>
      <c r="Q227" s="1" t="s">
        <v>629</v>
      </c>
      <c r="R227" s="1"/>
      <c r="S227" s="1" t="s">
        <v>692</v>
      </c>
    </row>
    <row r="228" spans="1:19" x14ac:dyDescent="0.25">
      <c r="A228" s="1" t="s">
        <v>664</v>
      </c>
      <c r="C228" s="29" t="s">
        <v>71</v>
      </c>
      <c r="D228" t="s">
        <v>380</v>
      </c>
      <c r="E228" t="s">
        <v>1061</v>
      </c>
      <c r="F228" t="s">
        <v>1061</v>
      </c>
      <c r="G228" s="1" t="s">
        <v>1061</v>
      </c>
      <c r="H228" s="1">
        <f>COUNTIF(C:G,Tabela1[[#This Row],[Liderado]])</f>
        <v>0</v>
      </c>
      <c r="I228" s="1" t="s">
        <v>392</v>
      </c>
      <c r="J228" s="1" t="s">
        <v>388</v>
      </c>
      <c r="K228" s="1" t="s">
        <v>9</v>
      </c>
      <c r="L228" s="2" t="s">
        <v>10</v>
      </c>
      <c r="M228" s="1" t="s">
        <v>11</v>
      </c>
      <c r="N228" s="2">
        <v>11024</v>
      </c>
      <c r="O228" s="1" t="s">
        <v>40</v>
      </c>
      <c r="P228" s="1" t="s">
        <v>175</v>
      </c>
      <c r="Q228" s="1" t="s">
        <v>629</v>
      </c>
      <c r="R228" s="1"/>
      <c r="S228" s="1" t="s">
        <v>692</v>
      </c>
    </row>
    <row r="229" spans="1:19" x14ac:dyDescent="0.25">
      <c r="A229" s="1" t="s">
        <v>664</v>
      </c>
      <c r="C229" s="29" t="s">
        <v>71</v>
      </c>
      <c r="D229" t="s">
        <v>380</v>
      </c>
      <c r="E229" t="s">
        <v>1061</v>
      </c>
      <c r="F229" t="s">
        <v>1061</v>
      </c>
      <c r="G229" s="1" t="s">
        <v>1061</v>
      </c>
      <c r="H229" s="1">
        <f>COUNTIF(C:G,Tabela1[[#This Row],[Liderado]])</f>
        <v>0</v>
      </c>
      <c r="I229" s="1" t="s">
        <v>393</v>
      </c>
      <c r="J229" s="1" t="s">
        <v>388</v>
      </c>
      <c r="K229" s="1" t="s">
        <v>9</v>
      </c>
      <c r="L229" s="2" t="s">
        <v>10</v>
      </c>
      <c r="M229" s="1" t="s">
        <v>11</v>
      </c>
      <c r="N229" s="2">
        <v>11024</v>
      </c>
      <c r="O229" s="1" t="s">
        <v>40</v>
      </c>
      <c r="P229" s="1" t="s">
        <v>175</v>
      </c>
      <c r="Q229" s="1" t="s">
        <v>629</v>
      </c>
      <c r="R229" s="1"/>
      <c r="S229" s="1" t="s">
        <v>692</v>
      </c>
    </row>
    <row r="230" spans="1:19" x14ac:dyDescent="0.25">
      <c r="A230" s="1" t="s">
        <v>664</v>
      </c>
      <c r="C230" s="29" t="s">
        <v>71</v>
      </c>
      <c r="D230" t="s">
        <v>380</v>
      </c>
      <c r="E230" t="s">
        <v>1061</v>
      </c>
      <c r="F230" t="s">
        <v>1061</v>
      </c>
      <c r="G230" s="1" t="s">
        <v>1061</v>
      </c>
      <c r="H230" s="1">
        <f>COUNTIF(C:G,Tabela1[[#This Row],[Liderado]])</f>
        <v>0</v>
      </c>
      <c r="I230" s="1" t="s">
        <v>394</v>
      </c>
      <c r="J230" s="1" t="s">
        <v>388</v>
      </c>
      <c r="K230" s="1" t="s">
        <v>9</v>
      </c>
      <c r="L230" s="2" t="s">
        <v>10</v>
      </c>
      <c r="M230" s="1" t="s">
        <v>11</v>
      </c>
      <c r="N230" s="2">
        <v>11024</v>
      </c>
      <c r="O230" s="1" t="s">
        <v>40</v>
      </c>
      <c r="P230" s="1" t="s">
        <v>175</v>
      </c>
      <c r="Q230" s="1" t="s">
        <v>629</v>
      </c>
      <c r="R230" s="1"/>
      <c r="S230" s="1" t="s">
        <v>692</v>
      </c>
    </row>
    <row r="231" spans="1:19" x14ac:dyDescent="0.25">
      <c r="A231" s="1" t="s">
        <v>664</v>
      </c>
      <c r="C231" s="29" t="s">
        <v>71</v>
      </c>
      <c r="D231" t="s">
        <v>380</v>
      </c>
      <c r="E231" t="s">
        <v>1061</v>
      </c>
      <c r="F231" t="s">
        <v>1061</v>
      </c>
      <c r="G231" s="1" t="s">
        <v>1061</v>
      </c>
      <c r="H231" s="1">
        <f>COUNTIF(C:G,Tabela1[[#This Row],[Liderado]])</f>
        <v>0</v>
      </c>
      <c r="I231" s="1" t="s">
        <v>395</v>
      </c>
      <c r="J231" s="1" t="s">
        <v>388</v>
      </c>
      <c r="K231" s="1" t="s">
        <v>9</v>
      </c>
      <c r="L231" s="2" t="s">
        <v>10</v>
      </c>
      <c r="M231" s="1" t="s">
        <v>11</v>
      </c>
      <c r="N231" s="2">
        <v>11024</v>
      </c>
      <c r="O231" s="1" t="s">
        <v>40</v>
      </c>
      <c r="P231" s="1" t="s">
        <v>175</v>
      </c>
      <c r="Q231" s="1" t="s">
        <v>629</v>
      </c>
      <c r="R231" s="1"/>
      <c r="S231" s="1" t="s">
        <v>692</v>
      </c>
    </row>
    <row r="232" spans="1:19" x14ac:dyDescent="0.25">
      <c r="A232" s="1" t="s">
        <v>664</v>
      </c>
      <c r="C232" s="29" t="s">
        <v>71</v>
      </c>
      <c r="D232" t="s">
        <v>362</v>
      </c>
      <c r="E232" t="s">
        <v>1061</v>
      </c>
      <c r="F232" t="s">
        <v>1061</v>
      </c>
      <c r="G232" s="1" t="s">
        <v>1061</v>
      </c>
      <c r="H232" s="1">
        <f>COUNTIF(C:G,Tabela1[[#This Row],[Liderado]])</f>
        <v>0</v>
      </c>
      <c r="I232" s="1" t="s">
        <v>396</v>
      </c>
      <c r="J232" s="1" t="s">
        <v>388</v>
      </c>
      <c r="K232" s="1" t="s">
        <v>9</v>
      </c>
      <c r="L232" s="2" t="s">
        <v>10</v>
      </c>
      <c r="M232" s="1" t="s">
        <v>11</v>
      </c>
      <c r="N232" s="2">
        <v>11024</v>
      </c>
      <c r="O232" s="1" t="s">
        <v>40</v>
      </c>
      <c r="P232" s="1" t="s">
        <v>175</v>
      </c>
      <c r="Q232" s="1" t="s">
        <v>629</v>
      </c>
      <c r="R232" s="1"/>
      <c r="S232" s="1" t="s">
        <v>692</v>
      </c>
    </row>
    <row r="233" spans="1:19" x14ac:dyDescent="0.25">
      <c r="A233" s="1" t="s">
        <v>664</v>
      </c>
      <c r="C233" s="29" t="s">
        <v>71</v>
      </c>
      <c r="D233" t="s">
        <v>380</v>
      </c>
      <c r="E233" t="s">
        <v>1061</v>
      </c>
      <c r="F233" t="s">
        <v>1061</v>
      </c>
      <c r="G233" s="1" t="s">
        <v>1061</v>
      </c>
      <c r="H233" s="1">
        <f>COUNTIF(C:G,Tabela1[[#This Row],[Liderado]])</f>
        <v>0</v>
      </c>
      <c r="I233" s="1" t="s">
        <v>397</v>
      </c>
      <c r="J233" s="1" t="s">
        <v>388</v>
      </c>
      <c r="K233" s="1" t="s">
        <v>9</v>
      </c>
      <c r="L233" s="2" t="s">
        <v>10</v>
      </c>
      <c r="M233" s="1" t="s">
        <v>11</v>
      </c>
      <c r="N233" s="2">
        <v>11024</v>
      </c>
      <c r="O233" s="1" t="s">
        <v>40</v>
      </c>
      <c r="P233" s="1" t="s">
        <v>175</v>
      </c>
      <c r="Q233" s="1" t="s">
        <v>629</v>
      </c>
      <c r="R233" s="1"/>
      <c r="S233" s="1" t="s">
        <v>692</v>
      </c>
    </row>
    <row r="234" spans="1:19" x14ac:dyDescent="0.25">
      <c r="A234" s="1" t="s">
        <v>664</v>
      </c>
      <c r="C234" s="29" t="s">
        <v>71</v>
      </c>
      <c r="D234" t="s">
        <v>380</v>
      </c>
      <c r="E234" t="s">
        <v>1061</v>
      </c>
      <c r="F234" t="s">
        <v>1061</v>
      </c>
      <c r="G234" s="1" t="s">
        <v>1061</v>
      </c>
      <c r="H234" s="1">
        <f>COUNTIF(C:G,Tabela1[[#This Row],[Liderado]])</f>
        <v>0</v>
      </c>
      <c r="I234" s="1" t="s">
        <v>398</v>
      </c>
      <c r="J234" s="1" t="s">
        <v>388</v>
      </c>
      <c r="K234" s="1" t="s">
        <v>9</v>
      </c>
      <c r="L234" s="2" t="s">
        <v>10</v>
      </c>
      <c r="M234" s="1" t="s">
        <v>11</v>
      </c>
      <c r="N234" s="2">
        <v>11024</v>
      </c>
      <c r="O234" s="1" t="s">
        <v>40</v>
      </c>
      <c r="P234" s="1" t="s">
        <v>175</v>
      </c>
      <c r="Q234" s="1" t="s">
        <v>629</v>
      </c>
      <c r="R234" s="1"/>
      <c r="S234" s="1" t="s">
        <v>692</v>
      </c>
    </row>
    <row r="235" spans="1:19" x14ac:dyDescent="0.25">
      <c r="A235" s="1" t="s">
        <v>664</v>
      </c>
      <c r="C235" s="29" t="s">
        <v>71</v>
      </c>
      <c r="D235" t="s">
        <v>362</v>
      </c>
      <c r="E235" t="s">
        <v>1061</v>
      </c>
      <c r="F235" t="s">
        <v>1061</v>
      </c>
      <c r="G235" s="1" t="s">
        <v>1061</v>
      </c>
      <c r="H235" s="1">
        <f>COUNTIF(C:G,Tabela1[[#This Row],[Liderado]])</f>
        <v>0</v>
      </c>
      <c r="I235" s="1" t="s">
        <v>399</v>
      </c>
      <c r="J235" s="1" t="s">
        <v>400</v>
      </c>
      <c r="K235" s="1" t="s">
        <v>9</v>
      </c>
      <c r="L235" s="2" t="s">
        <v>10</v>
      </c>
      <c r="M235" s="1" t="s">
        <v>11</v>
      </c>
      <c r="N235" s="2">
        <v>11024</v>
      </c>
      <c r="O235" s="1" t="s">
        <v>40</v>
      </c>
      <c r="P235" s="1" t="s">
        <v>175</v>
      </c>
      <c r="Q235" s="1" t="s">
        <v>629</v>
      </c>
      <c r="R235" s="1"/>
      <c r="S235" s="1" t="s">
        <v>692</v>
      </c>
    </row>
    <row r="236" spans="1:19" x14ac:dyDescent="0.25">
      <c r="A236" s="1" t="s">
        <v>664</v>
      </c>
      <c r="C236" s="29" t="s">
        <v>71</v>
      </c>
      <c r="D236" t="s">
        <v>380</v>
      </c>
      <c r="E236" t="s">
        <v>1061</v>
      </c>
      <c r="F236" t="s">
        <v>1061</v>
      </c>
      <c r="G236" s="1" t="s">
        <v>1061</v>
      </c>
      <c r="H236" s="1">
        <f>COUNTIF(C:G,Tabela1[[#This Row],[Liderado]])</f>
        <v>0</v>
      </c>
      <c r="I236" s="1" t="s">
        <v>401</v>
      </c>
      <c r="J236" s="1" t="s">
        <v>388</v>
      </c>
      <c r="K236" s="1" t="s">
        <v>9</v>
      </c>
      <c r="L236" s="2" t="s">
        <v>10</v>
      </c>
      <c r="M236" s="1" t="s">
        <v>11</v>
      </c>
      <c r="N236" s="2">
        <v>11024</v>
      </c>
      <c r="O236" s="1" t="s">
        <v>40</v>
      </c>
      <c r="P236" s="1" t="s">
        <v>175</v>
      </c>
      <c r="Q236" s="1" t="s">
        <v>629</v>
      </c>
      <c r="R236" s="1"/>
      <c r="S236" s="1" t="s">
        <v>692</v>
      </c>
    </row>
    <row r="237" spans="1:19" x14ac:dyDescent="0.25">
      <c r="A237" s="1" t="s">
        <v>627</v>
      </c>
      <c r="C237" s="29" t="s">
        <v>41</v>
      </c>
      <c r="D237" t="s">
        <v>38</v>
      </c>
      <c r="E237" t="s">
        <v>1061</v>
      </c>
      <c r="F237" t="s">
        <v>32</v>
      </c>
      <c r="G237" s="1" t="s">
        <v>79</v>
      </c>
      <c r="H237" s="1">
        <f>COUNTIF(C:G,Tabela1[[#This Row],[Liderado]])</f>
        <v>0</v>
      </c>
      <c r="I237" s="1" t="s">
        <v>402</v>
      </c>
      <c r="J237" s="1" t="s">
        <v>34</v>
      </c>
      <c r="K237" s="1" t="s">
        <v>9</v>
      </c>
      <c r="L237" s="2" t="s">
        <v>10</v>
      </c>
      <c r="M237" s="1" t="s">
        <v>11</v>
      </c>
      <c r="N237" s="2">
        <v>11024</v>
      </c>
      <c r="O237" s="1" t="s">
        <v>40</v>
      </c>
      <c r="P237" s="1" t="s">
        <v>175</v>
      </c>
      <c r="Q237" s="1" t="s">
        <v>629</v>
      </c>
      <c r="R237" s="1"/>
      <c r="S237" s="1" t="s">
        <v>692</v>
      </c>
    </row>
    <row r="238" spans="1:19" x14ac:dyDescent="0.25">
      <c r="A238" s="1" t="s">
        <v>664</v>
      </c>
      <c r="C238" s="29" t="s">
        <v>71</v>
      </c>
      <c r="D238" t="s">
        <v>380</v>
      </c>
      <c r="E238" t="s">
        <v>1061</v>
      </c>
      <c r="F238" t="s">
        <v>1061</v>
      </c>
      <c r="G238" s="1" t="s">
        <v>1061</v>
      </c>
      <c r="H238" s="1">
        <f>COUNTIF(C:G,Tabela1[[#This Row],[Liderado]])</f>
        <v>0</v>
      </c>
      <c r="I238" s="1" t="s">
        <v>403</v>
      </c>
      <c r="J238" s="1" t="s">
        <v>388</v>
      </c>
      <c r="K238" s="1" t="s">
        <v>9</v>
      </c>
      <c r="L238" s="2" t="s">
        <v>10</v>
      </c>
      <c r="M238" s="1" t="s">
        <v>11</v>
      </c>
      <c r="N238" s="2">
        <v>11024</v>
      </c>
      <c r="O238" s="1" t="s">
        <v>40</v>
      </c>
      <c r="P238" s="1" t="s">
        <v>175</v>
      </c>
      <c r="Q238" s="1" t="s">
        <v>629</v>
      </c>
      <c r="R238" s="1"/>
      <c r="S238" s="1" t="s">
        <v>692</v>
      </c>
    </row>
    <row r="239" spans="1:19" x14ac:dyDescent="0.25">
      <c r="A239" s="1" t="s">
        <v>664</v>
      </c>
      <c r="C239" s="29" t="s">
        <v>71</v>
      </c>
      <c r="D239" t="s">
        <v>380</v>
      </c>
      <c r="E239" t="s">
        <v>1061</v>
      </c>
      <c r="F239" t="s">
        <v>1061</v>
      </c>
      <c r="G239" s="1" t="s">
        <v>1061</v>
      </c>
      <c r="H239" s="1">
        <f>COUNTIF(C:G,Tabela1[[#This Row],[Liderado]])</f>
        <v>0</v>
      </c>
      <c r="I239" s="1" t="s">
        <v>404</v>
      </c>
      <c r="J239" s="1" t="s">
        <v>388</v>
      </c>
      <c r="K239" s="1" t="s">
        <v>9</v>
      </c>
      <c r="L239" s="2" t="s">
        <v>10</v>
      </c>
      <c r="M239" s="1" t="s">
        <v>11</v>
      </c>
      <c r="N239" s="2">
        <v>11024</v>
      </c>
      <c r="O239" s="1" t="s">
        <v>40</v>
      </c>
      <c r="P239" s="1" t="s">
        <v>175</v>
      </c>
      <c r="Q239" s="1" t="s">
        <v>629</v>
      </c>
      <c r="R239" s="1"/>
      <c r="S239" s="1" t="s">
        <v>692</v>
      </c>
    </row>
    <row r="240" spans="1:19" x14ac:dyDescent="0.25">
      <c r="A240" s="1" t="s">
        <v>664</v>
      </c>
      <c r="C240" s="29" t="s">
        <v>71</v>
      </c>
      <c r="D240" t="s">
        <v>380</v>
      </c>
      <c r="E240" t="s">
        <v>1061</v>
      </c>
      <c r="F240" t="s">
        <v>1061</v>
      </c>
      <c r="G240" s="1" t="s">
        <v>1061</v>
      </c>
      <c r="H240" s="1">
        <f>COUNTIF(C:G,Tabela1[[#This Row],[Liderado]])</f>
        <v>0</v>
      </c>
      <c r="I240" s="1" t="s">
        <v>405</v>
      </c>
      <c r="J240" s="1" t="s">
        <v>388</v>
      </c>
      <c r="K240" s="1" t="s">
        <v>9</v>
      </c>
      <c r="L240" s="2" t="s">
        <v>10</v>
      </c>
      <c r="M240" s="1" t="s">
        <v>11</v>
      </c>
      <c r="N240" s="2">
        <v>11024</v>
      </c>
      <c r="O240" s="1" t="s">
        <v>40</v>
      </c>
      <c r="P240" s="1" t="s">
        <v>175</v>
      </c>
      <c r="Q240" s="1" t="s">
        <v>629</v>
      </c>
      <c r="R240" s="1"/>
      <c r="S240" s="1" t="s">
        <v>692</v>
      </c>
    </row>
    <row r="241" spans="1:19" x14ac:dyDescent="0.25">
      <c r="A241" s="1" t="s">
        <v>664</v>
      </c>
      <c r="C241" s="29" t="s">
        <v>71</v>
      </c>
      <c r="D241" t="s">
        <v>380</v>
      </c>
      <c r="E241" t="s">
        <v>1061</v>
      </c>
      <c r="F241" t="s">
        <v>1061</v>
      </c>
      <c r="G241" s="1" t="s">
        <v>1061</v>
      </c>
      <c r="H241" s="1">
        <f>COUNTIF(C:G,Tabela1[[#This Row],[Liderado]])</f>
        <v>0</v>
      </c>
      <c r="I241" s="1" t="s">
        <v>406</v>
      </c>
      <c r="J241" s="1" t="s">
        <v>126</v>
      </c>
      <c r="K241" s="1" t="s">
        <v>9</v>
      </c>
      <c r="L241" s="2" t="s">
        <v>10</v>
      </c>
      <c r="M241" s="1" t="s">
        <v>11</v>
      </c>
      <c r="N241" s="2">
        <v>11024</v>
      </c>
      <c r="O241" s="1" t="s">
        <v>40</v>
      </c>
      <c r="P241" s="1" t="s">
        <v>175</v>
      </c>
      <c r="Q241" s="1" t="s">
        <v>629</v>
      </c>
      <c r="R241" s="1"/>
      <c r="S241" s="1" t="s">
        <v>692</v>
      </c>
    </row>
    <row r="242" spans="1:19" x14ac:dyDescent="0.25">
      <c r="A242" s="1" t="s">
        <v>664</v>
      </c>
      <c r="C242" s="29" t="s">
        <v>71</v>
      </c>
      <c r="D242" t="s">
        <v>362</v>
      </c>
      <c r="E242" t="s">
        <v>1061</v>
      </c>
      <c r="F242" t="s">
        <v>1061</v>
      </c>
      <c r="G242" s="1" t="s">
        <v>1061</v>
      </c>
      <c r="H242" s="1">
        <f>COUNTIF(C:G,Tabela1[[#This Row],[Liderado]])</f>
        <v>0</v>
      </c>
      <c r="I242" s="1" t="s">
        <v>409</v>
      </c>
      <c r="J242" s="1" t="s">
        <v>410</v>
      </c>
      <c r="K242" s="1" t="s">
        <v>9</v>
      </c>
      <c r="L242" s="2" t="s">
        <v>10</v>
      </c>
      <c r="M242" s="1" t="s">
        <v>11</v>
      </c>
      <c r="N242" s="2">
        <v>11024</v>
      </c>
      <c r="O242" s="1" t="s">
        <v>40</v>
      </c>
      <c r="P242" s="1" t="s">
        <v>175</v>
      </c>
      <c r="Q242" s="1" t="s">
        <v>629</v>
      </c>
      <c r="R242" s="1"/>
      <c r="S242" s="1" t="s">
        <v>692</v>
      </c>
    </row>
    <row r="243" spans="1:19" x14ac:dyDescent="0.25">
      <c r="A243" s="1" t="s">
        <v>627</v>
      </c>
      <c r="C243" s="29" t="s">
        <v>41</v>
      </c>
      <c r="D243" t="s">
        <v>38</v>
      </c>
      <c r="E243" t="s">
        <v>1061</v>
      </c>
      <c r="F243" t="s">
        <v>1061</v>
      </c>
      <c r="G243" s="1" t="s">
        <v>38</v>
      </c>
      <c r="H243" s="1">
        <f>COUNTIF(C:G,Tabela1[[#This Row],[Liderado]])</f>
        <v>0</v>
      </c>
      <c r="I243" s="1" t="s">
        <v>411</v>
      </c>
      <c r="J243" s="1" t="s">
        <v>168</v>
      </c>
      <c r="K243" s="1" t="s">
        <v>9</v>
      </c>
      <c r="L243" s="2" t="s">
        <v>10</v>
      </c>
      <c r="M243" s="1" t="s">
        <v>11</v>
      </c>
      <c r="N243" s="2">
        <v>11024</v>
      </c>
      <c r="O243" s="1" t="s">
        <v>40</v>
      </c>
      <c r="P243" s="1" t="s">
        <v>175</v>
      </c>
      <c r="Q243" s="1" t="s">
        <v>629</v>
      </c>
      <c r="R243" s="1"/>
      <c r="S243" s="1" t="s">
        <v>692</v>
      </c>
    </row>
    <row r="244" spans="1:19" x14ac:dyDescent="0.25">
      <c r="A244" s="1" t="s">
        <v>627</v>
      </c>
      <c r="C244" s="29" t="s">
        <v>71</v>
      </c>
      <c r="D244" t="s">
        <v>27</v>
      </c>
      <c r="E244" t="s">
        <v>1061</v>
      </c>
      <c r="F244" t="s">
        <v>21</v>
      </c>
      <c r="G244" s="1" t="s">
        <v>1167</v>
      </c>
      <c r="H244" s="1">
        <f>COUNTIF(C:G,Tabela1[[#This Row],[Liderado]])</f>
        <v>0</v>
      </c>
      <c r="I244" s="1" t="s">
        <v>412</v>
      </c>
      <c r="J244" s="1" t="s">
        <v>126</v>
      </c>
      <c r="K244" s="1" t="s">
        <v>9</v>
      </c>
      <c r="L244" s="2" t="s">
        <v>10</v>
      </c>
      <c r="M244" s="1" t="s">
        <v>11</v>
      </c>
      <c r="N244" s="2">
        <v>11024</v>
      </c>
      <c r="O244" s="1" t="s">
        <v>40</v>
      </c>
      <c r="P244" s="1" t="s">
        <v>175</v>
      </c>
      <c r="Q244" s="1" t="s">
        <v>629</v>
      </c>
      <c r="R244" s="1"/>
      <c r="S244" s="1" t="s">
        <v>692</v>
      </c>
    </row>
    <row r="245" spans="1:19" x14ac:dyDescent="0.25">
      <c r="A245" s="1" t="s">
        <v>627</v>
      </c>
      <c r="C245" s="29" t="s">
        <v>71</v>
      </c>
      <c r="D245" t="s">
        <v>27</v>
      </c>
      <c r="E245" t="s">
        <v>1061</v>
      </c>
      <c r="F245" t="s">
        <v>21</v>
      </c>
      <c r="G245" s="1" t="s">
        <v>1167</v>
      </c>
      <c r="H245" s="1">
        <f>COUNTIF(C:G,Tabela1[[#This Row],[Liderado]])</f>
        <v>0</v>
      </c>
      <c r="I245" s="1" t="s">
        <v>413</v>
      </c>
      <c r="J245" s="1" t="s">
        <v>126</v>
      </c>
      <c r="K245" s="1" t="s">
        <v>9</v>
      </c>
      <c r="L245" s="2" t="s">
        <v>10</v>
      </c>
      <c r="M245" s="1" t="s">
        <v>11</v>
      </c>
      <c r="N245" s="2">
        <v>11024</v>
      </c>
      <c r="O245" s="1" t="s">
        <v>40</v>
      </c>
      <c r="P245" s="1" t="s">
        <v>175</v>
      </c>
      <c r="Q245" s="1" t="s">
        <v>629</v>
      </c>
      <c r="R245" s="1"/>
      <c r="S245" s="1" t="s">
        <v>692</v>
      </c>
    </row>
    <row r="246" spans="1:19" x14ac:dyDescent="0.25">
      <c r="A246" s="1" t="s">
        <v>664</v>
      </c>
      <c r="C246" s="29" t="s">
        <v>71</v>
      </c>
      <c r="D246" t="s">
        <v>362</v>
      </c>
      <c r="E246" t="s">
        <v>1061</v>
      </c>
      <c r="F246" t="s">
        <v>1061</v>
      </c>
      <c r="G246" s="1" t="s">
        <v>1061</v>
      </c>
      <c r="H246" s="1">
        <f>COUNTIF(C:G,Tabela1[[#This Row],[Liderado]])</f>
        <v>0</v>
      </c>
      <c r="I246" s="1" t="s">
        <v>414</v>
      </c>
      <c r="J246" s="1" t="s">
        <v>415</v>
      </c>
      <c r="K246" s="1" t="s">
        <v>9</v>
      </c>
      <c r="L246" s="2" t="s">
        <v>10</v>
      </c>
      <c r="M246" s="1" t="s">
        <v>11</v>
      </c>
      <c r="N246" s="2">
        <v>11024</v>
      </c>
      <c r="O246" s="1" t="s">
        <v>40</v>
      </c>
      <c r="P246" s="1" t="s">
        <v>175</v>
      </c>
      <c r="Q246" s="1" t="s">
        <v>629</v>
      </c>
      <c r="R246" s="1"/>
      <c r="S246" s="1" t="s">
        <v>692</v>
      </c>
    </row>
    <row r="247" spans="1:19" x14ac:dyDescent="0.25">
      <c r="A247" s="1" t="s">
        <v>658</v>
      </c>
      <c r="C247" s="29" t="s">
        <v>271</v>
      </c>
      <c r="D247" t="s">
        <v>296</v>
      </c>
      <c r="E247" t="s">
        <v>1061</v>
      </c>
      <c r="F247" t="s">
        <v>1061</v>
      </c>
      <c r="G247" s="1" t="s">
        <v>296</v>
      </c>
      <c r="H247" s="1">
        <f>COUNTIF(C:G,Tabela1[[#This Row],[Liderado]])</f>
        <v>0</v>
      </c>
      <c r="I247" s="1" t="s">
        <v>1687</v>
      </c>
      <c r="J247" s="1" t="s">
        <v>92</v>
      </c>
      <c r="K247" s="1" t="s">
        <v>9</v>
      </c>
      <c r="L247" s="2" t="s">
        <v>10</v>
      </c>
      <c r="M247" s="1" t="s">
        <v>11</v>
      </c>
      <c r="N247" s="2">
        <v>11024</v>
      </c>
      <c r="O247" s="1" t="s">
        <v>40</v>
      </c>
      <c r="P247" s="1" t="s">
        <v>175</v>
      </c>
      <c r="Q247" s="1" t="s">
        <v>629</v>
      </c>
      <c r="R247" s="1"/>
      <c r="S247" s="1" t="s">
        <v>692</v>
      </c>
    </row>
    <row r="248" spans="1:19" x14ac:dyDescent="0.25">
      <c r="A248" s="1" t="s">
        <v>627</v>
      </c>
      <c r="C248" s="29" t="s">
        <v>71</v>
      </c>
      <c r="D248" t="s">
        <v>27</v>
      </c>
      <c r="E248" t="s">
        <v>1061</v>
      </c>
      <c r="F248" t="s">
        <v>21</v>
      </c>
      <c r="G248" s="1" t="s">
        <v>1061</v>
      </c>
      <c r="H248" s="1">
        <f>COUNTIF(C:G,Tabela1[[#This Row],[Liderado]])</f>
        <v>0</v>
      </c>
      <c r="I248" s="1" t="s">
        <v>416</v>
      </c>
      <c r="J248" s="1" t="s">
        <v>220</v>
      </c>
      <c r="K248" s="1" t="s">
        <v>9</v>
      </c>
      <c r="L248" s="2" t="s">
        <v>10</v>
      </c>
      <c r="M248" s="1" t="s">
        <v>11</v>
      </c>
      <c r="N248" s="2">
        <v>11024</v>
      </c>
      <c r="O248" s="1" t="s">
        <v>40</v>
      </c>
      <c r="P248" s="1" t="s">
        <v>175</v>
      </c>
      <c r="Q248" s="1" t="s">
        <v>629</v>
      </c>
      <c r="R248" s="1"/>
      <c r="S248" s="1" t="s">
        <v>692</v>
      </c>
    </row>
    <row r="249" spans="1:19" x14ac:dyDescent="0.25">
      <c r="A249" s="1" t="s">
        <v>627</v>
      </c>
      <c r="C249" s="29" t="s">
        <v>41</v>
      </c>
      <c r="D249" t="s">
        <v>38</v>
      </c>
      <c r="E249" t="s">
        <v>37</v>
      </c>
      <c r="F249" t="s">
        <v>1061</v>
      </c>
      <c r="G249" s="1" t="s">
        <v>259</v>
      </c>
      <c r="H249" s="1">
        <f>COUNTIF(C:G,Tabela1[[#This Row],[Liderado]])</f>
        <v>0</v>
      </c>
      <c r="I249" s="1" t="s">
        <v>417</v>
      </c>
      <c r="J249" s="1" t="s">
        <v>34</v>
      </c>
      <c r="K249" s="1" t="s">
        <v>9</v>
      </c>
      <c r="L249" s="2" t="s">
        <v>10</v>
      </c>
      <c r="M249" s="1" t="s">
        <v>11</v>
      </c>
      <c r="N249" s="2">
        <v>11024</v>
      </c>
      <c r="O249" s="1" t="s">
        <v>40</v>
      </c>
      <c r="P249" s="1" t="s">
        <v>175</v>
      </c>
      <c r="Q249" s="1" t="s">
        <v>629</v>
      </c>
      <c r="R249" s="1"/>
      <c r="S249" s="1" t="s">
        <v>692</v>
      </c>
    </row>
    <row r="250" spans="1:19" x14ac:dyDescent="0.25">
      <c r="A250" s="1" t="s">
        <v>658</v>
      </c>
      <c r="C250" s="29" t="s">
        <v>271</v>
      </c>
      <c r="D250" t="s">
        <v>296</v>
      </c>
      <c r="E250" t="s">
        <v>1061</v>
      </c>
      <c r="F250" t="s">
        <v>1061</v>
      </c>
      <c r="G250" s="1" t="s">
        <v>296</v>
      </c>
      <c r="H250" s="1">
        <f>COUNTIF(C:G,Tabela1[[#This Row],[Liderado]])</f>
        <v>0</v>
      </c>
      <c r="I250" s="1" t="s">
        <v>1694</v>
      </c>
      <c r="J250" s="1" t="s">
        <v>34</v>
      </c>
      <c r="K250" s="1" t="s">
        <v>9</v>
      </c>
      <c r="L250" s="2" t="s">
        <v>10</v>
      </c>
      <c r="M250" s="1" t="s">
        <v>11</v>
      </c>
      <c r="N250" s="2">
        <v>11024</v>
      </c>
      <c r="O250" s="1" t="s">
        <v>40</v>
      </c>
      <c r="P250" s="1" t="s">
        <v>175</v>
      </c>
      <c r="Q250" s="1" t="s">
        <v>629</v>
      </c>
      <c r="R250" s="1"/>
      <c r="S250" s="1" t="s">
        <v>692</v>
      </c>
    </row>
    <row r="251" spans="1:19" x14ac:dyDescent="0.25">
      <c r="A251" s="1" t="s">
        <v>627</v>
      </c>
      <c r="C251" s="29" t="s">
        <v>71</v>
      </c>
      <c r="D251" t="s">
        <v>27</v>
      </c>
      <c r="E251" t="s">
        <v>1061</v>
      </c>
      <c r="F251" t="s">
        <v>248</v>
      </c>
      <c r="G251" s="1" t="s">
        <v>1061</v>
      </c>
      <c r="H251" s="1">
        <f>COUNTIF(C:G,Tabela1[[#This Row],[Liderado]])</f>
        <v>0</v>
      </c>
      <c r="I251" s="1" t="s">
        <v>1696</v>
      </c>
      <c r="J251" s="1" t="s">
        <v>108</v>
      </c>
      <c r="K251" s="1" t="s">
        <v>9</v>
      </c>
      <c r="L251" s="2" t="s">
        <v>10</v>
      </c>
      <c r="M251" s="1" t="s">
        <v>11</v>
      </c>
      <c r="N251" s="2">
        <v>11024</v>
      </c>
      <c r="O251" s="1" t="s">
        <v>40</v>
      </c>
      <c r="P251" s="1" t="s">
        <v>175</v>
      </c>
      <c r="Q251" s="1" t="s">
        <v>629</v>
      </c>
      <c r="R251" s="1"/>
      <c r="S251" s="1" t="s">
        <v>692</v>
      </c>
    </row>
    <row r="252" spans="1:19" x14ac:dyDescent="0.25">
      <c r="A252" s="1" t="s">
        <v>664</v>
      </c>
      <c r="C252" s="29" t="s">
        <v>71</v>
      </c>
      <c r="D252" t="s">
        <v>362</v>
      </c>
      <c r="E252" t="s">
        <v>1061</v>
      </c>
      <c r="F252" t="s">
        <v>1061</v>
      </c>
      <c r="G252" s="1" t="s">
        <v>1061</v>
      </c>
      <c r="H252" s="1">
        <f>COUNTIF(C:G,Tabela1[[#This Row],[Liderado]])</f>
        <v>0</v>
      </c>
      <c r="I252" s="1" t="s">
        <v>418</v>
      </c>
      <c r="J252" s="1" t="s">
        <v>388</v>
      </c>
      <c r="K252" s="1" t="s">
        <v>9</v>
      </c>
      <c r="L252" s="2" t="s">
        <v>10</v>
      </c>
      <c r="M252" s="1" t="s">
        <v>11</v>
      </c>
      <c r="N252" s="2">
        <v>11024</v>
      </c>
      <c r="O252" s="1" t="s">
        <v>40</v>
      </c>
      <c r="P252" s="1" t="s">
        <v>175</v>
      </c>
      <c r="Q252" s="1" t="s">
        <v>629</v>
      </c>
      <c r="R252" s="1"/>
      <c r="S252" s="1" t="s">
        <v>692</v>
      </c>
    </row>
    <row r="253" spans="1:19" x14ac:dyDescent="0.25">
      <c r="A253" s="1" t="s">
        <v>664</v>
      </c>
      <c r="C253" s="29" t="s">
        <v>71</v>
      </c>
      <c r="D253" t="s">
        <v>380</v>
      </c>
      <c r="E253" t="s">
        <v>1061</v>
      </c>
      <c r="F253" t="s">
        <v>1061</v>
      </c>
      <c r="G253" s="1" t="s">
        <v>1061</v>
      </c>
      <c r="H253" s="1">
        <f>COUNTIF(C:G,Tabela1[[#This Row],[Liderado]])</f>
        <v>0</v>
      </c>
      <c r="I253" s="1" t="s">
        <v>419</v>
      </c>
      <c r="J253" s="1" t="s">
        <v>388</v>
      </c>
      <c r="K253" s="1" t="s">
        <v>9</v>
      </c>
      <c r="L253" s="2" t="s">
        <v>10</v>
      </c>
      <c r="M253" s="1" t="s">
        <v>11</v>
      </c>
      <c r="N253" s="2">
        <v>11024</v>
      </c>
      <c r="O253" s="1" t="s">
        <v>40</v>
      </c>
      <c r="P253" s="1" t="s">
        <v>175</v>
      </c>
      <c r="Q253" s="1" t="s">
        <v>629</v>
      </c>
      <c r="R253" s="1"/>
      <c r="S253" s="1" t="s">
        <v>692</v>
      </c>
    </row>
    <row r="254" spans="1:19" x14ac:dyDescent="0.25">
      <c r="A254" s="1" t="s">
        <v>664</v>
      </c>
      <c r="C254" s="29" t="s">
        <v>71</v>
      </c>
      <c r="D254" t="s">
        <v>380</v>
      </c>
      <c r="E254" t="s">
        <v>1061</v>
      </c>
      <c r="F254" t="s">
        <v>1061</v>
      </c>
      <c r="G254" s="1" t="s">
        <v>1061</v>
      </c>
      <c r="H254" s="1">
        <f>COUNTIF(C:G,Tabela1[[#This Row],[Liderado]])</f>
        <v>0</v>
      </c>
      <c r="I254" s="1" t="s">
        <v>1706</v>
      </c>
      <c r="J254" s="1" t="s">
        <v>1708</v>
      </c>
      <c r="K254" s="1" t="s">
        <v>9</v>
      </c>
      <c r="L254" s="2" t="s">
        <v>10</v>
      </c>
      <c r="M254" s="1" t="s">
        <v>11</v>
      </c>
      <c r="N254" s="2">
        <v>11024</v>
      </c>
      <c r="O254" s="1" t="s">
        <v>40</v>
      </c>
      <c r="P254" s="1" t="s">
        <v>175</v>
      </c>
      <c r="Q254" s="1" t="s">
        <v>629</v>
      </c>
      <c r="R254" s="1"/>
      <c r="S254" s="1" t="s">
        <v>692</v>
      </c>
    </row>
    <row r="255" spans="1:19" x14ac:dyDescent="0.25">
      <c r="A255" s="1" t="s">
        <v>664</v>
      </c>
      <c r="C255" s="29" t="s">
        <v>71</v>
      </c>
      <c r="D255" t="s">
        <v>380</v>
      </c>
      <c r="E255" t="s">
        <v>1061</v>
      </c>
      <c r="F255" t="s">
        <v>1061</v>
      </c>
      <c r="G255" s="1" t="s">
        <v>1061</v>
      </c>
      <c r="H255" s="1">
        <f>COUNTIF(C:G,Tabela1[[#This Row],[Liderado]])</f>
        <v>0</v>
      </c>
      <c r="I255" s="1" t="s">
        <v>1714</v>
      </c>
      <c r="J255" s="1" t="s">
        <v>1708</v>
      </c>
      <c r="K255" s="1" t="s">
        <v>9</v>
      </c>
      <c r="L255" s="2" t="s">
        <v>10</v>
      </c>
      <c r="M255" s="1" t="s">
        <v>11</v>
      </c>
      <c r="N255" s="2">
        <v>11024</v>
      </c>
      <c r="O255" s="1" t="s">
        <v>40</v>
      </c>
      <c r="P255" s="1" t="s">
        <v>175</v>
      </c>
      <c r="Q255" s="1" t="s">
        <v>629</v>
      </c>
      <c r="R255" s="1"/>
      <c r="S255" s="1" t="s">
        <v>692</v>
      </c>
    </row>
    <row r="256" spans="1:19" x14ac:dyDescent="0.25">
      <c r="A256" s="1" t="s">
        <v>658</v>
      </c>
      <c r="C256" s="29" t="s">
        <v>71</v>
      </c>
      <c r="D256" t="s">
        <v>27</v>
      </c>
      <c r="E256" t="s">
        <v>1061</v>
      </c>
      <c r="F256" t="s">
        <v>1061</v>
      </c>
      <c r="G256" s="1" t="s">
        <v>1061</v>
      </c>
      <c r="H256" s="1">
        <f>COUNTIF(C:G,Tabela1[[#This Row],[Liderado]])</f>
        <v>0</v>
      </c>
      <c r="I256" s="1" t="s">
        <v>421</v>
      </c>
      <c r="J256" s="1" t="s">
        <v>104</v>
      </c>
      <c r="K256" s="1" t="s">
        <v>9</v>
      </c>
      <c r="L256" s="2" t="s">
        <v>10</v>
      </c>
      <c r="M256" s="1" t="s">
        <v>11</v>
      </c>
      <c r="N256" s="2">
        <v>11024</v>
      </c>
      <c r="O256" s="1" t="s">
        <v>40</v>
      </c>
      <c r="P256" s="1" t="s">
        <v>175</v>
      </c>
      <c r="Q256" s="1" t="s">
        <v>629</v>
      </c>
      <c r="R256" s="1"/>
      <c r="S256" s="1" t="s">
        <v>692</v>
      </c>
    </row>
    <row r="257" spans="1:19" x14ac:dyDescent="0.25">
      <c r="A257" s="1" t="s">
        <v>664</v>
      </c>
      <c r="C257" s="29" t="s">
        <v>71</v>
      </c>
      <c r="D257" t="s">
        <v>362</v>
      </c>
      <c r="E257" t="s">
        <v>1061</v>
      </c>
      <c r="F257" t="s">
        <v>1061</v>
      </c>
      <c r="G257" s="1" t="s">
        <v>1061</v>
      </c>
      <c r="H257" s="1">
        <f>COUNTIF(C:G,Tabela1[[#This Row],[Liderado]])</f>
        <v>0</v>
      </c>
      <c r="I257" s="1" t="s">
        <v>422</v>
      </c>
      <c r="J257" s="1" t="s">
        <v>388</v>
      </c>
      <c r="K257" s="1" t="s">
        <v>9</v>
      </c>
      <c r="L257" s="2" t="s">
        <v>10</v>
      </c>
      <c r="M257" s="1" t="s">
        <v>11</v>
      </c>
      <c r="N257" s="2">
        <v>11024</v>
      </c>
      <c r="O257" s="1" t="s">
        <v>40</v>
      </c>
      <c r="P257" s="1" t="s">
        <v>175</v>
      </c>
      <c r="Q257" s="1" t="s">
        <v>629</v>
      </c>
      <c r="R257" s="1"/>
      <c r="S257" s="1" t="s">
        <v>692</v>
      </c>
    </row>
    <row r="258" spans="1:19" x14ac:dyDescent="0.25">
      <c r="A258" s="1" t="s">
        <v>664</v>
      </c>
      <c r="C258" s="29" t="s">
        <v>71</v>
      </c>
      <c r="D258" t="s">
        <v>362</v>
      </c>
      <c r="E258" t="s">
        <v>1061</v>
      </c>
      <c r="F258" t="s">
        <v>1061</v>
      </c>
      <c r="G258" s="1" t="s">
        <v>1061</v>
      </c>
      <c r="H258" s="1">
        <f>COUNTIF(C:G,Tabela1[[#This Row],[Liderado]])</f>
        <v>0</v>
      </c>
      <c r="I258" s="1" t="s">
        <v>423</v>
      </c>
      <c r="J258" s="1" t="s">
        <v>400</v>
      </c>
      <c r="K258" s="1" t="s">
        <v>9</v>
      </c>
      <c r="L258" s="2" t="s">
        <v>10</v>
      </c>
      <c r="M258" s="1" t="s">
        <v>11</v>
      </c>
      <c r="N258" s="2">
        <v>11024</v>
      </c>
      <c r="O258" s="1" t="s">
        <v>40</v>
      </c>
      <c r="P258" s="1" t="s">
        <v>175</v>
      </c>
      <c r="Q258" s="1" t="s">
        <v>629</v>
      </c>
      <c r="R258" s="1"/>
      <c r="S258" s="1" t="s">
        <v>692</v>
      </c>
    </row>
    <row r="259" spans="1:19" x14ac:dyDescent="0.25">
      <c r="A259" s="1" t="s">
        <v>664</v>
      </c>
      <c r="C259" s="29" t="s">
        <v>71</v>
      </c>
      <c r="D259" t="s">
        <v>380</v>
      </c>
      <c r="E259" t="s">
        <v>1061</v>
      </c>
      <c r="F259" t="s">
        <v>1061</v>
      </c>
      <c r="G259" s="1" t="s">
        <v>1061</v>
      </c>
      <c r="H259" s="1">
        <f>COUNTIF(C:G,Tabela1[[#This Row],[Liderado]])</f>
        <v>0</v>
      </c>
      <c r="I259" s="1" t="s">
        <v>424</v>
      </c>
      <c r="J259" s="1" t="s">
        <v>388</v>
      </c>
      <c r="K259" s="1" t="s">
        <v>9</v>
      </c>
      <c r="L259" s="2" t="s">
        <v>10</v>
      </c>
      <c r="M259" s="1" t="s">
        <v>11</v>
      </c>
      <c r="N259" s="2">
        <v>11024</v>
      </c>
      <c r="O259" s="1" t="s">
        <v>40</v>
      </c>
      <c r="P259" s="1" t="s">
        <v>175</v>
      </c>
      <c r="Q259" s="1" t="s">
        <v>629</v>
      </c>
      <c r="R259" s="1"/>
      <c r="S259" s="1" t="s">
        <v>692</v>
      </c>
    </row>
    <row r="260" spans="1:19" x14ac:dyDescent="0.25">
      <c r="A260" s="1" t="s">
        <v>664</v>
      </c>
      <c r="C260" s="29" t="s">
        <v>71</v>
      </c>
      <c r="D260" t="s">
        <v>380</v>
      </c>
      <c r="E260" t="s">
        <v>1061</v>
      </c>
      <c r="F260" t="s">
        <v>1061</v>
      </c>
      <c r="G260" s="1" t="s">
        <v>1061</v>
      </c>
      <c r="H260" s="1">
        <f>COUNTIF(C:G,Tabela1[[#This Row],[Liderado]])</f>
        <v>0</v>
      </c>
      <c r="I260" s="1" t="s">
        <v>425</v>
      </c>
      <c r="J260" s="1" t="s">
        <v>388</v>
      </c>
      <c r="K260" s="1" t="s">
        <v>9</v>
      </c>
      <c r="L260" s="2" t="s">
        <v>10</v>
      </c>
      <c r="M260" s="1" t="s">
        <v>11</v>
      </c>
      <c r="N260" s="2">
        <v>11024</v>
      </c>
      <c r="O260" s="1" t="s">
        <v>40</v>
      </c>
      <c r="P260" s="1" t="s">
        <v>175</v>
      </c>
      <c r="Q260" s="1" t="s">
        <v>629</v>
      </c>
      <c r="R260" s="1"/>
      <c r="S260" s="1" t="s">
        <v>692</v>
      </c>
    </row>
    <row r="261" spans="1:19" x14ac:dyDescent="0.25">
      <c r="A261" s="1" t="s">
        <v>627</v>
      </c>
      <c r="C261" s="29" t="s">
        <v>71</v>
      </c>
      <c r="D261" t="s">
        <v>27</v>
      </c>
      <c r="E261" t="s">
        <v>1061</v>
      </c>
      <c r="F261" t="s">
        <v>21</v>
      </c>
      <c r="G261" s="1" t="s">
        <v>1167</v>
      </c>
      <c r="H261" s="1">
        <f>COUNTIF(C:G,Tabela1[[#This Row],[Liderado]])</f>
        <v>0</v>
      </c>
      <c r="I261" s="1" t="s">
        <v>426</v>
      </c>
      <c r="J261" s="1" t="s">
        <v>126</v>
      </c>
      <c r="K261" s="1" t="s">
        <v>9</v>
      </c>
      <c r="L261" s="2" t="s">
        <v>10</v>
      </c>
      <c r="M261" s="1" t="s">
        <v>11</v>
      </c>
      <c r="N261" s="2">
        <v>11024</v>
      </c>
      <c r="O261" s="1" t="s">
        <v>40</v>
      </c>
      <c r="P261" s="1" t="s">
        <v>175</v>
      </c>
      <c r="Q261" s="1" t="s">
        <v>629</v>
      </c>
      <c r="R261" s="1"/>
      <c r="S261" s="1" t="s">
        <v>692</v>
      </c>
    </row>
    <row r="262" spans="1:19" x14ac:dyDescent="0.25">
      <c r="A262" s="1" t="s">
        <v>627</v>
      </c>
      <c r="C262" s="29" t="s">
        <v>71</v>
      </c>
      <c r="D262" t="s">
        <v>27</v>
      </c>
      <c r="E262" t="s">
        <v>1061</v>
      </c>
      <c r="F262" t="s">
        <v>21</v>
      </c>
      <c r="G262" s="1" t="s">
        <v>1167</v>
      </c>
      <c r="H262" s="1">
        <f>COUNTIF(C:G,Tabela1[[#This Row],[Liderado]])</f>
        <v>0</v>
      </c>
      <c r="I262" s="1" t="s">
        <v>1727</v>
      </c>
      <c r="J262" s="1" t="s">
        <v>126</v>
      </c>
      <c r="K262" s="1" t="s">
        <v>9</v>
      </c>
      <c r="L262" s="2" t="s">
        <v>10</v>
      </c>
      <c r="M262" s="1" t="s">
        <v>11</v>
      </c>
      <c r="N262" s="2">
        <v>11024</v>
      </c>
      <c r="O262" s="1" t="s">
        <v>40</v>
      </c>
      <c r="P262" s="1" t="s">
        <v>175</v>
      </c>
      <c r="Q262" s="1" t="s">
        <v>629</v>
      </c>
      <c r="R262" s="1"/>
      <c r="S262" s="1" t="s">
        <v>692</v>
      </c>
    </row>
    <row r="263" spans="1:19" x14ac:dyDescent="0.25">
      <c r="A263" s="1" t="s">
        <v>664</v>
      </c>
      <c r="C263" s="29" t="s">
        <v>71</v>
      </c>
      <c r="D263" t="s">
        <v>380</v>
      </c>
      <c r="E263" t="s">
        <v>1061</v>
      </c>
      <c r="F263" t="s">
        <v>1061</v>
      </c>
      <c r="G263" s="1" t="s">
        <v>1061</v>
      </c>
      <c r="H263" s="1">
        <f>COUNTIF(C:G,Tabela1[[#This Row],[Liderado]])</f>
        <v>0</v>
      </c>
      <c r="I263" s="1" t="s">
        <v>427</v>
      </c>
      <c r="J263" s="1" t="s">
        <v>388</v>
      </c>
      <c r="K263" s="1" t="s">
        <v>9</v>
      </c>
      <c r="L263" s="2" t="s">
        <v>10</v>
      </c>
      <c r="M263" s="1" t="s">
        <v>11</v>
      </c>
      <c r="N263" s="2">
        <v>11024</v>
      </c>
      <c r="O263" s="1" t="s">
        <v>40</v>
      </c>
      <c r="P263" s="1" t="s">
        <v>175</v>
      </c>
      <c r="Q263" s="1" t="s">
        <v>629</v>
      </c>
      <c r="R263" s="1"/>
      <c r="S263" s="1" t="s">
        <v>692</v>
      </c>
    </row>
    <row r="264" spans="1:19" x14ac:dyDescent="0.25">
      <c r="A264" s="1" t="s">
        <v>664</v>
      </c>
      <c r="C264" s="29" t="s">
        <v>71</v>
      </c>
      <c r="D264" t="s">
        <v>380</v>
      </c>
      <c r="E264" t="s">
        <v>1061</v>
      </c>
      <c r="F264" t="s">
        <v>1061</v>
      </c>
      <c r="G264" s="1" t="s">
        <v>1061</v>
      </c>
      <c r="H264" s="1">
        <f>COUNTIF(C:G,Tabela1[[#This Row],[Liderado]])</f>
        <v>0</v>
      </c>
      <c r="I264" s="1" t="s">
        <v>428</v>
      </c>
      <c r="J264" s="1" t="s">
        <v>388</v>
      </c>
      <c r="K264" s="1" t="s">
        <v>9</v>
      </c>
      <c r="L264" s="2" t="s">
        <v>10</v>
      </c>
      <c r="M264" s="1" t="s">
        <v>11</v>
      </c>
      <c r="N264" s="2">
        <v>11024</v>
      </c>
      <c r="O264" s="1" t="s">
        <v>40</v>
      </c>
      <c r="P264" s="1" t="s">
        <v>175</v>
      </c>
      <c r="Q264" s="1" t="s">
        <v>629</v>
      </c>
      <c r="R264" s="1"/>
      <c r="S264" s="1" t="s">
        <v>692</v>
      </c>
    </row>
    <row r="265" spans="1:19" x14ac:dyDescent="0.25">
      <c r="A265" s="1" t="s">
        <v>627</v>
      </c>
      <c r="C265" s="29" t="s">
        <v>41</v>
      </c>
      <c r="D265" t="s">
        <v>38</v>
      </c>
      <c r="E265" t="s">
        <v>1061</v>
      </c>
      <c r="F265" t="s">
        <v>1061</v>
      </c>
      <c r="G265" s="1" t="s">
        <v>38</v>
      </c>
      <c r="H265" s="1">
        <f>COUNTIF(C:G,Tabela1[[#This Row],[Liderado]])</f>
        <v>0</v>
      </c>
      <c r="I265" s="1" t="s">
        <v>429</v>
      </c>
      <c r="J265" s="1" t="s">
        <v>92</v>
      </c>
      <c r="K265" s="1" t="s">
        <v>9</v>
      </c>
      <c r="L265" s="2" t="s">
        <v>10</v>
      </c>
      <c r="M265" s="1" t="s">
        <v>11</v>
      </c>
      <c r="N265" s="2">
        <v>11024</v>
      </c>
      <c r="O265" s="1" t="s">
        <v>40</v>
      </c>
      <c r="P265" s="1" t="s">
        <v>175</v>
      </c>
      <c r="Q265" s="1" t="s">
        <v>629</v>
      </c>
      <c r="R265" s="1"/>
      <c r="S265" s="1" t="s">
        <v>692</v>
      </c>
    </row>
    <row r="266" spans="1:19" x14ac:dyDescent="0.25">
      <c r="A266" s="1" t="s">
        <v>664</v>
      </c>
      <c r="C266" s="29" t="s">
        <v>71</v>
      </c>
      <c r="D266" t="s">
        <v>362</v>
      </c>
      <c r="E266" t="s">
        <v>1061</v>
      </c>
      <c r="F266" t="s">
        <v>1061</v>
      </c>
      <c r="G266" s="1" t="s">
        <v>1061</v>
      </c>
      <c r="H266" s="1">
        <f>COUNTIF(C:G,Tabela1[[#This Row],[Liderado]])</f>
        <v>0</v>
      </c>
      <c r="I266" s="1" t="s">
        <v>430</v>
      </c>
      <c r="J266" s="1" t="s">
        <v>400</v>
      </c>
      <c r="K266" s="1" t="s">
        <v>9</v>
      </c>
      <c r="L266" s="2" t="s">
        <v>10</v>
      </c>
      <c r="M266" s="1" t="s">
        <v>11</v>
      </c>
      <c r="N266" s="2">
        <v>11024</v>
      </c>
      <c r="O266" s="1" t="s">
        <v>40</v>
      </c>
      <c r="P266" s="1" t="s">
        <v>175</v>
      </c>
      <c r="Q266" s="1" t="s">
        <v>629</v>
      </c>
      <c r="R266" s="1"/>
      <c r="S266" s="1" t="s">
        <v>692</v>
      </c>
    </row>
    <row r="267" spans="1:19" x14ac:dyDescent="0.25">
      <c r="A267" s="1" t="s">
        <v>670</v>
      </c>
      <c r="C267" s="29" t="s">
        <v>41</v>
      </c>
      <c r="D267" t="s">
        <v>444</v>
      </c>
      <c r="E267" t="s">
        <v>1061</v>
      </c>
      <c r="F267" t="s">
        <v>1061</v>
      </c>
      <c r="G267" s="1" t="s">
        <v>444</v>
      </c>
      <c r="H267" s="1">
        <f>COUNTIF(C:G,Tabela1[[#This Row],[Liderado]])</f>
        <v>0</v>
      </c>
      <c r="I267" s="1" t="s">
        <v>435</v>
      </c>
      <c r="J267" s="1" t="s">
        <v>301</v>
      </c>
      <c r="K267" s="1" t="s">
        <v>9</v>
      </c>
      <c r="L267" s="2" t="s">
        <v>10</v>
      </c>
      <c r="M267" s="1" t="s">
        <v>11</v>
      </c>
      <c r="N267" s="2">
        <v>11024</v>
      </c>
      <c r="O267" s="1" t="s">
        <v>40</v>
      </c>
      <c r="P267" s="1" t="s">
        <v>175</v>
      </c>
      <c r="Q267" s="1" t="s">
        <v>629</v>
      </c>
      <c r="R267" s="1"/>
      <c r="S267" s="1" t="s">
        <v>692</v>
      </c>
    </row>
    <row r="268" spans="1:19" x14ac:dyDescent="0.25">
      <c r="A268" s="1" t="s">
        <v>627</v>
      </c>
      <c r="C268" s="29" t="s">
        <v>1061</v>
      </c>
      <c r="D268" t="s">
        <v>1061</v>
      </c>
      <c r="E268" t="s">
        <v>1061</v>
      </c>
      <c r="F268" t="s">
        <v>1061</v>
      </c>
      <c r="G268" s="1" t="s">
        <v>1061</v>
      </c>
      <c r="H268" s="1">
        <f>COUNTIF(C:G,Tabela1[[#This Row],[Liderado]])</f>
        <v>0</v>
      </c>
      <c r="I268" s="1" t="s">
        <v>438</v>
      </c>
      <c r="J268" s="1" t="s">
        <v>92</v>
      </c>
      <c r="K268" s="1" t="s">
        <v>9</v>
      </c>
      <c r="L268" s="2" t="s">
        <v>10</v>
      </c>
      <c r="M268" s="1" t="s">
        <v>11</v>
      </c>
      <c r="N268" s="2">
        <v>11024</v>
      </c>
      <c r="O268" s="1" t="s">
        <v>40</v>
      </c>
      <c r="P268" s="1" t="s">
        <v>175</v>
      </c>
      <c r="Q268" s="1" t="s">
        <v>629</v>
      </c>
      <c r="R268" s="1"/>
      <c r="S268" s="1" t="s">
        <v>692</v>
      </c>
    </row>
    <row r="269" spans="1:19" x14ac:dyDescent="0.25">
      <c r="A269" s="1" t="s">
        <v>671</v>
      </c>
      <c r="C269" s="29" t="s">
        <v>271</v>
      </c>
      <c r="D269" t="s">
        <v>440</v>
      </c>
      <c r="E269" t="s">
        <v>1061</v>
      </c>
      <c r="F269" t="s">
        <v>1061</v>
      </c>
      <c r="G269" s="1" t="s">
        <v>1744</v>
      </c>
      <c r="H269" s="1">
        <f>COUNTIF(C:G,Tabela1[[#This Row],[Liderado]])</f>
        <v>0</v>
      </c>
      <c r="I269" s="1" t="s">
        <v>1745</v>
      </c>
      <c r="J269" s="1" t="s">
        <v>265</v>
      </c>
      <c r="K269" s="1" t="s">
        <v>9</v>
      </c>
      <c r="L269" s="2" t="s">
        <v>10</v>
      </c>
      <c r="M269" s="1" t="s">
        <v>11</v>
      </c>
      <c r="N269" s="2">
        <v>11024</v>
      </c>
      <c r="O269" s="1" t="s">
        <v>40</v>
      </c>
      <c r="P269" s="1" t="s">
        <v>175</v>
      </c>
      <c r="Q269" s="1" t="s">
        <v>629</v>
      </c>
      <c r="R269" s="1"/>
      <c r="S269" s="1" t="s">
        <v>692</v>
      </c>
    </row>
    <row r="270" spans="1:19" x14ac:dyDescent="0.25">
      <c r="A270" s="1" t="s">
        <v>671</v>
      </c>
      <c r="C270" s="29" t="s">
        <v>271</v>
      </c>
      <c r="D270" t="s">
        <v>1061</v>
      </c>
      <c r="E270" t="s">
        <v>1061</v>
      </c>
      <c r="F270" t="s">
        <v>1061</v>
      </c>
      <c r="G270" s="1" t="s">
        <v>1061</v>
      </c>
      <c r="H270" s="1">
        <f>COUNTIF(C:G,Tabela1[[#This Row],[Liderado]])</f>
        <v>56</v>
      </c>
      <c r="I270" s="1" t="s">
        <v>440</v>
      </c>
      <c r="J270" s="1" t="s">
        <v>1751</v>
      </c>
      <c r="K270" s="1" t="s">
        <v>9</v>
      </c>
      <c r="L270" s="2" t="s">
        <v>10</v>
      </c>
      <c r="M270" s="1" t="s">
        <v>11</v>
      </c>
      <c r="N270" s="2">
        <v>11024</v>
      </c>
      <c r="O270" s="1" t="s">
        <v>40</v>
      </c>
      <c r="P270" s="1" t="s">
        <v>175</v>
      </c>
      <c r="Q270" s="1" t="s">
        <v>629</v>
      </c>
      <c r="R270" s="1"/>
      <c r="S270" s="1" t="s">
        <v>692</v>
      </c>
    </row>
    <row r="271" spans="1:19" x14ac:dyDescent="0.25">
      <c r="A271" s="1" t="s">
        <v>627</v>
      </c>
      <c r="C271" s="29" t="s">
        <v>41</v>
      </c>
      <c r="D271" t="s">
        <v>38</v>
      </c>
      <c r="E271" t="s">
        <v>1061</v>
      </c>
      <c r="F271" t="s">
        <v>32</v>
      </c>
      <c r="G271" s="1" t="s">
        <v>79</v>
      </c>
      <c r="H271" s="1">
        <f>COUNTIF(C:G,Tabela1[[#This Row],[Liderado]])</f>
        <v>0</v>
      </c>
      <c r="I271" s="1" t="s">
        <v>443</v>
      </c>
      <c r="J271" s="1" t="s">
        <v>34</v>
      </c>
      <c r="K271" s="1" t="s">
        <v>9</v>
      </c>
      <c r="L271" s="2" t="s">
        <v>10</v>
      </c>
      <c r="M271" s="1" t="s">
        <v>11</v>
      </c>
      <c r="N271" s="2">
        <v>11024</v>
      </c>
      <c r="O271" s="1" t="s">
        <v>40</v>
      </c>
      <c r="P271" s="1" t="s">
        <v>175</v>
      </c>
      <c r="Q271" s="1" t="s">
        <v>629</v>
      </c>
      <c r="R271" s="1"/>
      <c r="S271" s="1" t="s">
        <v>692</v>
      </c>
    </row>
    <row r="272" spans="1:19" x14ac:dyDescent="0.25">
      <c r="A272" s="1" t="s">
        <v>627</v>
      </c>
      <c r="C272" s="29" t="s">
        <v>41</v>
      </c>
      <c r="D272" t="s">
        <v>38</v>
      </c>
      <c r="E272" t="s">
        <v>1061</v>
      </c>
      <c r="F272" t="s">
        <v>42</v>
      </c>
      <c r="G272" s="1" t="s">
        <v>1061</v>
      </c>
      <c r="H272" s="1">
        <f>COUNTIF(C:G,Tabela1[[#This Row],[Liderado]])</f>
        <v>0</v>
      </c>
      <c r="I272" s="1" t="s">
        <v>445</v>
      </c>
      <c r="J272" s="1" t="s">
        <v>34</v>
      </c>
      <c r="K272" s="1" t="s">
        <v>9</v>
      </c>
      <c r="L272" s="2" t="s">
        <v>10</v>
      </c>
      <c r="M272" s="1" t="s">
        <v>11</v>
      </c>
      <c r="N272" s="2">
        <v>11024</v>
      </c>
      <c r="O272" s="1" t="s">
        <v>40</v>
      </c>
      <c r="P272" s="1" t="s">
        <v>175</v>
      </c>
      <c r="Q272" s="1" t="s">
        <v>629</v>
      </c>
      <c r="R272" s="1"/>
      <c r="S272" s="1" t="s">
        <v>692</v>
      </c>
    </row>
    <row r="273" spans="1:19" x14ac:dyDescent="0.25">
      <c r="A273" s="1" t="s">
        <v>627</v>
      </c>
      <c r="C273" s="29" t="s">
        <v>41</v>
      </c>
      <c r="D273" t="s">
        <v>38</v>
      </c>
      <c r="E273" t="s">
        <v>1061</v>
      </c>
      <c r="F273" t="s">
        <v>32</v>
      </c>
      <c r="G273" s="1" t="s">
        <v>79</v>
      </c>
      <c r="H273" s="1">
        <f>COUNTIF(C:G,Tabela1[[#This Row],[Liderado]])</f>
        <v>0</v>
      </c>
      <c r="I273" s="1" t="s">
        <v>446</v>
      </c>
      <c r="J273" s="1" t="s">
        <v>34</v>
      </c>
      <c r="K273" s="1" t="s">
        <v>9</v>
      </c>
      <c r="L273" s="2" t="s">
        <v>10</v>
      </c>
      <c r="M273" s="1" t="s">
        <v>11</v>
      </c>
      <c r="N273" s="2">
        <v>11024</v>
      </c>
      <c r="O273" s="1" t="s">
        <v>40</v>
      </c>
      <c r="P273" s="1" t="s">
        <v>175</v>
      </c>
      <c r="Q273" s="1" t="s">
        <v>629</v>
      </c>
      <c r="R273" s="1"/>
      <c r="S273" s="1" t="s">
        <v>692</v>
      </c>
    </row>
    <row r="274" spans="1:19" x14ac:dyDescent="0.25">
      <c r="A274" s="1" t="s">
        <v>671</v>
      </c>
      <c r="C274" s="29" t="s">
        <v>271</v>
      </c>
      <c r="D274" t="s">
        <v>440</v>
      </c>
      <c r="E274" t="s">
        <v>1061</v>
      </c>
      <c r="F274" t="s">
        <v>450</v>
      </c>
      <c r="G274" s="1" t="s">
        <v>1061</v>
      </c>
      <c r="H274" s="1">
        <f>COUNTIF(C:G,Tabela1[[#This Row],[Liderado]])</f>
        <v>0</v>
      </c>
      <c r="I274" s="1" t="s">
        <v>1761</v>
      </c>
      <c r="J274" s="1" t="s">
        <v>265</v>
      </c>
      <c r="K274" s="1" t="s">
        <v>9</v>
      </c>
      <c r="L274" s="2" t="s">
        <v>10</v>
      </c>
      <c r="M274" s="1" t="s">
        <v>11</v>
      </c>
      <c r="N274" s="2">
        <v>11024</v>
      </c>
      <c r="O274" s="1" t="s">
        <v>40</v>
      </c>
      <c r="P274" s="1" t="s">
        <v>175</v>
      </c>
      <c r="Q274" s="1" t="s">
        <v>629</v>
      </c>
      <c r="R274" s="1"/>
      <c r="S274" s="1" t="s">
        <v>692</v>
      </c>
    </row>
    <row r="275" spans="1:19" x14ac:dyDescent="0.25">
      <c r="A275" s="1" t="s">
        <v>670</v>
      </c>
      <c r="C275" s="29" t="s">
        <v>41</v>
      </c>
      <c r="D275" t="s">
        <v>1061</v>
      </c>
      <c r="E275" t="s">
        <v>1061</v>
      </c>
      <c r="F275" t="s">
        <v>1061</v>
      </c>
      <c r="G275" s="1" t="s">
        <v>1061</v>
      </c>
      <c r="H275" s="1">
        <f>COUNTIF(C:G,Tabela1[[#This Row],[Liderado]])</f>
        <v>84</v>
      </c>
      <c r="I275" s="1" t="s">
        <v>444</v>
      </c>
      <c r="J275" s="1" t="s">
        <v>281</v>
      </c>
      <c r="K275" s="1" t="s">
        <v>9</v>
      </c>
      <c r="L275" s="2" t="s">
        <v>10</v>
      </c>
      <c r="M275" s="1" t="s">
        <v>11</v>
      </c>
      <c r="N275" s="2">
        <v>11024</v>
      </c>
      <c r="O275" s="1" t="s">
        <v>40</v>
      </c>
      <c r="P275" s="1" t="s">
        <v>175</v>
      </c>
      <c r="Q275" s="1" t="s">
        <v>629</v>
      </c>
      <c r="R275" s="1"/>
      <c r="S275" s="1" t="s">
        <v>692</v>
      </c>
    </row>
    <row r="276" spans="1:19" x14ac:dyDescent="0.25">
      <c r="A276" s="1" t="s">
        <v>670</v>
      </c>
      <c r="C276" s="29" t="s">
        <v>41</v>
      </c>
      <c r="D276" t="s">
        <v>444</v>
      </c>
      <c r="E276" t="s">
        <v>1061</v>
      </c>
      <c r="F276" t="s">
        <v>1061</v>
      </c>
      <c r="G276" s="1" t="s">
        <v>1061</v>
      </c>
      <c r="H276" s="1">
        <f>COUNTIF(C:G,Tabela1[[#This Row],[Liderado]])</f>
        <v>8</v>
      </c>
      <c r="I276" s="1" t="s">
        <v>437</v>
      </c>
      <c r="J276" s="1" t="s">
        <v>43</v>
      </c>
      <c r="K276" s="1" t="s">
        <v>9</v>
      </c>
      <c r="L276" s="2" t="s">
        <v>10</v>
      </c>
      <c r="M276" s="1" t="s">
        <v>11</v>
      </c>
      <c r="N276" s="2">
        <v>11024</v>
      </c>
      <c r="O276" s="1" t="s">
        <v>40</v>
      </c>
      <c r="P276" s="1" t="s">
        <v>175</v>
      </c>
      <c r="Q276" s="1" t="s">
        <v>629</v>
      </c>
      <c r="R276" s="1"/>
      <c r="S276" s="1" t="s">
        <v>692</v>
      </c>
    </row>
    <row r="277" spans="1:19" x14ac:dyDescent="0.25">
      <c r="A277" s="1" t="s">
        <v>670</v>
      </c>
      <c r="C277" s="29" t="s">
        <v>41</v>
      </c>
      <c r="D277" t="s">
        <v>444</v>
      </c>
      <c r="E277" t="s">
        <v>1061</v>
      </c>
      <c r="F277" t="s">
        <v>1061</v>
      </c>
      <c r="G277" s="1" t="s">
        <v>437</v>
      </c>
      <c r="H277" s="1">
        <f>COUNTIF(C:G,Tabela1[[#This Row],[Liderado]])</f>
        <v>0</v>
      </c>
      <c r="I277" s="1" t="s">
        <v>449</v>
      </c>
      <c r="J277" s="1" t="s">
        <v>34</v>
      </c>
      <c r="K277" s="1" t="s">
        <v>9</v>
      </c>
      <c r="L277" s="2" t="s">
        <v>10</v>
      </c>
      <c r="M277" s="1" t="s">
        <v>11</v>
      </c>
      <c r="N277" s="2">
        <v>11024</v>
      </c>
      <c r="O277" s="1" t="s">
        <v>40</v>
      </c>
      <c r="P277" s="1" t="s">
        <v>175</v>
      </c>
      <c r="Q277" s="1" t="s">
        <v>629</v>
      </c>
      <c r="R277" s="1"/>
      <c r="S277" s="1" t="s">
        <v>692</v>
      </c>
    </row>
    <row r="278" spans="1:19" x14ac:dyDescent="0.25">
      <c r="A278" s="1" t="s">
        <v>671</v>
      </c>
      <c r="C278" s="29" t="s">
        <v>271</v>
      </c>
      <c r="D278" t="s">
        <v>440</v>
      </c>
      <c r="E278" t="s">
        <v>1061</v>
      </c>
      <c r="F278" t="s">
        <v>1061</v>
      </c>
      <c r="G278" s="1" t="s">
        <v>1744</v>
      </c>
      <c r="H278" s="1">
        <f>COUNTIF(C:G,Tabela1[[#This Row],[Liderado]])</f>
        <v>0</v>
      </c>
      <c r="I278" s="1" t="s">
        <v>1780</v>
      </c>
      <c r="J278" s="1" t="s">
        <v>34</v>
      </c>
      <c r="K278" s="1" t="s">
        <v>9</v>
      </c>
      <c r="L278" s="2" t="s">
        <v>10</v>
      </c>
      <c r="M278" s="1" t="s">
        <v>11</v>
      </c>
      <c r="N278" s="2">
        <v>11024</v>
      </c>
      <c r="O278" s="1" t="s">
        <v>40</v>
      </c>
      <c r="P278" s="1" t="s">
        <v>175</v>
      </c>
      <c r="Q278" s="1" t="s">
        <v>629</v>
      </c>
      <c r="R278" s="1"/>
      <c r="S278" s="1" t="s">
        <v>692</v>
      </c>
    </row>
    <row r="279" spans="1:19" x14ac:dyDescent="0.25">
      <c r="A279" s="1" t="s">
        <v>671</v>
      </c>
      <c r="C279" s="29" t="s">
        <v>271</v>
      </c>
      <c r="D279" t="s">
        <v>440</v>
      </c>
      <c r="E279" t="s">
        <v>1061</v>
      </c>
      <c r="F279" t="s">
        <v>450</v>
      </c>
      <c r="G279" s="1" t="s">
        <v>1061</v>
      </c>
      <c r="H279" s="1">
        <f>COUNTIF(C:G,Tabela1[[#This Row],[Liderado]])</f>
        <v>0</v>
      </c>
      <c r="I279" s="1" t="s">
        <v>446</v>
      </c>
      <c r="J279" s="1" t="s">
        <v>34</v>
      </c>
      <c r="K279" s="1" t="s">
        <v>9</v>
      </c>
      <c r="L279" s="2" t="s">
        <v>10</v>
      </c>
      <c r="M279" s="1" t="s">
        <v>11</v>
      </c>
      <c r="N279" s="2">
        <v>11024</v>
      </c>
      <c r="O279" s="1" t="s">
        <v>40</v>
      </c>
      <c r="P279" s="1" t="s">
        <v>175</v>
      </c>
      <c r="Q279" s="1" t="s">
        <v>629</v>
      </c>
      <c r="R279" s="1"/>
      <c r="S279" s="1" t="s">
        <v>692</v>
      </c>
    </row>
    <row r="280" spans="1:19" x14ac:dyDescent="0.25">
      <c r="A280" s="1" t="s">
        <v>670</v>
      </c>
      <c r="C280" s="29" t="s">
        <v>41</v>
      </c>
      <c r="D280" t="s">
        <v>444</v>
      </c>
      <c r="E280" t="s">
        <v>1061</v>
      </c>
      <c r="F280" t="s">
        <v>1061</v>
      </c>
      <c r="G280" s="1" t="s">
        <v>444</v>
      </c>
      <c r="H280" s="1">
        <f>COUNTIF(C:G,Tabela1[[#This Row],[Liderado]])</f>
        <v>0</v>
      </c>
      <c r="I280" s="1" t="s">
        <v>451</v>
      </c>
      <c r="J280" s="1" t="s">
        <v>301</v>
      </c>
      <c r="K280" s="1" t="s">
        <v>9</v>
      </c>
      <c r="L280" s="2" t="s">
        <v>10</v>
      </c>
      <c r="M280" s="1" t="s">
        <v>11</v>
      </c>
      <c r="N280" s="2">
        <v>11024</v>
      </c>
      <c r="O280" s="1" t="s">
        <v>40</v>
      </c>
      <c r="P280" s="1" t="s">
        <v>175</v>
      </c>
      <c r="Q280" s="1" t="s">
        <v>629</v>
      </c>
      <c r="R280" s="1"/>
      <c r="S280" s="1" t="s">
        <v>692</v>
      </c>
    </row>
    <row r="281" spans="1:19" x14ac:dyDescent="0.25">
      <c r="A281" s="1" t="s">
        <v>627</v>
      </c>
      <c r="C281" s="29" t="s">
        <v>41</v>
      </c>
      <c r="D281" t="s">
        <v>38</v>
      </c>
      <c r="E281" t="s">
        <v>1061</v>
      </c>
      <c r="F281" t="s">
        <v>245</v>
      </c>
      <c r="G281" s="1" t="s">
        <v>455</v>
      </c>
      <c r="H281" s="1">
        <f>COUNTIF(C:G,Tabela1[[#This Row],[Liderado]])</f>
        <v>0</v>
      </c>
      <c r="I281" s="1" t="s">
        <v>452</v>
      </c>
      <c r="J281" s="1" t="s">
        <v>303</v>
      </c>
      <c r="K281" s="1" t="s">
        <v>9</v>
      </c>
      <c r="L281" s="2" t="s">
        <v>10</v>
      </c>
      <c r="M281" s="1" t="s">
        <v>11</v>
      </c>
      <c r="N281" s="2">
        <v>11024</v>
      </c>
      <c r="O281" s="1" t="s">
        <v>40</v>
      </c>
      <c r="P281" s="1" t="s">
        <v>175</v>
      </c>
      <c r="Q281" s="1" t="s">
        <v>629</v>
      </c>
      <c r="R281" s="1"/>
      <c r="S281" s="1" t="s">
        <v>692</v>
      </c>
    </row>
    <row r="282" spans="1:19" x14ac:dyDescent="0.25">
      <c r="A282" s="1" t="s">
        <v>627</v>
      </c>
      <c r="C282" s="29" t="s">
        <v>41</v>
      </c>
      <c r="D282" t="s">
        <v>38</v>
      </c>
      <c r="E282" t="s">
        <v>1061</v>
      </c>
      <c r="F282" t="s">
        <v>245</v>
      </c>
      <c r="G282" s="1" t="s">
        <v>136</v>
      </c>
      <c r="H282" s="1">
        <f>COUNTIF(C:G,Tabela1[[#This Row],[Liderado]])</f>
        <v>0</v>
      </c>
      <c r="I282" s="1" t="s">
        <v>456</v>
      </c>
      <c r="J282" s="1" t="s">
        <v>303</v>
      </c>
      <c r="K282" s="1" t="s">
        <v>9</v>
      </c>
      <c r="L282" s="2" t="s">
        <v>10</v>
      </c>
      <c r="M282" s="1" t="s">
        <v>11</v>
      </c>
      <c r="N282" s="2">
        <v>11024</v>
      </c>
      <c r="O282" s="1" t="s">
        <v>40</v>
      </c>
      <c r="P282" s="1" t="s">
        <v>175</v>
      </c>
      <c r="Q282" s="1" t="s">
        <v>629</v>
      </c>
      <c r="R282" s="1"/>
      <c r="S282" s="1" t="s">
        <v>692</v>
      </c>
    </row>
    <row r="283" spans="1:19" x14ac:dyDescent="0.25">
      <c r="A283" s="1" t="s">
        <v>627</v>
      </c>
      <c r="C283" s="29" t="s">
        <v>41</v>
      </c>
      <c r="D283" t="s">
        <v>38</v>
      </c>
      <c r="E283" t="s">
        <v>37</v>
      </c>
      <c r="F283" t="s">
        <v>1061</v>
      </c>
      <c r="G283" s="1" t="s">
        <v>259</v>
      </c>
      <c r="H283" s="1">
        <f>COUNTIF(C:G,Tabela1[[#This Row],[Liderado]])</f>
        <v>0</v>
      </c>
      <c r="I283" s="1" t="s">
        <v>457</v>
      </c>
      <c r="J283" s="1" t="s">
        <v>34</v>
      </c>
      <c r="K283" s="1" t="s">
        <v>9</v>
      </c>
      <c r="L283" s="2" t="s">
        <v>10</v>
      </c>
      <c r="M283" s="1" t="s">
        <v>11</v>
      </c>
      <c r="N283" s="2">
        <v>11024</v>
      </c>
      <c r="O283" s="1" t="s">
        <v>40</v>
      </c>
      <c r="P283" s="1" t="s">
        <v>175</v>
      </c>
      <c r="Q283" s="1" t="s">
        <v>629</v>
      </c>
      <c r="R283" s="1"/>
      <c r="S283" s="1" t="s">
        <v>692</v>
      </c>
    </row>
    <row r="284" spans="1:19" x14ac:dyDescent="0.25">
      <c r="A284" s="1" t="s">
        <v>670</v>
      </c>
      <c r="C284" s="29" t="s">
        <v>41</v>
      </c>
      <c r="D284" t="s">
        <v>444</v>
      </c>
      <c r="E284" t="s">
        <v>1061</v>
      </c>
      <c r="F284" t="s">
        <v>1061</v>
      </c>
      <c r="G284" s="1" t="s">
        <v>1061</v>
      </c>
      <c r="H284" s="1">
        <f>COUNTIF(C:G,Tabela1[[#This Row],[Liderado]])</f>
        <v>8</v>
      </c>
      <c r="I284" s="1" t="s">
        <v>458</v>
      </c>
      <c r="J284" s="1" t="s">
        <v>43</v>
      </c>
      <c r="K284" s="1" t="s">
        <v>9</v>
      </c>
      <c r="L284" s="2" t="s">
        <v>10</v>
      </c>
      <c r="M284" s="1" t="s">
        <v>11</v>
      </c>
      <c r="N284" s="2">
        <v>11024</v>
      </c>
      <c r="O284" s="1" t="s">
        <v>40</v>
      </c>
      <c r="P284" s="1" t="s">
        <v>175</v>
      </c>
      <c r="Q284" s="1" t="s">
        <v>629</v>
      </c>
      <c r="R284" s="1"/>
      <c r="S284" s="1" t="s">
        <v>692</v>
      </c>
    </row>
    <row r="285" spans="1:19" x14ac:dyDescent="0.25">
      <c r="A285" s="1" t="s">
        <v>671</v>
      </c>
      <c r="C285" s="29" t="s">
        <v>271</v>
      </c>
      <c r="D285" t="s">
        <v>440</v>
      </c>
      <c r="E285" t="s">
        <v>1061</v>
      </c>
      <c r="F285" t="s">
        <v>1061</v>
      </c>
      <c r="G285" s="1" t="s">
        <v>440</v>
      </c>
      <c r="H285" s="1">
        <f>COUNTIF(C:G,Tabela1[[#This Row],[Liderado]])</f>
        <v>0</v>
      </c>
      <c r="I285" s="1" t="s">
        <v>460</v>
      </c>
      <c r="J285" s="1" t="s">
        <v>153</v>
      </c>
      <c r="K285" s="1" t="s">
        <v>9</v>
      </c>
      <c r="L285" s="2" t="s">
        <v>10</v>
      </c>
      <c r="M285" s="1" t="s">
        <v>11</v>
      </c>
      <c r="N285" s="2">
        <v>11024</v>
      </c>
      <c r="O285" s="1" t="s">
        <v>40</v>
      </c>
      <c r="P285" s="1" t="s">
        <v>175</v>
      </c>
      <c r="Q285" s="1" t="s">
        <v>629</v>
      </c>
      <c r="R285" s="1"/>
      <c r="S285" s="1" t="s">
        <v>692</v>
      </c>
    </row>
    <row r="286" spans="1:19" x14ac:dyDescent="0.25">
      <c r="A286" s="1" t="s">
        <v>627</v>
      </c>
      <c r="C286" s="29" t="s">
        <v>41</v>
      </c>
      <c r="D286" t="s">
        <v>38</v>
      </c>
      <c r="E286" t="s">
        <v>37</v>
      </c>
      <c r="F286" t="s">
        <v>1061</v>
      </c>
      <c r="G286" s="1" t="s">
        <v>490</v>
      </c>
      <c r="H286" s="1">
        <f>COUNTIF(C:G,Tabela1[[#This Row],[Liderado]])</f>
        <v>0</v>
      </c>
      <c r="I286" s="1" t="s">
        <v>462</v>
      </c>
      <c r="J286" s="1" t="s">
        <v>34</v>
      </c>
      <c r="K286" s="1" t="s">
        <v>9</v>
      </c>
      <c r="L286" s="2" t="s">
        <v>10</v>
      </c>
      <c r="M286" s="1" t="s">
        <v>11</v>
      </c>
      <c r="N286" s="2">
        <v>11024</v>
      </c>
      <c r="O286" s="1" t="s">
        <v>40</v>
      </c>
      <c r="P286" s="1" t="s">
        <v>175</v>
      </c>
      <c r="Q286" s="1" t="s">
        <v>629</v>
      </c>
      <c r="R286" s="1"/>
      <c r="S286" s="1" t="s">
        <v>692</v>
      </c>
    </row>
    <row r="287" spans="1:19" x14ac:dyDescent="0.25">
      <c r="A287" s="1" t="s">
        <v>670</v>
      </c>
      <c r="C287" s="29" t="s">
        <v>41</v>
      </c>
      <c r="D287" t="s">
        <v>444</v>
      </c>
      <c r="E287" t="s">
        <v>1061</v>
      </c>
      <c r="F287" t="s">
        <v>1061</v>
      </c>
      <c r="G287" s="1" t="s">
        <v>458</v>
      </c>
      <c r="H287" s="1">
        <f>COUNTIF(C:G,Tabela1[[#This Row],[Liderado]])</f>
        <v>0</v>
      </c>
      <c r="I287" s="1" t="s">
        <v>1809</v>
      </c>
      <c r="J287" s="1" t="s">
        <v>34</v>
      </c>
      <c r="K287" s="1" t="s">
        <v>9</v>
      </c>
      <c r="L287" s="2" t="s">
        <v>10</v>
      </c>
      <c r="M287" s="1" t="s">
        <v>11</v>
      </c>
      <c r="N287" s="2">
        <v>11024</v>
      </c>
      <c r="O287" s="1" t="s">
        <v>40</v>
      </c>
      <c r="P287" s="1" t="s">
        <v>175</v>
      </c>
      <c r="Q287" s="1" t="s">
        <v>629</v>
      </c>
      <c r="R287" s="1"/>
      <c r="S287" s="1" t="s">
        <v>692</v>
      </c>
    </row>
    <row r="288" spans="1:19" x14ac:dyDescent="0.25">
      <c r="A288" s="1" t="s">
        <v>627</v>
      </c>
      <c r="C288" s="29" t="s">
        <v>41</v>
      </c>
      <c r="D288" t="s">
        <v>38</v>
      </c>
      <c r="E288" t="s">
        <v>1061</v>
      </c>
      <c r="F288" t="s">
        <v>1061</v>
      </c>
      <c r="G288" s="1" t="s">
        <v>38</v>
      </c>
      <c r="H288" s="1">
        <f>COUNTIF(C:G,Tabela1[[#This Row],[Liderado]])</f>
        <v>0</v>
      </c>
      <c r="I288" s="1" t="s">
        <v>463</v>
      </c>
      <c r="J288" s="1" t="s">
        <v>168</v>
      </c>
      <c r="K288" s="1" t="s">
        <v>9</v>
      </c>
      <c r="L288" s="2" t="s">
        <v>10</v>
      </c>
      <c r="M288" s="1" t="s">
        <v>11</v>
      </c>
      <c r="N288" s="2">
        <v>11024</v>
      </c>
      <c r="O288" s="1" t="s">
        <v>40</v>
      </c>
      <c r="P288" s="1" t="s">
        <v>175</v>
      </c>
      <c r="Q288" s="1" t="s">
        <v>629</v>
      </c>
      <c r="R288" s="1"/>
      <c r="S288" s="1" t="s">
        <v>692</v>
      </c>
    </row>
    <row r="289" spans="1:19" x14ac:dyDescent="0.25">
      <c r="A289" s="1" t="s">
        <v>671</v>
      </c>
      <c r="C289" s="29" t="s">
        <v>271</v>
      </c>
      <c r="D289" t="s">
        <v>440</v>
      </c>
      <c r="E289" t="s">
        <v>1061</v>
      </c>
      <c r="F289" t="s">
        <v>1061</v>
      </c>
      <c r="G289" s="1" t="s">
        <v>1744</v>
      </c>
      <c r="H289" s="1">
        <f>COUNTIF(C:G,Tabela1[[#This Row],[Liderado]])</f>
        <v>0</v>
      </c>
      <c r="I289" s="1" t="s">
        <v>1815</v>
      </c>
      <c r="J289" s="1" t="s">
        <v>34</v>
      </c>
      <c r="K289" s="1" t="s">
        <v>9</v>
      </c>
      <c r="L289" s="2" t="s">
        <v>10</v>
      </c>
      <c r="M289" s="1" t="s">
        <v>11</v>
      </c>
      <c r="N289" s="2">
        <v>11024</v>
      </c>
      <c r="O289" s="1" t="s">
        <v>40</v>
      </c>
      <c r="P289" s="1" t="s">
        <v>175</v>
      </c>
      <c r="Q289" s="1" t="s">
        <v>629</v>
      </c>
      <c r="R289" s="1"/>
      <c r="S289" s="1" t="s">
        <v>692</v>
      </c>
    </row>
    <row r="290" spans="1:19" x14ac:dyDescent="0.25">
      <c r="A290" s="1" t="s">
        <v>671</v>
      </c>
      <c r="C290" s="29" t="s">
        <v>271</v>
      </c>
      <c r="D290" t="s">
        <v>440</v>
      </c>
      <c r="E290" t="s">
        <v>1061</v>
      </c>
      <c r="F290" t="s">
        <v>450</v>
      </c>
      <c r="G290" s="1" t="s">
        <v>1061</v>
      </c>
      <c r="H290" s="1">
        <f>COUNTIF(C:G,Tabela1[[#This Row],[Liderado]])</f>
        <v>0</v>
      </c>
      <c r="I290" s="1" t="s">
        <v>464</v>
      </c>
      <c r="J290" s="1" t="s">
        <v>34</v>
      </c>
      <c r="K290" s="1" t="s">
        <v>9</v>
      </c>
      <c r="L290" s="2" t="s">
        <v>10</v>
      </c>
      <c r="M290" s="1" t="s">
        <v>11</v>
      </c>
      <c r="N290" s="2">
        <v>11024</v>
      </c>
      <c r="O290" s="1" t="s">
        <v>40</v>
      </c>
      <c r="P290" s="1" t="s">
        <v>175</v>
      </c>
      <c r="Q290" s="1" t="s">
        <v>629</v>
      </c>
      <c r="R290" s="1"/>
      <c r="S290" s="1" t="s">
        <v>692</v>
      </c>
    </row>
    <row r="291" spans="1:19" x14ac:dyDescent="0.25">
      <c r="A291" s="1" t="s">
        <v>671</v>
      </c>
      <c r="C291" s="29" t="s">
        <v>271</v>
      </c>
      <c r="D291" t="s">
        <v>440</v>
      </c>
      <c r="E291" t="s">
        <v>1061</v>
      </c>
      <c r="F291" t="s">
        <v>450</v>
      </c>
      <c r="G291" s="1" t="s">
        <v>1061</v>
      </c>
      <c r="H291" s="1">
        <f>COUNTIF(C:G,Tabela1[[#This Row],[Liderado]])</f>
        <v>0</v>
      </c>
      <c r="I291" s="1" t="s">
        <v>465</v>
      </c>
      <c r="J291" s="1" t="s">
        <v>34</v>
      </c>
      <c r="K291" s="1" t="s">
        <v>9</v>
      </c>
      <c r="L291" s="2" t="s">
        <v>10</v>
      </c>
      <c r="M291" s="1" t="s">
        <v>11</v>
      </c>
      <c r="N291" s="2">
        <v>11024</v>
      </c>
      <c r="O291" s="1" t="s">
        <v>40</v>
      </c>
      <c r="P291" s="1" t="s">
        <v>175</v>
      </c>
      <c r="Q291" s="1" t="s">
        <v>629</v>
      </c>
      <c r="R291" s="1"/>
      <c r="S291" s="1" t="s">
        <v>692</v>
      </c>
    </row>
    <row r="292" spans="1:19" x14ac:dyDescent="0.25">
      <c r="A292" s="1" t="s">
        <v>671</v>
      </c>
      <c r="C292" s="29" t="s">
        <v>271</v>
      </c>
      <c r="D292" t="s">
        <v>440</v>
      </c>
      <c r="E292" t="s">
        <v>1061</v>
      </c>
      <c r="F292" t="s">
        <v>450</v>
      </c>
      <c r="G292" s="1" t="s">
        <v>1061</v>
      </c>
      <c r="H292" s="1">
        <f>COUNTIF(C:G,Tabela1[[#This Row],[Liderado]])</f>
        <v>0</v>
      </c>
      <c r="I292" s="1" t="s">
        <v>466</v>
      </c>
      <c r="J292" s="1" t="s">
        <v>265</v>
      </c>
      <c r="K292" s="1" t="s">
        <v>9</v>
      </c>
      <c r="L292" s="2" t="s">
        <v>10</v>
      </c>
      <c r="M292" s="1" t="s">
        <v>11</v>
      </c>
      <c r="N292" s="2">
        <v>11024</v>
      </c>
      <c r="O292" s="1" t="s">
        <v>40</v>
      </c>
      <c r="P292" s="1" t="s">
        <v>175</v>
      </c>
      <c r="Q292" s="1" t="s">
        <v>629</v>
      </c>
      <c r="R292" s="1"/>
      <c r="S292" s="1" t="s">
        <v>692</v>
      </c>
    </row>
    <row r="293" spans="1:19" x14ac:dyDescent="0.25">
      <c r="A293" s="1" t="s">
        <v>671</v>
      </c>
      <c r="C293" s="29" t="s">
        <v>271</v>
      </c>
      <c r="D293" t="s">
        <v>440</v>
      </c>
      <c r="E293" t="s">
        <v>1061</v>
      </c>
      <c r="F293" t="s">
        <v>1061</v>
      </c>
      <c r="G293" s="1" t="s">
        <v>440</v>
      </c>
      <c r="H293" s="1">
        <f>COUNTIF(C:G,Tabela1[[#This Row],[Liderado]])</f>
        <v>0</v>
      </c>
      <c r="I293" s="1" t="s">
        <v>467</v>
      </c>
      <c r="J293" s="1" t="s">
        <v>339</v>
      </c>
      <c r="K293" s="1" t="s">
        <v>9</v>
      </c>
      <c r="L293" s="2" t="s">
        <v>10</v>
      </c>
      <c r="M293" s="1" t="s">
        <v>11</v>
      </c>
      <c r="N293" s="2">
        <v>11024</v>
      </c>
      <c r="O293" s="1" t="s">
        <v>40</v>
      </c>
      <c r="P293" s="1" t="s">
        <v>175</v>
      </c>
      <c r="Q293" s="1" t="s">
        <v>629</v>
      </c>
      <c r="R293" s="1"/>
      <c r="S293" s="1" t="s">
        <v>692</v>
      </c>
    </row>
    <row r="294" spans="1:19" x14ac:dyDescent="0.25">
      <c r="A294" s="1" t="s">
        <v>627</v>
      </c>
      <c r="C294" s="29" t="s">
        <v>41</v>
      </c>
      <c r="D294" t="s">
        <v>38</v>
      </c>
      <c r="E294" t="s">
        <v>1061</v>
      </c>
      <c r="F294" t="s">
        <v>245</v>
      </c>
      <c r="G294" s="1" t="s">
        <v>136</v>
      </c>
      <c r="H294" s="1">
        <f>COUNTIF(C:G,Tabela1[[#This Row],[Liderado]])</f>
        <v>0</v>
      </c>
      <c r="I294" s="1" t="s">
        <v>469</v>
      </c>
      <c r="J294" s="1" t="s">
        <v>303</v>
      </c>
      <c r="K294" s="1" t="s">
        <v>9</v>
      </c>
      <c r="L294" s="2" t="s">
        <v>10</v>
      </c>
      <c r="M294" s="1" t="s">
        <v>11</v>
      </c>
      <c r="N294" s="2">
        <v>11024</v>
      </c>
      <c r="O294" s="1" t="s">
        <v>40</v>
      </c>
      <c r="P294" s="1" t="s">
        <v>175</v>
      </c>
      <c r="Q294" s="1" t="s">
        <v>629</v>
      </c>
      <c r="R294" s="1"/>
      <c r="S294" s="1" t="s">
        <v>692</v>
      </c>
    </row>
    <row r="295" spans="1:19" x14ac:dyDescent="0.25">
      <c r="A295" s="1" t="s">
        <v>627</v>
      </c>
      <c r="C295" s="29" t="s">
        <v>41</v>
      </c>
      <c r="D295" t="s">
        <v>38</v>
      </c>
      <c r="E295" t="s">
        <v>1061</v>
      </c>
      <c r="F295" t="s">
        <v>245</v>
      </c>
      <c r="G295" s="1" t="s">
        <v>136</v>
      </c>
      <c r="H295" s="1">
        <f>COUNTIF(C:G,Tabela1[[#This Row],[Liderado]])</f>
        <v>0</v>
      </c>
      <c r="I295" s="1" t="s">
        <v>470</v>
      </c>
      <c r="J295" s="1" t="s">
        <v>303</v>
      </c>
      <c r="K295" s="1" t="s">
        <v>9</v>
      </c>
      <c r="L295" s="2" t="s">
        <v>10</v>
      </c>
      <c r="M295" s="1" t="s">
        <v>11</v>
      </c>
      <c r="N295" s="2">
        <v>11024</v>
      </c>
      <c r="O295" s="1" t="s">
        <v>40</v>
      </c>
      <c r="P295" s="1" t="s">
        <v>175</v>
      </c>
      <c r="Q295" s="1" t="s">
        <v>629</v>
      </c>
      <c r="R295" s="1"/>
      <c r="S295" s="1" t="s">
        <v>692</v>
      </c>
    </row>
    <row r="296" spans="1:19" x14ac:dyDescent="0.25">
      <c r="A296" s="1" t="s">
        <v>627</v>
      </c>
      <c r="C296" s="29" t="s">
        <v>41</v>
      </c>
      <c r="D296" t="s">
        <v>38</v>
      </c>
      <c r="E296" t="s">
        <v>1061</v>
      </c>
      <c r="F296" t="s">
        <v>245</v>
      </c>
      <c r="G296" s="1" t="s">
        <v>136</v>
      </c>
      <c r="H296" s="1">
        <f>COUNTIF(C:G,Tabela1[[#This Row],[Liderado]])</f>
        <v>0</v>
      </c>
      <c r="I296" s="1" t="s">
        <v>471</v>
      </c>
      <c r="J296" s="1" t="s">
        <v>294</v>
      </c>
      <c r="K296" s="1" t="s">
        <v>9</v>
      </c>
      <c r="L296" s="2" t="s">
        <v>10</v>
      </c>
      <c r="M296" s="1" t="s">
        <v>11</v>
      </c>
      <c r="N296" s="2">
        <v>11024</v>
      </c>
      <c r="O296" s="1" t="s">
        <v>40</v>
      </c>
      <c r="P296" s="1" t="s">
        <v>175</v>
      </c>
      <c r="Q296" s="1" t="s">
        <v>629</v>
      </c>
      <c r="R296" s="1"/>
      <c r="S296" s="1" t="s">
        <v>692</v>
      </c>
    </row>
    <row r="297" spans="1:19" x14ac:dyDescent="0.25">
      <c r="A297" s="1" t="s">
        <v>671</v>
      </c>
      <c r="C297" s="29" t="s">
        <v>271</v>
      </c>
      <c r="D297" t="s">
        <v>440</v>
      </c>
      <c r="E297" t="s">
        <v>1061</v>
      </c>
      <c r="F297" t="s">
        <v>1061</v>
      </c>
      <c r="G297" s="1" t="s">
        <v>440</v>
      </c>
      <c r="H297" s="1">
        <f>COUNTIF(C:G,Tabela1[[#This Row],[Liderado]])</f>
        <v>0</v>
      </c>
      <c r="I297" s="1" t="s">
        <v>473</v>
      </c>
      <c r="J297" s="1" t="s">
        <v>220</v>
      </c>
      <c r="K297" s="1" t="s">
        <v>9</v>
      </c>
      <c r="L297" s="2" t="s">
        <v>10</v>
      </c>
      <c r="M297" s="1" t="s">
        <v>11</v>
      </c>
      <c r="N297" s="2">
        <v>11024</v>
      </c>
      <c r="O297" s="1" t="s">
        <v>40</v>
      </c>
      <c r="P297" s="1" t="s">
        <v>175</v>
      </c>
      <c r="Q297" s="1" t="s">
        <v>629</v>
      </c>
      <c r="R297" s="1"/>
      <c r="S297" s="1" t="s">
        <v>692</v>
      </c>
    </row>
    <row r="298" spans="1:19" x14ac:dyDescent="0.25">
      <c r="A298" s="1" t="s">
        <v>670</v>
      </c>
      <c r="C298" s="29" t="s">
        <v>41</v>
      </c>
      <c r="D298" t="s">
        <v>444</v>
      </c>
      <c r="E298" t="s">
        <v>1061</v>
      </c>
      <c r="F298" t="s">
        <v>1061</v>
      </c>
      <c r="G298" s="1" t="s">
        <v>444</v>
      </c>
      <c r="H298" s="1">
        <f>COUNTIF(C:G,Tabela1[[#This Row],[Liderado]])</f>
        <v>0</v>
      </c>
      <c r="I298" s="1" t="s">
        <v>475</v>
      </c>
      <c r="J298" s="1" t="s">
        <v>34</v>
      </c>
      <c r="K298" s="1" t="s">
        <v>9</v>
      </c>
      <c r="L298" s="2" t="s">
        <v>10</v>
      </c>
      <c r="M298" s="1" t="s">
        <v>11</v>
      </c>
      <c r="N298" s="2">
        <v>11024</v>
      </c>
      <c r="O298" s="1" t="s">
        <v>40</v>
      </c>
      <c r="P298" s="1" t="s">
        <v>175</v>
      </c>
      <c r="Q298" s="1" t="s">
        <v>629</v>
      </c>
      <c r="R298" s="1"/>
      <c r="S298" s="1" t="s">
        <v>692</v>
      </c>
    </row>
    <row r="299" spans="1:19" x14ac:dyDescent="0.25">
      <c r="A299" s="1" t="s">
        <v>627</v>
      </c>
      <c r="C299" s="29" t="s">
        <v>41</v>
      </c>
      <c r="D299" t="s">
        <v>38</v>
      </c>
      <c r="E299" t="s">
        <v>1061</v>
      </c>
      <c r="F299" t="s">
        <v>32</v>
      </c>
      <c r="G299" s="1" t="s">
        <v>79</v>
      </c>
      <c r="H299" s="1">
        <f>COUNTIF(C:G,Tabela1[[#This Row],[Liderado]])</f>
        <v>0</v>
      </c>
      <c r="I299" s="1" t="s">
        <v>476</v>
      </c>
      <c r="J299" s="1" t="s">
        <v>34</v>
      </c>
      <c r="K299" s="1" t="s">
        <v>9</v>
      </c>
      <c r="L299" s="2" t="s">
        <v>10</v>
      </c>
      <c r="M299" s="1" t="s">
        <v>11</v>
      </c>
      <c r="N299" s="2">
        <v>11024</v>
      </c>
      <c r="O299" s="1" t="s">
        <v>40</v>
      </c>
      <c r="P299" s="1" t="s">
        <v>175</v>
      </c>
      <c r="Q299" s="1" t="s">
        <v>629</v>
      </c>
      <c r="R299" s="1"/>
      <c r="S299" s="1" t="s">
        <v>692</v>
      </c>
    </row>
    <row r="300" spans="1:19" x14ac:dyDescent="0.25">
      <c r="A300" s="1" t="s">
        <v>671</v>
      </c>
      <c r="C300" s="29" t="s">
        <v>271</v>
      </c>
      <c r="D300" t="s">
        <v>440</v>
      </c>
      <c r="E300" t="s">
        <v>1061</v>
      </c>
      <c r="F300" t="s">
        <v>1061</v>
      </c>
      <c r="G300" s="1" t="s">
        <v>488</v>
      </c>
      <c r="H300" s="1">
        <f>COUNTIF(C:G,Tabela1[[#This Row],[Liderado]])</f>
        <v>0</v>
      </c>
      <c r="I300" s="1" t="s">
        <v>1841</v>
      </c>
      <c r="J300" s="1" t="s">
        <v>34</v>
      </c>
      <c r="K300" s="1" t="s">
        <v>9</v>
      </c>
      <c r="L300" s="2" t="s">
        <v>10</v>
      </c>
      <c r="M300" s="1" t="s">
        <v>11</v>
      </c>
      <c r="N300" s="2">
        <v>11024</v>
      </c>
      <c r="O300" s="1" t="s">
        <v>40</v>
      </c>
      <c r="P300" s="1" t="s">
        <v>175</v>
      </c>
      <c r="Q300" s="1" t="s">
        <v>629</v>
      </c>
      <c r="R300" s="1"/>
      <c r="S300" s="1" t="s">
        <v>692</v>
      </c>
    </row>
    <row r="301" spans="1:19" x14ac:dyDescent="0.25">
      <c r="A301" s="1" t="s">
        <v>671</v>
      </c>
      <c r="C301" s="29" t="s">
        <v>271</v>
      </c>
      <c r="D301" t="s">
        <v>440</v>
      </c>
      <c r="E301" t="s">
        <v>1061</v>
      </c>
      <c r="F301" t="s">
        <v>450</v>
      </c>
      <c r="G301" s="1" t="s">
        <v>1061</v>
      </c>
      <c r="H301" s="1">
        <f>COUNTIF(C:G,Tabela1[[#This Row],[Liderado]])</f>
        <v>0</v>
      </c>
      <c r="I301" s="1" t="s">
        <v>477</v>
      </c>
      <c r="J301" s="1" t="s">
        <v>34</v>
      </c>
      <c r="K301" s="1" t="s">
        <v>9</v>
      </c>
      <c r="L301" s="2" t="s">
        <v>10</v>
      </c>
      <c r="M301" s="1" t="s">
        <v>11</v>
      </c>
      <c r="N301" s="2">
        <v>11024</v>
      </c>
      <c r="O301" s="1" t="s">
        <v>40</v>
      </c>
      <c r="P301" s="1" t="s">
        <v>175</v>
      </c>
      <c r="Q301" s="1" t="s">
        <v>629</v>
      </c>
      <c r="R301" s="1"/>
      <c r="S301" s="1" t="s">
        <v>692</v>
      </c>
    </row>
    <row r="302" spans="1:19" x14ac:dyDescent="0.25">
      <c r="A302" s="1" t="s">
        <v>671</v>
      </c>
      <c r="C302" s="29" t="s">
        <v>271</v>
      </c>
      <c r="D302" t="s">
        <v>440</v>
      </c>
      <c r="E302" t="s">
        <v>1061</v>
      </c>
      <c r="F302" t="s">
        <v>450</v>
      </c>
      <c r="G302" s="1" t="s">
        <v>1061</v>
      </c>
      <c r="H302" s="1">
        <f>COUNTIF(C:G,Tabela1[[#This Row],[Liderado]])</f>
        <v>0</v>
      </c>
      <c r="I302" s="1" t="s">
        <v>478</v>
      </c>
      <c r="J302" s="1" t="s">
        <v>34</v>
      </c>
      <c r="K302" s="1" t="s">
        <v>9</v>
      </c>
      <c r="L302" s="2" t="s">
        <v>10</v>
      </c>
      <c r="M302" s="1" t="s">
        <v>11</v>
      </c>
      <c r="N302" s="2">
        <v>11024</v>
      </c>
      <c r="O302" s="1" t="s">
        <v>40</v>
      </c>
      <c r="P302" s="1" t="s">
        <v>175</v>
      </c>
      <c r="Q302" s="1" t="s">
        <v>629</v>
      </c>
      <c r="R302" s="1"/>
      <c r="S302" s="1" t="s">
        <v>692</v>
      </c>
    </row>
    <row r="303" spans="1:19" x14ac:dyDescent="0.25">
      <c r="A303" s="1" t="s">
        <v>671</v>
      </c>
      <c r="C303" s="29" t="s">
        <v>271</v>
      </c>
      <c r="D303" t="s">
        <v>440</v>
      </c>
      <c r="E303" t="s">
        <v>1061</v>
      </c>
      <c r="F303" t="s">
        <v>1061</v>
      </c>
      <c r="G303" s="1" t="s">
        <v>440</v>
      </c>
      <c r="H303" s="1">
        <f>COUNTIF(C:G,Tabela1[[#This Row],[Liderado]])</f>
        <v>0</v>
      </c>
      <c r="I303" s="1" t="s">
        <v>479</v>
      </c>
      <c r="J303" s="1" t="s">
        <v>168</v>
      </c>
      <c r="K303" s="1" t="s">
        <v>9</v>
      </c>
      <c r="L303" s="2" t="s">
        <v>10</v>
      </c>
      <c r="M303" s="1" t="s">
        <v>11</v>
      </c>
      <c r="N303" s="2">
        <v>11024</v>
      </c>
      <c r="O303" s="1" t="s">
        <v>40</v>
      </c>
      <c r="P303" s="1" t="s">
        <v>175</v>
      </c>
      <c r="Q303" s="1" t="s">
        <v>629</v>
      </c>
      <c r="R303" s="1"/>
      <c r="S303" s="1" t="s">
        <v>692</v>
      </c>
    </row>
    <row r="304" spans="1:19" x14ac:dyDescent="0.25">
      <c r="A304" s="1" t="s">
        <v>671</v>
      </c>
      <c r="C304" s="29" t="s">
        <v>271</v>
      </c>
      <c r="D304" t="s">
        <v>440</v>
      </c>
      <c r="E304" t="s">
        <v>1061</v>
      </c>
      <c r="F304" t="s">
        <v>1061</v>
      </c>
      <c r="G304" s="1" t="s">
        <v>440</v>
      </c>
      <c r="H304" s="1">
        <f>COUNTIF(C:G,Tabela1[[#This Row],[Liderado]])</f>
        <v>0</v>
      </c>
      <c r="I304" s="1" t="s">
        <v>482</v>
      </c>
      <c r="J304" s="1" t="s">
        <v>168</v>
      </c>
      <c r="K304" s="1" t="s">
        <v>9</v>
      </c>
      <c r="L304" s="2" t="s">
        <v>10</v>
      </c>
      <c r="M304" s="1" t="s">
        <v>11</v>
      </c>
      <c r="N304" s="2">
        <v>11024</v>
      </c>
      <c r="O304" s="1" t="s">
        <v>40</v>
      </c>
      <c r="P304" s="1" t="s">
        <v>175</v>
      </c>
      <c r="Q304" s="1" t="s">
        <v>629</v>
      </c>
      <c r="R304" s="1"/>
      <c r="S304" s="1" t="s">
        <v>692</v>
      </c>
    </row>
    <row r="305" spans="1:19" x14ac:dyDescent="0.25">
      <c r="A305" s="1" t="s">
        <v>627</v>
      </c>
      <c r="C305" s="29" t="s">
        <v>41</v>
      </c>
      <c r="D305" t="s">
        <v>38</v>
      </c>
      <c r="E305" t="s">
        <v>1061</v>
      </c>
      <c r="F305" t="s">
        <v>32</v>
      </c>
      <c r="G305" s="1" t="s">
        <v>79</v>
      </c>
      <c r="H305" s="1">
        <f>COUNTIF(C:G,Tabela1[[#This Row],[Liderado]])</f>
        <v>0</v>
      </c>
      <c r="I305" s="1" t="s">
        <v>483</v>
      </c>
      <c r="J305" s="1" t="s">
        <v>34</v>
      </c>
      <c r="K305" s="1" t="s">
        <v>9</v>
      </c>
      <c r="L305" s="2" t="s">
        <v>10</v>
      </c>
      <c r="M305" s="1" t="s">
        <v>11</v>
      </c>
      <c r="N305" s="2">
        <v>11024</v>
      </c>
      <c r="O305" s="1" t="s">
        <v>40</v>
      </c>
      <c r="P305" s="1" t="s">
        <v>175</v>
      </c>
      <c r="Q305" s="1" t="s">
        <v>629</v>
      </c>
      <c r="R305" s="1"/>
      <c r="S305" s="1" t="s">
        <v>692</v>
      </c>
    </row>
    <row r="306" spans="1:19" x14ac:dyDescent="0.25">
      <c r="A306" s="1" t="s">
        <v>671</v>
      </c>
      <c r="C306" s="29" t="s">
        <v>271</v>
      </c>
      <c r="D306" t="s">
        <v>440</v>
      </c>
      <c r="E306" t="s">
        <v>1061</v>
      </c>
      <c r="F306" t="s">
        <v>1061</v>
      </c>
      <c r="G306" s="1" t="s">
        <v>440</v>
      </c>
      <c r="H306" s="1">
        <f>COUNTIF(C:G,Tabela1[[#This Row],[Liderado]])</f>
        <v>0</v>
      </c>
      <c r="I306" s="1" t="s">
        <v>484</v>
      </c>
      <c r="J306" s="1" t="s">
        <v>301</v>
      </c>
      <c r="K306" s="1" t="s">
        <v>9</v>
      </c>
      <c r="L306" s="2" t="s">
        <v>10</v>
      </c>
      <c r="M306" s="1" t="s">
        <v>11</v>
      </c>
      <c r="N306" s="2">
        <v>11024</v>
      </c>
      <c r="O306" s="1" t="s">
        <v>40</v>
      </c>
      <c r="P306" s="1" t="s">
        <v>175</v>
      </c>
      <c r="Q306" s="1" t="s">
        <v>629</v>
      </c>
      <c r="R306" s="1"/>
      <c r="S306" s="1" t="s">
        <v>692</v>
      </c>
    </row>
    <row r="307" spans="1:19" x14ac:dyDescent="0.25">
      <c r="A307" s="1" t="s">
        <v>671</v>
      </c>
      <c r="C307" s="29" t="s">
        <v>271</v>
      </c>
      <c r="D307" t="s">
        <v>440</v>
      </c>
      <c r="E307" t="s">
        <v>1061</v>
      </c>
      <c r="F307" t="s">
        <v>1061</v>
      </c>
      <c r="G307" s="1" t="s">
        <v>1744</v>
      </c>
      <c r="H307" s="1">
        <f>COUNTIF(C:G,Tabela1[[#This Row],[Liderado]])</f>
        <v>0</v>
      </c>
      <c r="I307" s="1" t="s">
        <v>1859</v>
      </c>
      <c r="J307" s="1" t="s">
        <v>274</v>
      </c>
      <c r="K307" s="1" t="s">
        <v>9</v>
      </c>
      <c r="L307" s="2" t="s">
        <v>10</v>
      </c>
      <c r="M307" s="1" t="s">
        <v>11</v>
      </c>
      <c r="N307" s="2">
        <v>11024</v>
      </c>
      <c r="O307" s="1" t="s">
        <v>40</v>
      </c>
      <c r="P307" s="1" t="s">
        <v>175</v>
      </c>
      <c r="Q307" s="1" t="s">
        <v>629</v>
      </c>
      <c r="R307" s="1"/>
      <c r="S307" s="1" t="s">
        <v>692</v>
      </c>
    </row>
    <row r="308" spans="1:19" x14ac:dyDescent="0.25">
      <c r="A308" s="1" t="s">
        <v>671</v>
      </c>
      <c r="C308" s="29" t="s">
        <v>271</v>
      </c>
      <c r="D308" t="s">
        <v>440</v>
      </c>
      <c r="E308" t="s">
        <v>1061</v>
      </c>
      <c r="F308" t="s">
        <v>1061</v>
      </c>
      <c r="G308" s="1" t="s">
        <v>440</v>
      </c>
      <c r="H308" s="1">
        <f>COUNTIF(C:G,Tabela1[[#This Row],[Liderado]])</f>
        <v>0</v>
      </c>
      <c r="I308" s="1" t="s">
        <v>485</v>
      </c>
      <c r="J308" s="1" t="s">
        <v>126</v>
      </c>
      <c r="K308" s="1" t="s">
        <v>9</v>
      </c>
      <c r="L308" s="2" t="s">
        <v>10</v>
      </c>
      <c r="M308" s="1" t="s">
        <v>11</v>
      </c>
      <c r="N308" s="2">
        <v>11024</v>
      </c>
      <c r="O308" s="1" t="s">
        <v>40</v>
      </c>
      <c r="P308" s="1" t="s">
        <v>175</v>
      </c>
      <c r="Q308" s="1" t="s">
        <v>629</v>
      </c>
      <c r="R308" s="1"/>
      <c r="S308" s="1" t="s">
        <v>692</v>
      </c>
    </row>
    <row r="309" spans="1:19" x14ac:dyDescent="0.25">
      <c r="A309" s="1" t="s">
        <v>671</v>
      </c>
      <c r="C309" s="29" t="s">
        <v>271</v>
      </c>
      <c r="D309" t="s">
        <v>440</v>
      </c>
      <c r="E309" t="s">
        <v>1061</v>
      </c>
      <c r="F309" t="s">
        <v>1061</v>
      </c>
      <c r="G309" s="1" t="s">
        <v>1061</v>
      </c>
      <c r="H309" s="1">
        <f>COUNTIF(C:G,Tabela1[[#This Row],[Liderado]])</f>
        <v>11</v>
      </c>
      <c r="I309" s="1" t="s">
        <v>450</v>
      </c>
      <c r="J309" s="1" t="s">
        <v>486</v>
      </c>
      <c r="K309" s="1" t="s">
        <v>9</v>
      </c>
      <c r="L309" s="2" t="s">
        <v>10</v>
      </c>
      <c r="M309" s="1" t="s">
        <v>11</v>
      </c>
      <c r="N309" s="2">
        <v>11024</v>
      </c>
      <c r="O309" s="1" t="s">
        <v>40</v>
      </c>
      <c r="P309" s="1" t="s">
        <v>175</v>
      </c>
      <c r="Q309" s="1" t="s">
        <v>629</v>
      </c>
      <c r="R309" s="1"/>
      <c r="S309" s="1" t="s">
        <v>692</v>
      </c>
    </row>
    <row r="310" spans="1:19" x14ac:dyDescent="0.25">
      <c r="A310" s="1" t="s">
        <v>671</v>
      </c>
      <c r="C310" s="29" t="s">
        <v>271</v>
      </c>
      <c r="D310" t="s">
        <v>440</v>
      </c>
      <c r="E310" t="s">
        <v>1061</v>
      </c>
      <c r="F310" t="s">
        <v>1061</v>
      </c>
      <c r="G310" s="1" t="s">
        <v>1061</v>
      </c>
      <c r="H310" s="1">
        <f>COUNTIF(C:G,Tabela1[[#This Row],[Liderado]])</f>
        <v>5</v>
      </c>
      <c r="I310" s="1" t="s">
        <v>488</v>
      </c>
      <c r="J310" s="1" t="s">
        <v>29</v>
      </c>
      <c r="K310" s="1" t="s">
        <v>9</v>
      </c>
      <c r="L310" s="2" t="s">
        <v>10</v>
      </c>
      <c r="M310" s="1" t="s">
        <v>11</v>
      </c>
      <c r="N310" s="2">
        <v>11024</v>
      </c>
      <c r="O310" s="1" t="s">
        <v>40</v>
      </c>
      <c r="P310" s="1" t="s">
        <v>175</v>
      </c>
      <c r="Q310" s="1" t="s">
        <v>629</v>
      </c>
      <c r="R310" s="1"/>
      <c r="S310" s="1" t="s">
        <v>692</v>
      </c>
    </row>
    <row r="311" spans="1:19" x14ac:dyDescent="0.25">
      <c r="A311" s="1" t="s">
        <v>671</v>
      </c>
      <c r="C311" s="29" t="s">
        <v>271</v>
      </c>
      <c r="D311" t="s">
        <v>440</v>
      </c>
      <c r="E311" t="s">
        <v>1061</v>
      </c>
      <c r="F311" t="s">
        <v>1061</v>
      </c>
      <c r="G311" s="1" t="s">
        <v>1744</v>
      </c>
      <c r="H311" s="1">
        <f>COUNTIF(C:G,Tabela1[[#This Row],[Liderado]])</f>
        <v>0</v>
      </c>
      <c r="I311" s="1" t="s">
        <v>1874</v>
      </c>
      <c r="J311" s="1" t="s">
        <v>34</v>
      </c>
      <c r="K311" s="1" t="s">
        <v>9</v>
      </c>
      <c r="L311" s="2" t="s">
        <v>10</v>
      </c>
      <c r="M311" s="1" t="s">
        <v>11</v>
      </c>
      <c r="N311" s="2">
        <v>11024</v>
      </c>
      <c r="O311" s="1" t="s">
        <v>40</v>
      </c>
      <c r="P311" s="1" t="s">
        <v>175</v>
      </c>
      <c r="Q311" s="1" t="s">
        <v>629</v>
      </c>
      <c r="R311" s="1"/>
      <c r="S311" s="1" t="s">
        <v>692</v>
      </c>
    </row>
    <row r="312" spans="1:19" x14ac:dyDescent="0.25">
      <c r="A312" s="1" t="s">
        <v>627</v>
      </c>
      <c r="C312" s="29" t="s">
        <v>41</v>
      </c>
      <c r="D312" t="s">
        <v>38</v>
      </c>
      <c r="E312" t="s">
        <v>1061</v>
      </c>
      <c r="F312" t="s">
        <v>245</v>
      </c>
      <c r="G312" s="1" t="s">
        <v>136</v>
      </c>
      <c r="H312" s="1">
        <f>COUNTIF(C:G,Tabela1[[#This Row],[Liderado]])</f>
        <v>0</v>
      </c>
      <c r="I312" s="1" t="s">
        <v>489</v>
      </c>
      <c r="J312" s="1" t="s">
        <v>303</v>
      </c>
      <c r="K312" s="1" t="s">
        <v>9</v>
      </c>
      <c r="L312" s="2" t="s">
        <v>10</v>
      </c>
      <c r="M312" s="1" t="s">
        <v>11</v>
      </c>
      <c r="N312" s="2">
        <v>11024</v>
      </c>
      <c r="O312" s="1" t="s">
        <v>40</v>
      </c>
      <c r="P312" s="1" t="s">
        <v>175</v>
      </c>
      <c r="Q312" s="1" t="s">
        <v>629</v>
      </c>
      <c r="R312" s="1"/>
      <c r="S312" s="1" t="s">
        <v>692</v>
      </c>
    </row>
    <row r="313" spans="1:19" x14ac:dyDescent="0.25">
      <c r="A313" s="1" t="s">
        <v>670</v>
      </c>
      <c r="C313" s="29" t="s">
        <v>41</v>
      </c>
      <c r="D313" t="s">
        <v>444</v>
      </c>
      <c r="E313" t="s">
        <v>1061</v>
      </c>
      <c r="F313" t="s">
        <v>1061</v>
      </c>
      <c r="G313" s="1" t="s">
        <v>458</v>
      </c>
      <c r="H313" s="1">
        <f>COUNTIF(C:G,Tabela1[[#This Row],[Liderado]])</f>
        <v>10</v>
      </c>
      <c r="I313" s="1" t="s">
        <v>1744</v>
      </c>
      <c r="J313" s="1" t="s">
        <v>211</v>
      </c>
      <c r="K313" s="1" t="s">
        <v>9</v>
      </c>
      <c r="L313" s="2" t="s">
        <v>10</v>
      </c>
      <c r="M313" s="1" t="s">
        <v>11</v>
      </c>
      <c r="N313" s="2">
        <v>11024</v>
      </c>
      <c r="O313" s="1" t="s">
        <v>40</v>
      </c>
      <c r="P313" s="1" t="s">
        <v>175</v>
      </c>
      <c r="Q313" s="1" t="s">
        <v>629</v>
      </c>
      <c r="R313" s="1"/>
      <c r="S313" s="1" t="s">
        <v>692</v>
      </c>
    </row>
    <row r="314" spans="1:19" x14ac:dyDescent="0.25">
      <c r="A314" s="1" t="s">
        <v>627</v>
      </c>
      <c r="C314" s="29" t="s">
        <v>41</v>
      </c>
      <c r="D314" t="s">
        <v>38</v>
      </c>
      <c r="E314" t="s">
        <v>37</v>
      </c>
      <c r="F314" t="s">
        <v>1061</v>
      </c>
      <c r="G314" s="1" t="s">
        <v>1061</v>
      </c>
      <c r="H314" s="1">
        <f>COUNTIF(C:G,Tabela1[[#This Row],[Liderado]])</f>
        <v>11</v>
      </c>
      <c r="I314" s="1" t="s">
        <v>490</v>
      </c>
      <c r="J314" s="1" t="s">
        <v>29</v>
      </c>
      <c r="K314" s="1" t="s">
        <v>9</v>
      </c>
      <c r="L314" s="2" t="s">
        <v>10</v>
      </c>
      <c r="M314" s="1" t="s">
        <v>11</v>
      </c>
      <c r="N314" s="2">
        <v>11024</v>
      </c>
      <c r="O314" s="1" t="s">
        <v>40</v>
      </c>
      <c r="P314" s="1" t="s">
        <v>175</v>
      </c>
      <c r="Q314" s="1" t="s">
        <v>629</v>
      </c>
      <c r="R314" s="1"/>
      <c r="S314" s="1" t="s">
        <v>692</v>
      </c>
    </row>
    <row r="315" spans="1:19" x14ac:dyDescent="0.25">
      <c r="A315" s="1" t="s">
        <v>627</v>
      </c>
      <c r="C315" s="29" t="s">
        <v>41</v>
      </c>
      <c r="D315" t="s">
        <v>38</v>
      </c>
      <c r="E315" t="s">
        <v>1061</v>
      </c>
      <c r="F315" t="s">
        <v>245</v>
      </c>
      <c r="G315" s="1" t="s">
        <v>136</v>
      </c>
      <c r="H315" s="1">
        <f>COUNTIF(C:G,Tabela1[[#This Row],[Liderado]])</f>
        <v>0</v>
      </c>
      <c r="I315" s="1" t="s">
        <v>492</v>
      </c>
      <c r="J315" s="1" t="s">
        <v>303</v>
      </c>
      <c r="K315" s="1" t="s">
        <v>9</v>
      </c>
      <c r="L315" s="2" t="s">
        <v>10</v>
      </c>
      <c r="M315" s="1" t="s">
        <v>11</v>
      </c>
      <c r="N315" s="2">
        <v>11024</v>
      </c>
      <c r="O315" s="1" t="s">
        <v>40</v>
      </c>
      <c r="P315" s="1" t="s">
        <v>175</v>
      </c>
      <c r="Q315" s="1" t="s">
        <v>629</v>
      </c>
      <c r="R315" s="1"/>
      <c r="S315" s="1" t="s">
        <v>692</v>
      </c>
    </row>
    <row r="316" spans="1:19" x14ac:dyDescent="0.25">
      <c r="A316" s="1" t="s">
        <v>627</v>
      </c>
      <c r="C316" s="29" t="s">
        <v>41</v>
      </c>
      <c r="D316" t="s">
        <v>38</v>
      </c>
      <c r="E316" t="s">
        <v>1061</v>
      </c>
      <c r="F316" t="s">
        <v>245</v>
      </c>
      <c r="G316" s="1" t="s">
        <v>455</v>
      </c>
      <c r="H316" s="1">
        <f>COUNTIF(C:G,Tabela1[[#This Row],[Liderado]])</f>
        <v>0</v>
      </c>
      <c r="I316" s="1" t="s">
        <v>493</v>
      </c>
      <c r="J316" s="1" t="s">
        <v>303</v>
      </c>
      <c r="K316" s="1" t="s">
        <v>9</v>
      </c>
      <c r="L316" s="2" t="s">
        <v>10</v>
      </c>
      <c r="M316" s="1" t="s">
        <v>11</v>
      </c>
      <c r="N316" s="2">
        <v>11024</v>
      </c>
      <c r="O316" s="1" t="s">
        <v>40</v>
      </c>
      <c r="P316" s="1" t="s">
        <v>175</v>
      </c>
      <c r="Q316" s="1" t="s">
        <v>629</v>
      </c>
      <c r="R316" s="1"/>
      <c r="S316" s="1" t="s">
        <v>692</v>
      </c>
    </row>
    <row r="317" spans="1:19" x14ac:dyDescent="0.25">
      <c r="A317" s="1" t="s">
        <v>671</v>
      </c>
      <c r="C317" s="29" t="s">
        <v>271</v>
      </c>
      <c r="D317" t="s">
        <v>440</v>
      </c>
      <c r="E317" t="s">
        <v>1061</v>
      </c>
      <c r="F317" t="s">
        <v>1061</v>
      </c>
      <c r="G317" s="1" t="s">
        <v>488</v>
      </c>
      <c r="H317" s="1">
        <f>COUNTIF(C:G,Tabela1[[#This Row],[Liderado]])</f>
        <v>0</v>
      </c>
      <c r="I317" s="1" t="s">
        <v>494</v>
      </c>
      <c r="J317" s="1" t="s">
        <v>34</v>
      </c>
      <c r="K317" s="1" t="s">
        <v>9</v>
      </c>
      <c r="L317" s="2" t="s">
        <v>10</v>
      </c>
      <c r="M317" s="1" t="s">
        <v>11</v>
      </c>
      <c r="N317" s="2">
        <v>11024</v>
      </c>
      <c r="O317" s="1" t="s">
        <v>40</v>
      </c>
      <c r="P317" s="1" t="s">
        <v>175</v>
      </c>
      <c r="Q317" s="1" t="s">
        <v>629</v>
      </c>
      <c r="R317" s="1"/>
      <c r="S317" s="1" t="s">
        <v>692</v>
      </c>
    </row>
    <row r="318" spans="1:19" x14ac:dyDescent="0.25">
      <c r="A318" s="1" t="s">
        <v>670</v>
      </c>
      <c r="C318" s="29" t="s">
        <v>41</v>
      </c>
      <c r="D318" t="s">
        <v>444</v>
      </c>
      <c r="E318" t="s">
        <v>1061</v>
      </c>
      <c r="F318" t="s">
        <v>1061</v>
      </c>
      <c r="G318" s="1" t="s">
        <v>437</v>
      </c>
      <c r="H318" s="1">
        <f>COUNTIF(C:G,Tabela1[[#This Row],[Liderado]])</f>
        <v>0</v>
      </c>
      <c r="I318" s="1" t="s">
        <v>496</v>
      </c>
      <c r="J318" s="1" t="s">
        <v>34</v>
      </c>
      <c r="K318" s="1" t="s">
        <v>9</v>
      </c>
      <c r="L318" s="2" t="s">
        <v>10</v>
      </c>
      <c r="M318" s="1" t="s">
        <v>11</v>
      </c>
      <c r="N318" s="2">
        <v>11024</v>
      </c>
      <c r="O318" s="1" t="s">
        <v>40</v>
      </c>
      <c r="P318" s="1" t="s">
        <v>175</v>
      </c>
      <c r="Q318" s="1" t="s">
        <v>629</v>
      </c>
      <c r="R318" s="1"/>
      <c r="S318" s="1" t="s">
        <v>692</v>
      </c>
    </row>
    <row r="319" spans="1:19" x14ac:dyDescent="0.25">
      <c r="A319" s="1" t="s">
        <v>670</v>
      </c>
      <c r="C319" s="29" t="s">
        <v>41</v>
      </c>
      <c r="D319" t="s">
        <v>444</v>
      </c>
      <c r="E319" t="s">
        <v>1061</v>
      </c>
      <c r="F319" t="s">
        <v>1061</v>
      </c>
      <c r="G319" s="1" t="s">
        <v>444</v>
      </c>
      <c r="H319" s="1">
        <f>COUNTIF(C:G,Tabela1[[#This Row],[Liderado]])</f>
        <v>0</v>
      </c>
      <c r="I319" s="1" t="s">
        <v>497</v>
      </c>
      <c r="J319" s="1" t="s">
        <v>301</v>
      </c>
      <c r="K319" s="1" t="s">
        <v>9</v>
      </c>
      <c r="L319" s="2" t="s">
        <v>10</v>
      </c>
      <c r="M319" s="1" t="s">
        <v>11</v>
      </c>
      <c r="N319" s="2">
        <v>11024</v>
      </c>
      <c r="O319" s="1" t="s">
        <v>40</v>
      </c>
      <c r="P319" s="1" t="s">
        <v>175</v>
      </c>
      <c r="Q319" s="1" t="s">
        <v>629</v>
      </c>
      <c r="R319" s="1"/>
      <c r="S319" s="1" t="s">
        <v>692</v>
      </c>
    </row>
    <row r="320" spans="1:19" x14ac:dyDescent="0.25">
      <c r="A320" s="1" t="s">
        <v>627</v>
      </c>
      <c r="C320" s="29" t="s">
        <v>41</v>
      </c>
      <c r="D320" t="s">
        <v>38</v>
      </c>
      <c r="E320" t="s">
        <v>37</v>
      </c>
      <c r="F320" t="s">
        <v>1061</v>
      </c>
      <c r="G320" s="1" t="s">
        <v>490</v>
      </c>
      <c r="H320" s="1">
        <f>COUNTIF(C:G,Tabela1[[#This Row],[Liderado]])</f>
        <v>0</v>
      </c>
      <c r="I320" s="1" t="s">
        <v>498</v>
      </c>
      <c r="J320" s="1" t="s">
        <v>34</v>
      </c>
      <c r="K320" s="1" t="s">
        <v>9</v>
      </c>
      <c r="L320" s="2" t="s">
        <v>10</v>
      </c>
      <c r="M320" s="1" t="s">
        <v>11</v>
      </c>
      <c r="N320" s="2">
        <v>11024</v>
      </c>
      <c r="O320" s="1" t="s">
        <v>40</v>
      </c>
      <c r="P320" s="1" t="s">
        <v>175</v>
      </c>
      <c r="Q320" s="1" t="s">
        <v>629</v>
      </c>
      <c r="R320" s="1"/>
      <c r="S320" s="1" t="s">
        <v>692</v>
      </c>
    </row>
    <row r="321" spans="1:19" x14ac:dyDescent="0.25">
      <c r="A321" s="1" t="s">
        <v>670</v>
      </c>
      <c r="C321" s="29" t="s">
        <v>71</v>
      </c>
      <c r="D321" t="s">
        <v>384</v>
      </c>
      <c r="E321" t="s">
        <v>1061</v>
      </c>
      <c r="F321" t="s">
        <v>1061</v>
      </c>
      <c r="G321" s="1" t="s">
        <v>612</v>
      </c>
      <c r="H321" s="1">
        <f>COUNTIF(C:G,Tabela1[[#This Row],[Liderado]])</f>
        <v>0</v>
      </c>
      <c r="I321" s="1" t="s">
        <v>499</v>
      </c>
      <c r="J321" s="1" t="s">
        <v>388</v>
      </c>
      <c r="K321" s="1" t="s">
        <v>9</v>
      </c>
      <c r="L321" s="2" t="s">
        <v>10</v>
      </c>
      <c r="M321" s="1" t="s">
        <v>11</v>
      </c>
      <c r="N321" s="2">
        <v>11024</v>
      </c>
      <c r="O321" s="1" t="s">
        <v>40</v>
      </c>
      <c r="P321" s="1" t="s">
        <v>175</v>
      </c>
      <c r="Q321" s="1" t="s">
        <v>629</v>
      </c>
      <c r="R321" s="1"/>
      <c r="S321" s="1" t="s">
        <v>692</v>
      </c>
    </row>
    <row r="322" spans="1:19" x14ac:dyDescent="0.25">
      <c r="A322" s="1" t="s">
        <v>670</v>
      </c>
      <c r="C322" s="29" t="s">
        <v>41</v>
      </c>
      <c r="D322" t="s">
        <v>444</v>
      </c>
      <c r="E322" t="s">
        <v>1061</v>
      </c>
      <c r="F322" t="s">
        <v>1061</v>
      </c>
      <c r="G322" s="1" t="s">
        <v>444</v>
      </c>
      <c r="H322" s="1">
        <f>COUNTIF(C:G,Tabela1[[#This Row],[Liderado]])</f>
        <v>0</v>
      </c>
      <c r="I322" s="1" t="s">
        <v>501</v>
      </c>
      <c r="J322" s="1" t="s">
        <v>126</v>
      </c>
      <c r="K322" s="1" t="s">
        <v>9</v>
      </c>
      <c r="L322" s="2" t="s">
        <v>10</v>
      </c>
      <c r="M322" s="1" t="s">
        <v>11</v>
      </c>
      <c r="N322" s="2">
        <v>11024</v>
      </c>
      <c r="O322" s="1" t="s">
        <v>40</v>
      </c>
      <c r="P322" s="1" t="s">
        <v>175</v>
      </c>
      <c r="Q322" s="1" t="s">
        <v>629</v>
      </c>
      <c r="R322" s="1"/>
      <c r="S322" s="1" t="s">
        <v>692</v>
      </c>
    </row>
    <row r="323" spans="1:19" x14ac:dyDescent="0.25">
      <c r="A323" s="1" t="s">
        <v>627</v>
      </c>
      <c r="C323" s="29" t="s">
        <v>41</v>
      </c>
      <c r="D323" t="s">
        <v>38</v>
      </c>
      <c r="E323" t="s">
        <v>1061</v>
      </c>
      <c r="F323" t="s">
        <v>245</v>
      </c>
      <c r="G323" s="1" t="s">
        <v>455</v>
      </c>
      <c r="H323" s="1">
        <f>COUNTIF(C:G,Tabela1[[#This Row],[Liderado]])</f>
        <v>0</v>
      </c>
      <c r="I323" s="1" t="s">
        <v>503</v>
      </c>
      <c r="J323" s="1" t="s">
        <v>303</v>
      </c>
      <c r="K323" s="1" t="s">
        <v>9</v>
      </c>
      <c r="L323" s="2" t="s">
        <v>10</v>
      </c>
      <c r="M323" s="1" t="s">
        <v>11</v>
      </c>
      <c r="N323" s="2">
        <v>11024</v>
      </c>
      <c r="O323" s="1" t="s">
        <v>40</v>
      </c>
      <c r="P323" s="1" t="s">
        <v>175</v>
      </c>
      <c r="Q323" s="1" t="s">
        <v>629</v>
      </c>
      <c r="R323" s="1"/>
      <c r="S323" s="1" t="s">
        <v>692</v>
      </c>
    </row>
    <row r="324" spans="1:19" x14ac:dyDescent="0.25">
      <c r="A324" s="1" t="s">
        <v>627</v>
      </c>
      <c r="C324" s="29" t="s">
        <v>41</v>
      </c>
      <c r="D324" t="s">
        <v>38</v>
      </c>
      <c r="E324" t="s">
        <v>1061</v>
      </c>
      <c r="F324" t="s">
        <v>245</v>
      </c>
      <c r="G324" s="1" t="s">
        <v>455</v>
      </c>
      <c r="H324" s="1">
        <f>COUNTIF(C:G,Tabela1[[#This Row],[Liderado]])</f>
        <v>0</v>
      </c>
      <c r="I324" s="1" t="s">
        <v>504</v>
      </c>
      <c r="J324" s="1" t="s">
        <v>303</v>
      </c>
      <c r="K324" s="1" t="s">
        <v>9</v>
      </c>
      <c r="L324" s="2" t="s">
        <v>10</v>
      </c>
      <c r="M324" s="1" t="s">
        <v>11</v>
      </c>
      <c r="N324" s="2">
        <v>11024</v>
      </c>
      <c r="O324" s="1" t="s">
        <v>40</v>
      </c>
      <c r="P324" s="1" t="s">
        <v>175</v>
      </c>
      <c r="Q324" s="1" t="s">
        <v>629</v>
      </c>
      <c r="R324" s="1"/>
      <c r="S324" s="1" t="s">
        <v>692</v>
      </c>
    </row>
    <row r="325" spans="1:19" x14ac:dyDescent="0.25">
      <c r="A325" s="1" t="s">
        <v>671</v>
      </c>
      <c r="C325" s="29" t="s">
        <v>71</v>
      </c>
      <c r="D325" t="s">
        <v>27</v>
      </c>
      <c r="E325" t="s">
        <v>1061</v>
      </c>
      <c r="F325" t="s">
        <v>1061</v>
      </c>
      <c r="G325" s="1" t="s">
        <v>1061</v>
      </c>
      <c r="H325" s="1">
        <f>COUNTIF(C:G,Tabela1[[#This Row],[Liderado]])</f>
        <v>0</v>
      </c>
      <c r="I325" s="1" t="s">
        <v>505</v>
      </c>
      <c r="J325" s="1" t="s">
        <v>104</v>
      </c>
      <c r="K325" s="1" t="s">
        <v>9</v>
      </c>
      <c r="L325" s="2" t="s">
        <v>10</v>
      </c>
      <c r="M325" s="1" t="s">
        <v>11</v>
      </c>
      <c r="N325" s="2">
        <v>11024</v>
      </c>
      <c r="O325" s="1" t="s">
        <v>40</v>
      </c>
      <c r="P325" s="1" t="s">
        <v>175</v>
      </c>
      <c r="Q325" s="1" t="s">
        <v>629</v>
      </c>
      <c r="R325" s="1"/>
      <c r="S325" s="1" t="s">
        <v>692</v>
      </c>
    </row>
    <row r="326" spans="1:19" x14ac:dyDescent="0.25">
      <c r="A326" s="1" t="s">
        <v>671</v>
      </c>
      <c r="C326" s="29" t="s">
        <v>271</v>
      </c>
      <c r="D326" t="s">
        <v>440</v>
      </c>
      <c r="E326" t="s">
        <v>1061</v>
      </c>
      <c r="F326" t="s">
        <v>1061</v>
      </c>
      <c r="G326" s="1" t="s">
        <v>488</v>
      </c>
      <c r="H326" s="1">
        <f>COUNTIF(C:G,Tabela1[[#This Row],[Liderado]])</f>
        <v>0</v>
      </c>
      <c r="I326" s="1" t="s">
        <v>507</v>
      </c>
      <c r="J326" s="1" t="s">
        <v>34</v>
      </c>
      <c r="K326" s="1" t="s">
        <v>9</v>
      </c>
      <c r="L326" s="2" t="s">
        <v>10</v>
      </c>
      <c r="M326" s="1" t="s">
        <v>11</v>
      </c>
      <c r="N326" s="2">
        <v>11024</v>
      </c>
      <c r="O326" s="1" t="s">
        <v>40</v>
      </c>
      <c r="P326" s="1" t="s">
        <v>175</v>
      </c>
      <c r="Q326" s="1" t="s">
        <v>629</v>
      </c>
      <c r="R326" s="1"/>
      <c r="S326" s="1" t="s">
        <v>692</v>
      </c>
    </row>
    <row r="327" spans="1:19" x14ac:dyDescent="0.25">
      <c r="A327" s="1" t="s">
        <v>627</v>
      </c>
      <c r="C327" s="29" t="s">
        <v>41</v>
      </c>
      <c r="D327" t="s">
        <v>38</v>
      </c>
      <c r="E327" t="s">
        <v>1061</v>
      </c>
      <c r="F327" t="s">
        <v>42</v>
      </c>
      <c r="G327" s="1" t="s">
        <v>1061</v>
      </c>
      <c r="H327" s="1">
        <f>COUNTIF(C:G,Tabela1[[#This Row],[Liderado]])</f>
        <v>0</v>
      </c>
      <c r="I327" s="1" t="s">
        <v>508</v>
      </c>
      <c r="J327" s="1" t="s">
        <v>34</v>
      </c>
      <c r="K327" s="1" t="s">
        <v>9</v>
      </c>
      <c r="L327" s="2" t="s">
        <v>10</v>
      </c>
      <c r="M327" s="1" t="s">
        <v>11</v>
      </c>
      <c r="N327" s="2">
        <v>11024</v>
      </c>
      <c r="O327" s="1" t="s">
        <v>40</v>
      </c>
      <c r="P327" s="1" t="s">
        <v>175</v>
      </c>
      <c r="Q327" s="1" t="s">
        <v>629</v>
      </c>
      <c r="R327" s="1"/>
      <c r="S327" s="1" t="s">
        <v>692</v>
      </c>
    </row>
    <row r="328" spans="1:19" x14ac:dyDescent="0.25">
      <c r="A328" s="1" t="s">
        <v>670</v>
      </c>
      <c r="C328" s="29" t="s">
        <v>41</v>
      </c>
      <c r="D328" t="s">
        <v>444</v>
      </c>
      <c r="E328" t="s">
        <v>1061</v>
      </c>
      <c r="F328" t="s">
        <v>1061</v>
      </c>
      <c r="G328" s="1" t="s">
        <v>458</v>
      </c>
      <c r="H328" s="1">
        <f>COUNTIF(C:G,Tabela1[[#This Row],[Liderado]])</f>
        <v>0</v>
      </c>
      <c r="I328" s="1" t="s">
        <v>1911</v>
      </c>
      <c r="J328" s="1" t="s">
        <v>34</v>
      </c>
      <c r="K328" s="1" t="s">
        <v>9</v>
      </c>
      <c r="L328" s="2" t="s">
        <v>10</v>
      </c>
      <c r="M328" s="1" t="s">
        <v>11</v>
      </c>
      <c r="N328" s="2">
        <v>11024</v>
      </c>
      <c r="O328" s="1" t="s">
        <v>40</v>
      </c>
      <c r="P328" s="1" t="s">
        <v>175</v>
      </c>
      <c r="Q328" s="1" t="s">
        <v>629</v>
      </c>
      <c r="R328" s="1"/>
      <c r="S328" s="1" t="s">
        <v>692</v>
      </c>
    </row>
    <row r="329" spans="1:19" x14ac:dyDescent="0.25">
      <c r="A329" s="1" t="s">
        <v>670</v>
      </c>
      <c r="C329" s="29" t="s">
        <v>41</v>
      </c>
      <c r="D329" t="s">
        <v>444</v>
      </c>
      <c r="E329" t="s">
        <v>1061</v>
      </c>
      <c r="F329" t="s">
        <v>1061</v>
      </c>
      <c r="G329" s="1" t="s">
        <v>444</v>
      </c>
      <c r="H329" s="1">
        <f>COUNTIF(C:G,Tabela1[[#This Row],[Liderado]])</f>
        <v>0</v>
      </c>
      <c r="I329" s="1" t="s">
        <v>509</v>
      </c>
      <c r="J329" s="1" t="s">
        <v>126</v>
      </c>
      <c r="K329" s="1" t="s">
        <v>9</v>
      </c>
      <c r="L329" s="2" t="s">
        <v>10</v>
      </c>
      <c r="M329" s="1" t="s">
        <v>11</v>
      </c>
      <c r="N329" s="2">
        <v>11024</v>
      </c>
      <c r="O329" s="1" t="s">
        <v>40</v>
      </c>
      <c r="P329" s="1" t="s">
        <v>175</v>
      </c>
      <c r="Q329" s="1" t="s">
        <v>629</v>
      </c>
      <c r="R329" s="1"/>
      <c r="S329" s="1" t="s">
        <v>692</v>
      </c>
    </row>
    <row r="330" spans="1:19" x14ac:dyDescent="0.25">
      <c r="A330" s="1" t="s">
        <v>671</v>
      </c>
      <c r="C330" s="29" t="s">
        <v>271</v>
      </c>
      <c r="D330" t="s">
        <v>440</v>
      </c>
      <c r="E330" t="s">
        <v>1061</v>
      </c>
      <c r="F330" t="s">
        <v>1061</v>
      </c>
      <c r="G330" s="1" t="s">
        <v>1744</v>
      </c>
      <c r="H330" s="1">
        <f>COUNTIF(C:G,Tabela1[[#This Row],[Liderado]])</f>
        <v>0</v>
      </c>
      <c r="I330" s="1" t="s">
        <v>1917</v>
      </c>
      <c r="J330" s="1" t="s">
        <v>34</v>
      </c>
      <c r="K330" s="1" t="s">
        <v>9</v>
      </c>
      <c r="L330" s="2" t="s">
        <v>10</v>
      </c>
      <c r="M330" s="1" t="s">
        <v>11</v>
      </c>
      <c r="N330" s="2">
        <v>11024</v>
      </c>
      <c r="O330" s="1" t="s">
        <v>40</v>
      </c>
      <c r="P330" s="1" t="s">
        <v>175</v>
      </c>
      <c r="Q330" s="1" t="s">
        <v>629</v>
      </c>
      <c r="R330" s="1"/>
      <c r="S330" s="1" t="s">
        <v>692</v>
      </c>
    </row>
    <row r="331" spans="1:19" x14ac:dyDescent="0.25">
      <c r="A331" s="1" t="s">
        <v>670</v>
      </c>
      <c r="C331" s="29" t="s">
        <v>41</v>
      </c>
      <c r="D331" t="s">
        <v>444</v>
      </c>
      <c r="E331" t="s">
        <v>1061</v>
      </c>
      <c r="F331" t="s">
        <v>1061</v>
      </c>
      <c r="G331" s="1" t="s">
        <v>444</v>
      </c>
      <c r="H331" s="1">
        <f>COUNTIF(C:G,Tabela1[[#This Row],[Liderado]])</f>
        <v>0</v>
      </c>
      <c r="I331" s="1" t="s">
        <v>511</v>
      </c>
      <c r="J331" s="1" t="s">
        <v>168</v>
      </c>
      <c r="K331" s="1" t="s">
        <v>9</v>
      </c>
      <c r="L331" s="2" t="s">
        <v>10</v>
      </c>
      <c r="M331" s="1" t="s">
        <v>11</v>
      </c>
      <c r="N331" s="2">
        <v>11024</v>
      </c>
      <c r="O331" s="1" t="s">
        <v>40</v>
      </c>
      <c r="P331" s="1" t="s">
        <v>175</v>
      </c>
      <c r="Q331" s="1" t="s">
        <v>629</v>
      </c>
      <c r="R331" s="1"/>
      <c r="S331" s="1" t="s">
        <v>692</v>
      </c>
    </row>
    <row r="332" spans="1:19" x14ac:dyDescent="0.25">
      <c r="A332" s="1" t="s">
        <v>670</v>
      </c>
      <c r="C332" s="29" t="s">
        <v>41</v>
      </c>
      <c r="D332" t="s">
        <v>444</v>
      </c>
      <c r="E332" t="s">
        <v>1061</v>
      </c>
      <c r="F332" t="s">
        <v>1061</v>
      </c>
      <c r="G332" s="1" t="s">
        <v>444</v>
      </c>
      <c r="H332" s="1">
        <f>COUNTIF(C:G,Tabela1[[#This Row],[Liderado]])</f>
        <v>0</v>
      </c>
      <c r="I332" s="1" t="s">
        <v>513</v>
      </c>
      <c r="J332" s="1" t="s">
        <v>514</v>
      </c>
      <c r="K332" s="1" t="s">
        <v>9</v>
      </c>
      <c r="L332" s="2" t="s">
        <v>10</v>
      </c>
      <c r="M332" s="1" t="s">
        <v>11</v>
      </c>
      <c r="N332" s="2">
        <v>11024</v>
      </c>
      <c r="O332" s="1" t="s">
        <v>40</v>
      </c>
      <c r="P332" s="1" t="s">
        <v>175</v>
      </c>
      <c r="Q332" s="1" t="s">
        <v>629</v>
      </c>
      <c r="R332" s="1"/>
      <c r="S332" s="1" t="s">
        <v>692</v>
      </c>
    </row>
    <row r="333" spans="1:19" x14ac:dyDescent="0.25">
      <c r="A333" s="1" t="s">
        <v>670</v>
      </c>
      <c r="C333" s="29" t="s">
        <v>71</v>
      </c>
      <c r="D333" t="s">
        <v>384</v>
      </c>
      <c r="E333" t="s">
        <v>1061</v>
      </c>
      <c r="F333" t="s">
        <v>1061</v>
      </c>
      <c r="G333" s="1" t="s">
        <v>612</v>
      </c>
      <c r="H333" s="1">
        <f>COUNTIF(C:G,Tabela1[[#This Row],[Liderado]])</f>
        <v>0</v>
      </c>
      <c r="I333" s="1" t="s">
        <v>515</v>
      </c>
      <c r="J333" s="1" t="s">
        <v>400</v>
      </c>
      <c r="K333" s="1" t="s">
        <v>9</v>
      </c>
      <c r="L333" s="2" t="s">
        <v>10</v>
      </c>
      <c r="M333" s="1" t="s">
        <v>11</v>
      </c>
      <c r="N333" s="2">
        <v>11024</v>
      </c>
      <c r="O333" s="1" t="s">
        <v>40</v>
      </c>
      <c r="P333" s="1" t="s">
        <v>175</v>
      </c>
      <c r="Q333" s="1" t="s">
        <v>629</v>
      </c>
      <c r="R333" s="1"/>
      <c r="S333" s="1" t="s">
        <v>692</v>
      </c>
    </row>
    <row r="334" spans="1:19" x14ac:dyDescent="0.25">
      <c r="A334" s="1" t="s">
        <v>670</v>
      </c>
      <c r="C334" s="29" t="s">
        <v>71</v>
      </c>
      <c r="D334" t="s">
        <v>384</v>
      </c>
      <c r="E334" t="s">
        <v>1061</v>
      </c>
      <c r="F334" t="s">
        <v>1061</v>
      </c>
      <c r="G334" s="1" t="s">
        <v>612</v>
      </c>
      <c r="H334" s="1">
        <f>COUNTIF(C:G,Tabela1[[#This Row],[Liderado]])</f>
        <v>0</v>
      </c>
      <c r="I334" s="1" t="s">
        <v>518</v>
      </c>
      <c r="J334" s="1" t="s">
        <v>400</v>
      </c>
      <c r="K334" s="1" t="s">
        <v>9</v>
      </c>
      <c r="L334" s="2" t="s">
        <v>10</v>
      </c>
      <c r="M334" s="1" t="s">
        <v>11</v>
      </c>
      <c r="N334" s="2">
        <v>11024</v>
      </c>
      <c r="O334" s="1" t="s">
        <v>40</v>
      </c>
      <c r="P334" s="1" t="s">
        <v>175</v>
      </c>
      <c r="Q334" s="1" t="s">
        <v>629</v>
      </c>
      <c r="R334" s="1"/>
      <c r="S334" s="1" t="s">
        <v>692</v>
      </c>
    </row>
    <row r="335" spans="1:19" x14ac:dyDescent="0.25">
      <c r="A335" s="1" t="s">
        <v>670</v>
      </c>
      <c r="C335" s="29" t="s">
        <v>41</v>
      </c>
      <c r="D335" t="s">
        <v>444</v>
      </c>
      <c r="E335" t="s">
        <v>1061</v>
      </c>
      <c r="F335" t="s">
        <v>1061</v>
      </c>
      <c r="G335" s="1" t="s">
        <v>444</v>
      </c>
      <c r="H335" s="1">
        <f>COUNTIF(C:G,Tabela1[[#This Row],[Liderado]])</f>
        <v>0</v>
      </c>
      <c r="I335" s="1" t="s">
        <v>519</v>
      </c>
      <c r="J335" s="1" t="s">
        <v>168</v>
      </c>
      <c r="K335" s="1" t="s">
        <v>9</v>
      </c>
      <c r="L335" s="2" t="s">
        <v>10</v>
      </c>
      <c r="M335" s="1" t="s">
        <v>11</v>
      </c>
      <c r="N335" s="2">
        <v>11024</v>
      </c>
      <c r="O335" s="1" t="s">
        <v>40</v>
      </c>
      <c r="P335" s="1" t="s">
        <v>175</v>
      </c>
      <c r="Q335" s="1" t="s">
        <v>629</v>
      </c>
      <c r="R335" s="1"/>
      <c r="S335" s="1" t="s">
        <v>692</v>
      </c>
    </row>
    <row r="336" spans="1:19" x14ac:dyDescent="0.25">
      <c r="A336" s="1" t="s">
        <v>670</v>
      </c>
      <c r="C336" s="29" t="s">
        <v>41</v>
      </c>
      <c r="D336" t="s">
        <v>444</v>
      </c>
      <c r="E336" t="s">
        <v>1061</v>
      </c>
      <c r="F336" t="s">
        <v>1061</v>
      </c>
      <c r="G336" s="1" t="s">
        <v>458</v>
      </c>
      <c r="H336" s="1">
        <f>COUNTIF(C:G,Tabela1[[#This Row],[Liderado]])</f>
        <v>0</v>
      </c>
      <c r="I336" s="1" t="s">
        <v>1937</v>
      </c>
      <c r="J336" s="1" t="s">
        <v>34</v>
      </c>
      <c r="K336" s="1" t="s">
        <v>9</v>
      </c>
      <c r="L336" s="2" t="s">
        <v>10</v>
      </c>
      <c r="M336" s="1" t="s">
        <v>11</v>
      </c>
      <c r="N336" s="2">
        <v>11024</v>
      </c>
      <c r="O336" s="1" t="s">
        <v>40</v>
      </c>
      <c r="P336" s="1" t="s">
        <v>175</v>
      </c>
      <c r="Q336" s="1" t="s">
        <v>629</v>
      </c>
      <c r="R336" s="1"/>
      <c r="S336" s="1" t="s">
        <v>692</v>
      </c>
    </row>
    <row r="337" spans="1:19" x14ac:dyDescent="0.25">
      <c r="A337" s="1" t="s">
        <v>671</v>
      </c>
      <c r="C337" s="29" t="s">
        <v>71</v>
      </c>
      <c r="D337" t="s">
        <v>27</v>
      </c>
      <c r="E337" t="s">
        <v>1061</v>
      </c>
      <c r="F337" t="s">
        <v>1061</v>
      </c>
      <c r="G337" s="1" t="s">
        <v>1061</v>
      </c>
      <c r="H337" s="1">
        <f>COUNTIF(C:G,Tabela1[[#This Row],[Liderado]])</f>
        <v>0</v>
      </c>
      <c r="I337" s="1" t="s">
        <v>520</v>
      </c>
      <c r="J337" s="1" t="s">
        <v>132</v>
      </c>
      <c r="K337" s="1" t="s">
        <v>9</v>
      </c>
      <c r="L337" s="2" t="s">
        <v>10</v>
      </c>
      <c r="M337" s="1" t="s">
        <v>11</v>
      </c>
      <c r="N337" s="2">
        <v>11024</v>
      </c>
      <c r="O337" s="1" t="s">
        <v>40</v>
      </c>
      <c r="P337" s="1" t="s">
        <v>175</v>
      </c>
      <c r="Q337" s="1" t="s">
        <v>629</v>
      </c>
      <c r="R337" s="1"/>
      <c r="S337" s="1" t="s">
        <v>692</v>
      </c>
    </row>
    <row r="338" spans="1:19" x14ac:dyDescent="0.25">
      <c r="A338" s="1" t="s">
        <v>671</v>
      </c>
      <c r="C338" s="29" t="s">
        <v>271</v>
      </c>
      <c r="D338" t="s">
        <v>440</v>
      </c>
      <c r="E338" t="s">
        <v>1061</v>
      </c>
      <c r="F338" t="s">
        <v>450</v>
      </c>
      <c r="G338" s="1" t="s">
        <v>1061</v>
      </c>
      <c r="H338" s="1">
        <f>COUNTIF(C:G,Tabela1[[#This Row],[Liderado]])</f>
        <v>0</v>
      </c>
      <c r="I338" s="1" t="s">
        <v>521</v>
      </c>
      <c r="J338" s="1" t="s">
        <v>34</v>
      </c>
      <c r="K338" s="1" t="s">
        <v>9</v>
      </c>
      <c r="L338" s="2" t="s">
        <v>10</v>
      </c>
      <c r="M338" s="1" t="s">
        <v>11</v>
      </c>
      <c r="N338" s="2">
        <v>11024</v>
      </c>
      <c r="O338" s="1" t="s">
        <v>40</v>
      </c>
      <c r="P338" s="1" t="s">
        <v>175</v>
      </c>
      <c r="Q338" s="1" t="s">
        <v>629</v>
      </c>
      <c r="R338" s="1"/>
      <c r="S338" s="1" t="s">
        <v>692</v>
      </c>
    </row>
    <row r="339" spans="1:19" x14ac:dyDescent="0.25">
      <c r="A339" s="1" t="s">
        <v>670</v>
      </c>
      <c r="C339" s="29" t="s">
        <v>41</v>
      </c>
      <c r="D339" t="s">
        <v>444</v>
      </c>
      <c r="E339" t="s">
        <v>1061</v>
      </c>
      <c r="F339" t="s">
        <v>1061</v>
      </c>
      <c r="G339" s="1" t="s">
        <v>437</v>
      </c>
      <c r="H339" s="1">
        <f>COUNTIF(C:G,Tabela1[[#This Row],[Liderado]])</f>
        <v>0</v>
      </c>
      <c r="I339" s="1" t="s">
        <v>522</v>
      </c>
      <c r="J339" s="1" t="s">
        <v>34</v>
      </c>
      <c r="K339" s="1" t="s">
        <v>9</v>
      </c>
      <c r="L339" s="2" t="s">
        <v>10</v>
      </c>
      <c r="M339" s="1" t="s">
        <v>11</v>
      </c>
      <c r="N339" s="2">
        <v>11024</v>
      </c>
      <c r="O339" s="1" t="s">
        <v>40</v>
      </c>
      <c r="P339" s="1" t="s">
        <v>175</v>
      </c>
      <c r="Q339" s="1" t="s">
        <v>629</v>
      </c>
      <c r="R339" s="1"/>
      <c r="S339" s="1" t="s">
        <v>692</v>
      </c>
    </row>
    <row r="340" spans="1:19" x14ac:dyDescent="0.25">
      <c r="A340" s="1" t="s">
        <v>670</v>
      </c>
      <c r="C340" s="29" t="s">
        <v>41</v>
      </c>
      <c r="D340" t="s">
        <v>444</v>
      </c>
      <c r="E340" t="s">
        <v>1061</v>
      </c>
      <c r="F340" t="s">
        <v>1061</v>
      </c>
      <c r="G340" s="1" t="s">
        <v>444</v>
      </c>
      <c r="H340" s="1">
        <f>COUNTIF(C:G,Tabela1[[#This Row],[Liderado]])</f>
        <v>0</v>
      </c>
      <c r="I340" s="1" t="s">
        <v>523</v>
      </c>
      <c r="J340" s="1" t="s">
        <v>61</v>
      </c>
      <c r="K340" s="1" t="s">
        <v>9</v>
      </c>
      <c r="L340" s="2" t="s">
        <v>10</v>
      </c>
      <c r="M340" s="1" t="s">
        <v>11</v>
      </c>
      <c r="N340" s="2">
        <v>11024</v>
      </c>
      <c r="O340" s="1" t="s">
        <v>40</v>
      </c>
      <c r="P340" s="1" t="s">
        <v>175</v>
      </c>
      <c r="Q340" s="1" t="s">
        <v>629</v>
      </c>
      <c r="R340" s="1"/>
      <c r="S340" s="1" t="s">
        <v>692</v>
      </c>
    </row>
    <row r="341" spans="1:19" x14ac:dyDescent="0.25">
      <c r="A341" s="1" t="s">
        <v>670</v>
      </c>
      <c r="C341" s="29" t="s">
        <v>41</v>
      </c>
      <c r="D341" t="s">
        <v>444</v>
      </c>
      <c r="E341" t="s">
        <v>1061</v>
      </c>
      <c r="F341" t="s">
        <v>1061</v>
      </c>
      <c r="G341" s="1" t="s">
        <v>458</v>
      </c>
      <c r="H341" s="1">
        <f>COUNTIF(C:G,Tabela1[[#This Row],[Liderado]])</f>
        <v>0</v>
      </c>
      <c r="I341" s="1" t="s">
        <v>1949</v>
      </c>
      <c r="J341" s="1" t="s">
        <v>34</v>
      </c>
      <c r="K341" s="1" t="s">
        <v>9</v>
      </c>
      <c r="L341" s="2" t="s">
        <v>10</v>
      </c>
      <c r="M341" s="1" t="s">
        <v>11</v>
      </c>
      <c r="N341" s="2">
        <v>11024</v>
      </c>
      <c r="O341" s="1" t="s">
        <v>40</v>
      </c>
      <c r="P341" s="1" t="s">
        <v>175</v>
      </c>
      <c r="Q341" s="1" t="s">
        <v>629</v>
      </c>
      <c r="R341" s="1"/>
      <c r="S341" s="1" t="s">
        <v>692</v>
      </c>
    </row>
    <row r="342" spans="1:19" x14ac:dyDescent="0.25">
      <c r="A342" s="1" t="s">
        <v>671</v>
      </c>
      <c r="C342" s="29" t="s">
        <v>71</v>
      </c>
      <c r="D342" t="s">
        <v>27</v>
      </c>
      <c r="E342" t="s">
        <v>1061</v>
      </c>
      <c r="F342" t="s">
        <v>1061</v>
      </c>
      <c r="G342" s="1" t="s">
        <v>1061</v>
      </c>
      <c r="H342" s="1">
        <f>COUNTIF(C:G,Tabela1[[#This Row],[Liderado]])</f>
        <v>0</v>
      </c>
      <c r="I342" s="1" t="s">
        <v>525</v>
      </c>
      <c r="J342" s="1" t="s">
        <v>132</v>
      </c>
      <c r="K342" s="1" t="s">
        <v>9</v>
      </c>
      <c r="L342" s="2" t="s">
        <v>10</v>
      </c>
      <c r="M342" s="1" t="s">
        <v>11</v>
      </c>
      <c r="N342" s="2">
        <v>11024</v>
      </c>
      <c r="O342" s="1" t="s">
        <v>40</v>
      </c>
      <c r="P342" s="1" t="s">
        <v>175</v>
      </c>
      <c r="Q342" s="1" t="s">
        <v>629</v>
      </c>
      <c r="R342" s="1"/>
      <c r="S342" s="1" t="s">
        <v>692</v>
      </c>
    </row>
    <row r="343" spans="1:19" x14ac:dyDescent="0.25">
      <c r="A343" s="1" t="s">
        <v>670</v>
      </c>
      <c r="C343" s="29" t="s">
        <v>41</v>
      </c>
      <c r="D343" t="s">
        <v>444</v>
      </c>
      <c r="E343" t="s">
        <v>1061</v>
      </c>
      <c r="F343" t="s">
        <v>1061</v>
      </c>
      <c r="G343" s="1" t="s">
        <v>444</v>
      </c>
      <c r="H343" s="1">
        <f>COUNTIF(C:G,Tabela1[[#This Row],[Liderado]])</f>
        <v>0</v>
      </c>
      <c r="I343" s="1" t="s">
        <v>528</v>
      </c>
      <c r="J343" s="1" t="s">
        <v>92</v>
      </c>
      <c r="K343" s="1" t="s">
        <v>9</v>
      </c>
      <c r="L343" s="2" t="s">
        <v>10</v>
      </c>
      <c r="M343" s="1" t="s">
        <v>11</v>
      </c>
      <c r="N343" s="2">
        <v>11024</v>
      </c>
      <c r="O343" s="1" t="s">
        <v>40</v>
      </c>
      <c r="P343" s="1" t="s">
        <v>175</v>
      </c>
      <c r="Q343" s="1" t="s">
        <v>629</v>
      </c>
      <c r="R343" s="1"/>
      <c r="S343" s="1" t="s">
        <v>692</v>
      </c>
    </row>
    <row r="344" spans="1:19" x14ac:dyDescent="0.25">
      <c r="A344" s="1" t="s">
        <v>671</v>
      </c>
      <c r="C344" s="29" t="s">
        <v>271</v>
      </c>
      <c r="D344" t="s">
        <v>440</v>
      </c>
      <c r="E344" t="s">
        <v>1061</v>
      </c>
      <c r="F344" t="s">
        <v>1061</v>
      </c>
      <c r="G344" s="1" t="s">
        <v>1744</v>
      </c>
      <c r="H344" s="1">
        <f>COUNTIF(C:G,Tabela1[[#This Row],[Liderado]])</f>
        <v>0</v>
      </c>
      <c r="I344" s="1" t="s">
        <v>1959</v>
      </c>
      <c r="J344" s="1" t="s">
        <v>34</v>
      </c>
      <c r="K344" s="1" t="s">
        <v>9</v>
      </c>
      <c r="L344" s="2" t="s">
        <v>10</v>
      </c>
      <c r="M344" s="1" t="s">
        <v>11</v>
      </c>
      <c r="N344" s="2">
        <v>11024</v>
      </c>
      <c r="O344" s="1" t="s">
        <v>40</v>
      </c>
      <c r="P344" s="1" t="s">
        <v>175</v>
      </c>
      <c r="Q344" s="1" t="s">
        <v>629</v>
      </c>
      <c r="R344" s="1"/>
      <c r="S344" s="1" t="s">
        <v>692</v>
      </c>
    </row>
    <row r="345" spans="1:19" x14ac:dyDescent="0.25">
      <c r="A345" s="1" t="s">
        <v>670</v>
      </c>
      <c r="C345" s="29" t="s">
        <v>41</v>
      </c>
      <c r="D345" t="s">
        <v>444</v>
      </c>
      <c r="E345" t="s">
        <v>1061</v>
      </c>
      <c r="F345" t="s">
        <v>1061</v>
      </c>
      <c r="G345" s="1" t="s">
        <v>444</v>
      </c>
      <c r="H345" s="1">
        <f>COUNTIF(C:G,Tabela1[[#This Row],[Liderado]])</f>
        <v>0</v>
      </c>
      <c r="I345" s="1" t="s">
        <v>530</v>
      </c>
      <c r="J345" s="1" t="s">
        <v>126</v>
      </c>
      <c r="K345" s="1" t="s">
        <v>9</v>
      </c>
      <c r="L345" s="2" t="s">
        <v>10</v>
      </c>
      <c r="M345" s="1" t="s">
        <v>11</v>
      </c>
      <c r="N345" s="2">
        <v>11024</v>
      </c>
      <c r="O345" s="1" t="s">
        <v>40</v>
      </c>
      <c r="P345" s="1" t="s">
        <v>175</v>
      </c>
      <c r="Q345" s="1" t="s">
        <v>629</v>
      </c>
      <c r="R345" s="1"/>
      <c r="S345" s="1" t="s">
        <v>692</v>
      </c>
    </row>
    <row r="346" spans="1:19" x14ac:dyDescent="0.25">
      <c r="A346" s="1" t="s">
        <v>671</v>
      </c>
      <c r="C346" s="29" t="s">
        <v>271</v>
      </c>
      <c r="D346" t="s">
        <v>440</v>
      </c>
      <c r="E346" t="s">
        <v>1061</v>
      </c>
      <c r="F346" t="s">
        <v>1061</v>
      </c>
      <c r="G346" s="1" t="s">
        <v>488</v>
      </c>
      <c r="H346" s="1">
        <f>COUNTIF(C:G,Tabela1[[#This Row],[Liderado]])</f>
        <v>0</v>
      </c>
      <c r="I346" s="1" t="s">
        <v>531</v>
      </c>
      <c r="J346" s="1" t="s">
        <v>34</v>
      </c>
      <c r="K346" s="1" t="s">
        <v>9</v>
      </c>
      <c r="L346" s="2" t="s">
        <v>10</v>
      </c>
      <c r="M346" s="1" t="s">
        <v>11</v>
      </c>
      <c r="N346" s="2">
        <v>11024</v>
      </c>
      <c r="O346" s="1" t="s">
        <v>40</v>
      </c>
      <c r="P346" s="1" t="s">
        <v>175</v>
      </c>
      <c r="Q346" s="1" t="s">
        <v>629</v>
      </c>
      <c r="R346" s="1"/>
      <c r="S346" s="1" t="s">
        <v>692</v>
      </c>
    </row>
    <row r="347" spans="1:19" x14ac:dyDescent="0.25">
      <c r="A347" s="1" t="s">
        <v>671</v>
      </c>
      <c r="C347" s="29" t="s">
        <v>271</v>
      </c>
      <c r="D347" t="s">
        <v>440</v>
      </c>
      <c r="E347" t="s">
        <v>1061</v>
      </c>
      <c r="F347" t="s">
        <v>450</v>
      </c>
      <c r="G347" s="1" t="s">
        <v>1061</v>
      </c>
      <c r="H347" s="1">
        <f>COUNTIF(C:G,Tabela1[[#This Row],[Liderado]])</f>
        <v>0</v>
      </c>
      <c r="I347" s="1" t="s">
        <v>532</v>
      </c>
      <c r="J347" s="1" t="s">
        <v>265</v>
      </c>
      <c r="K347" s="1" t="s">
        <v>9</v>
      </c>
      <c r="L347" s="2" t="s">
        <v>10</v>
      </c>
      <c r="M347" s="1" t="s">
        <v>11</v>
      </c>
      <c r="N347" s="2">
        <v>11024</v>
      </c>
      <c r="O347" s="1" t="s">
        <v>40</v>
      </c>
      <c r="P347" s="1" t="s">
        <v>175</v>
      </c>
      <c r="Q347" s="1" t="s">
        <v>629</v>
      </c>
      <c r="R347" s="1"/>
      <c r="S347" s="1" t="s">
        <v>692</v>
      </c>
    </row>
    <row r="348" spans="1:19" x14ac:dyDescent="0.25">
      <c r="A348" s="1" t="s">
        <v>670</v>
      </c>
      <c r="C348" s="29" t="s">
        <v>1061</v>
      </c>
      <c r="D348" t="s">
        <v>1061</v>
      </c>
      <c r="E348" t="s">
        <v>1061</v>
      </c>
      <c r="F348" t="s">
        <v>1061</v>
      </c>
      <c r="G348" s="1" t="s">
        <v>1061</v>
      </c>
      <c r="H348" s="1">
        <f>COUNTIF(C:G,Tabela1[[#This Row],[Liderado]])</f>
        <v>0</v>
      </c>
      <c r="I348" s="1" t="s">
        <v>1964</v>
      </c>
      <c r="J348" s="1" t="s">
        <v>1966</v>
      </c>
      <c r="K348" s="1" t="s">
        <v>9</v>
      </c>
      <c r="L348" s="2" t="s">
        <v>10</v>
      </c>
      <c r="M348" s="1" t="s">
        <v>11</v>
      </c>
      <c r="N348" s="2">
        <v>11024</v>
      </c>
      <c r="O348" s="1" t="s">
        <v>40</v>
      </c>
      <c r="P348" s="1" t="s">
        <v>175</v>
      </c>
      <c r="Q348" s="1" t="s">
        <v>629</v>
      </c>
      <c r="R348" s="1"/>
      <c r="S348" s="1" t="s">
        <v>692</v>
      </c>
    </row>
    <row r="349" spans="1:19" x14ac:dyDescent="0.25">
      <c r="A349" s="1" t="s">
        <v>670</v>
      </c>
      <c r="C349" s="29" t="s">
        <v>41</v>
      </c>
      <c r="D349" t="s">
        <v>444</v>
      </c>
      <c r="E349" t="s">
        <v>1061</v>
      </c>
      <c r="F349" t="s">
        <v>1061</v>
      </c>
      <c r="G349" s="1" t="s">
        <v>444</v>
      </c>
      <c r="H349" s="1">
        <f>COUNTIF(C:G,Tabela1[[#This Row],[Liderado]])</f>
        <v>0</v>
      </c>
      <c r="I349" s="1" t="s">
        <v>533</v>
      </c>
      <c r="J349" s="1" t="s">
        <v>301</v>
      </c>
      <c r="K349" s="1" t="s">
        <v>9</v>
      </c>
      <c r="L349" s="2" t="s">
        <v>10</v>
      </c>
      <c r="M349" s="1" t="s">
        <v>11</v>
      </c>
      <c r="N349" s="2">
        <v>11024</v>
      </c>
      <c r="O349" s="1" t="s">
        <v>40</v>
      </c>
      <c r="P349" s="1" t="s">
        <v>175</v>
      </c>
      <c r="Q349" s="1" t="s">
        <v>629</v>
      </c>
      <c r="R349" s="1"/>
      <c r="S349" s="1" t="s">
        <v>692</v>
      </c>
    </row>
    <row r="350" spans="1:19" x14ac:dyDescent="0.25">
      <c r="A350" s="1" t="s">
        <v>670</v>
      </c>
      <c r="C350" s="29" t="s">
        <v>41</v>
      </c>
      <c r="D350" t="s">
        <v>444</v>
      </c>
      <c r="E350" t="s">
        <v>1061</v>
      </c>
      <c r="F350" t="s">
        <v>1061</v>
      </c>
      <c r="G350" s="1" t="s">
        <v>444</v>
      </c>
      <c r="H350" s="1">
        <f>COUNTIF(C:G,Tabela1[[#This Row],[Liderado]])</f>
        <v>0</v>
      </c>
      <c r="I350" s="1" t="s">
        <v>534</v>
      </c>
      <c r="J350" s="1" t="s">
        <v>92</v>
      </c>
      <c r="K350" s="1" t="s">
        <v>9</v>
      </c>
      <c r="L350" s="2" t="s">
        <v>10</v>
      </c>
      <c r="M350" s="1" t="s">
        <v>11</v>
      </c>
      <c r="N350" s="2">
        <v>11024</v>
      </c>
      <c r="O350" s="1" t="s">
        <v>40</v>
      </c>
      <c r="P350" s="1" t="s">
        <v>175</v>
      </c>
      <c r="Q350" s="1" t="s">
        <v>629</v>
      </c>
      <c r="R350" s="1"/>
      <c r="S350" s="1" t="s">
        <v>692</v>
      </c>
    </row>
    <row r="351" spans="1:19" x14ac:dyDescent="0.25">
      <c r="A351" s="1" t="s">
        <v>670</v>
      </c>
      <c r="C351" s="29" t="s">
        <v>41</v>
      </c>
      <c r="D351" t="s">
        <v>444</v>
      </c>
      <c r="E351" t="s">
        <v>1061</v>
      </c>
      <c r="F351" t="s">
        <v>1061</v>
      </c>
      <c r="G351" s="1" t="s">
        <v>444</v>
      </c>
      <c r="H351" s="1">
        <f>COUNTIF(C:G,Tabela1[[#This Row],[Liderado]])</f>
        <v>0</v>
      </c>
      <c r="I351" s="1" t="s">
        <v>535</v>
      </c>
      <c r="J351" s="1" t="s">
        <v>536</v>
      </c>
      <c r="K351" s="1" t="s">
        <v>9</v>
      </c>
      <c r="L351" s="2" t="s">
        <v>10</v>
      </c>
      <c r="M351" s="1" t="s">
        <v>11</v>
      </c>
      <c r="N351" s="2">
        <v>11024</v>
      </c>
      <c r="O351" s="1" t="s">
        <v>40</v>
      </c>
      <c r="P351" s="1" t="s">
        <v>175</v>
      </c>
      <c r="Q351" s="1" t="s">
        <v>629</v>
      </c>
      <c r="R351" s="1"/>
      <c r="S351" s="1" t="s">
        <v>692</v>
      </c>
    </row>
    <row r="352" spans="1:19" x14ac:dyDescent="0.25">
      <c r="A352" s="1" t="s">
        <v>627</v>
      </c>
      <c r="C352" s="29" t="s">
        <v>41</v>
      </c>
      <c r="D352" t="s">
        <v>38</v>
      </c>
      <c r="E352" t="s">
        <v>1061</v>
      </c>
      <c r="F352" t="s">
        <v>245</v>
      </c>
      <c r="G352" s="1" t="s">
        <v>136</v>
      </c>
      <c r="H352" s="1">
        <f>COUNTIF(C:G,Tabela1[[#This Row],[Liderado]])</f>
        <v>0</v>
      </c>
      <c r="I352" s="1" t="s">
        <v>537</v>
      </c>
      <c r="J352" s="1" t="s">
        <v>303</v>
      </c>
      <c r="K352" s="1" t="s">
        <v>9</v>
      </c>
      <c r="L352" s="2" t="s">
        <v>10</v>
      </c>
      <c r="M352" s="1" t="s">
        <v>11</v>
      </c>
      <c r="N352" s="2">
        <v>11024</v>
      </c>
      <c r="O352" s="1" t="s">
        <v>40</v>
      </c>
      <c r="P352" s="1" t="s">
        <v>175</v>
      </c>
      <c r="Q352" s="1" t="s">
        <v>629</v>
      </c>
      <c r="R352" s="1"/>
      <c r="S352" s="1" t="s">
        <v>692</v>
      </c>
    </row>
    <row r="353" spans="1:19" x14ac:dyDescent="0.25">
      <c r="A353" s="1" t="s">
        <v>627</v>
      </c>
      <c r="C353" s="29" t="s">
        <v>41</v>
      </c>
      <c r="D353" t="s">
        <v>38</v>
      </c>
      <c r="E353" t="s">
        <v>1061</v>
      </c>
      <c r="F353" t="s">
        <v>245</v>
      </c>
      <c r="G353" s="1" t="s">
        <v>136</v>
      </c>
      <c r="H353" s="1">
        <f>COUNTIF(C:G,Tabela1[[#This Row],[Liderado]])</f>
        <v>0</v>
      </c>
      <c r="I353" s="1" t="s">
        <v>538</v>
      </c>
      <c r="J353" s="1" t="s">
        <v>303</v>
      </c>
      <c r="K353" s="1" t="s">
        <v>9</v>
      </c>
      <c r="L353" s="2" t="s">
        <v>10</v>
      </c>
      <c r="M353" s="1" t="s">
        <v>11</v>
      </c>
      <c r="N353" s="2">
        <v>11024</v>
      </c>
      <c r="O353" s="1" t="s">
        <v>40</v>
      </c>
      <c r="P353" s="1" t="s">
        <v>175</v>
      </c>
      <c r="Q353" s="1" t="s">
        <v>629</v>
      </c>
      <c r="R353" s="1"/>
      <c r="S353" s="1" t="s">
        <v>692</v>
      </c>
    </row>
    <row r="354" spans="1:19" x14ac:dyDescent="0.25">
      <c r="A354" s="1" t="s">
        <v>671</v>
      </c>
      <c r="C354" s="29" t="s">
        <v>271</v>
      </c>
      <c r="D354" t="s">
        <v>440</v>
      </c>
      <c r="E354" t="s">
        <v>1061</v>
      </c>
      <c r="F354" t="s">
        <v>1061</v>
      </c>
      <c r="G354" s="1" t="s">
        <v>1744</v>
      </c>
      <c r="H354" s="1">
        <f>COUNTIF(C:G,Tabela1[[#This Row],[Liderado]])</f>
        <v>0</v>
      </c>
      <c r="I354" s="1" t="s">
        <v>1981</v>
      </c>
      <c r="J354" s="1" t="s">
        <v>34</v>
      </c>
      <c r="K354" s="1" t="s">
        <v>9</v>
      </c>
      <c r="L354" s="2" t="s">
        <v>10</v>
      </c>
      <c r="M354" s="1" t="s">
        <v>11</v>
      </c>
      <c r="N354" s="2">
        <v>11024</v>
      </c>
      <c r="O354" s="1" t="s">
        <v>40</v>
      </c>
      <c r="P354" s="1" t="s">
        <v>175</v>
      </c>
      <c r="Q354" s="1" t="s">
        <v>629</v>
      </c>
      <c r="R354" s="1"/>
      <c r="S354" s="1" t="s">
        <v>692</v>
      </c>
    </row>
    <row r="355" spans="1:19" x14ac:dyDescent="0.25">
      <c r="A355" s="1" t="s">
        <v>670</v>
      </c>
      <c r="C355" s="29" t="s">
        <v>41</v>
      </c>
      <c r="D355" t="s">
        <v>444</v>
      </c>
      <c r="E355" t="s">
        <v>1061</v>
      </c>
      <c r="F355" t="s">
        <v>1061</v>
      </c>
      <c r="G355" s="1" t="s">
        <v>458</v>
      </c>
      <c r="H355" s="1">
        <f>COUNTIF(C:G,Tabela1[[#This Row],[Liderado]])</f>
        <v>0</v>
      </c>
      <c r="I355" s="1" t="s">
        <v>1983</v>
      </c>
      <c r="J355" s="1" t="s">
        <v>211</v>
      </c>
      <c r="K355" s="1" t="s">
        <v>9</v>
      </c>
      <c r="L355" s="2" t="s">
        <v>10</v>
      </c>
      <c r="M355" s="1" t="s">
        <v>11</v>
      </c>
      <c r="N355" s="2">
        <v>11024</v>
      </c>
      <c r="O355" s="1" t="s">
        <v>40</v>
      </c>
      <c r="P355" s="1" t="s">
        <v>175</v>
      </c>
      <c r="Q355" s="1" t="s">
        <v>629</v>
      </c>
      <c r="R355" s="1"/>
      <c r="S355" s="1" t="s">
        <v>692</v>
      </c>
    </row>
    <row r="356" spans="1:19" x14ac:dyDescent="0.25">
      <c r="A356" s="1" t="s">
        <v>627</v>
      </c>
      <c r="C356" s="29" t="s">
        <v>41</v>
      </c>
      <c r="D356" t="s">
        <v>38</v>
      </c>
      <c r="E356" t="s">
        <v>1061</v>
      </c>
      <c r="F356" t="s">
        <v>245</v>
      </c>
      <c r="G356" s="1" t="s">
        <v>136</v>
      </c>
      <c r="H356" s="1">
        <f>COUNTIF(C:G,Tabela1[[#This Row],[Liderado]])</f>
        <v>0</v>
      </c>
      <c r="I356" s="1" t="s">
        <v>539</v>
      </c>
      <c r="J356" s="1" t="s">
        <v>303</v>
      </c>
      <c r="K356" s="1" t="s">
        <v>9</v>
      </c>
      <c r="L356" s="2" t="s">
        <v>10</v>
      </c>
      <c r="M356" s="1" t="s">
        <v>11</v>
      </c>
      <c r="N356" s="2">
        <v>11024</v>
      </c>
      <c r="O356" s="1" t="s">
        <v>40</v>
      </c>
      <c r="P356" s="1" t="s">
        <v>175</v>
      </c>
      <c r="Q356" s="1" t="s">
        <v>629</v>
      </c>
      <c r="R356" s="1"/>
      <c r="S356" s="1" t="s">
        <v>692</v>
      </c>
    </row>
    <row r="357" spans="1:19" x14ac:dyDescent="0.25">
      <c r="A357" s="1" t="s">
        <v>627</v>
      </c>
      <c r="C357" s="29" t="s">
        <v>41</v>
      </c>
      <c r="D357" t="s">
        <v>38</v>
      </c>
      <c r="E357" t="s">
        <v>1061</v>
      </c>
      <c r="F357" t="s">
        <v>245</v>
      </c>
      <c r="G357" s="1" t="s">
        <v>1061</v>
      </c>
      <c r="H357" s="1">
        <f>COUNTIF(C:G,Tabela1[[#This Row],[Liderado]])</f>
        <v>0</v>
      </c>
      <c r="I357" s="1" t="s">
        <v>540</v>
      </c>
      <c r="J357" s="1" t="s">
        <v>541</v>
      </c>
      <c r="K357" s="1" t="s">
        <v>9</v>
      </c>
      <c r="L357" s="2" t="s">
        <v>10</v>
      </c>
      <c r="M357" s="1" t="s">
        <v>11</v>
      </c>
      <c r="N357" s="2">
        <v>11024</v>
      </c>
      <c r="O357" s="1" t="s">
        <v>40</v>
      </c>
      <c r="P357" s="1" t="s">
        <v>175</v>
      </c>
      <c r="Q357" s="1" t="s">
        <v>629</v>
      </c>
      <c r="R357" s="1"/>
      <c r="S357" s="1" t="s">
        <v>692</v>
      </c>
    </row>
    <row r="358" spans="1:19" x14ac:dyDescent="0.25">
      <c r="A358" s="1" t="s">
        <v>670</v>
      </c>
      <c r="C358" s="29" t="s">
        <v>41</v>
      </c>
      <c r="D358" t="s">
        <v>444</v>
      </c>
      <c r="E358" t="s">
        <v>1061</v>
      </c>
      <c r="F358" t="s">
        <v>1061</v>
      </c>
      <c r="G358" s="1" t="s">
        <v>437</v>
      </c>
      <c r="H358" s="1">
        <f>COUNTIF(C:G,Tabela1[[#This Row],[Liderado]])</f>
        <v>0</v>
      </c>
      <c r="I358" s="1" t="s">
        <v>542</v>
      </c>
      <c r="J358" s="1" t="s">
        <v>34</v>
      </c>
      <c r="K358" s="1" t="s">
        <v>9</v>
      </c>
      <c r="L358" s="2" t="s">
        <v>10</v>
      </c>
      <c r="M358" s="1" t="s">
        <v>11</v>
      </c>
      <c r="N358" s="2">
        <v>11024</v>
      </c>
      <c r="O358" s="1" t="s">
        <v>40</v>
      </c>
      <c r="P358" s="1" t="s">
        <v>175</v>
      </c>
      <c r="Q358" s="1" t="s">
        <v>629</v>
      </c>
      <c r="R358" s="1"/>
      <c r="S358" s="1" t="s">
        <v>692</v>
      </c>
    </row>
    <row r="359" spans="1:19" x14ac:dyDescent="0.25">
      <c r="A359" s="1" t="s">
        <v>627</v>
      </c>
      <c r="C359" s="29" t="s">
        <v>41</v>
      </c>
      <c r="D359" t="s">
        <v>38</v>
      </c>
      <c r="E359" t="s">
        <v>1061</v>
      </c>
      <c r="F359" t="s">
        <v>245</v>
      </c>
      <c r="G359" s="1" t="s">
        <v>136</v>
      </c>
      <c r="H359" s="1">
        <f>COUNTIF(C:G,Tabela1[[#This Row],[Liderado]])</f>
        <v>0</v>
      </c>
      <c r="I359" s="1" t="s">
        <v>543</v>
      </c>
      <c r="J359" s="1" t="s">
        <v>294</v>
      </c>
      <c r="K359" s="1" t="s">
        <v>9</v>
      </c>
      <c r="L359" s="2" t="s">
        <v>10</v>
      </c>
      <c r="M359" s="1" t="s">
        <v>11</v>
      </c>
      <c r="N359" s="2">
        <v>11024</v>
      </c>
      <c r="O359" s="1" t="s">
        <v>40</v>
      </c>
      <c r="P359" s="1" t="s">
        <v>175</v>
      </c>
      <c r="Q359" s="1" t="s">
        <v>629</v>
      </c>
      <c r="R359" s="1"/>
      <c r="S359" s="1" t="s">
        <v>692</v>
      </c>
    </row>
    <row r="360" spans="1:19" x14ac:dyDescent="0.25">
      <c r="A360" s="1" t="s">
        <v>671</v>
      </c>
      <c r="C360" s="29" t="s">
        <v>271</v>
      </c>
      <c r="D360" t="s">
        <v>440</v>
      </c>
      <c r="E360" t="s">
        <v>1061</v>
      </c>
      <c r="F360" t="s">
        <v>1061</v>
      </c>
      <c r="G360" s="1" t="s">
        <v>440</v>
      </c>
      <c r="H360" s="1">
        <f>COUNTIF(C:G,Tabela1[[#This Row],[Liderado]])</f>
        <v>0</v>
      </c>
      <c r="I360" s="1" t="s">
        <v>544</v>
      </c>
      <c r="J360" s="1" t="s">
        <v>301</v>
      </c>
      <c r="K360" s="1" t="s">
        <v>9</v>
      </c>
      <c r="L360" s="2" t="s">
        <v>10</v>
      </c>
      <c r="M360" s="1" t="s">
        <v>11</v>
      </c>
      <c r="N360" s="2">
        <v>11024</v>
      </c>
      <c r="O360" s="1" t="s">
        <v>40</v>
      </c>
      <c r="P360" s="1" t="s">
        <v>175</v>
      </c>
      <c r="Q360" s="1" t="s">
        <v>629</v>
      </c>
      <c r="R360" s="1"/>
      <c r="S360" s="1" t="s">
        <v>692</v>
      </c>
    </row>
    <row r="361" spans="1:19" x14ac:dyDescent="0.25">
      <c r="A361" s="1" t="s">
        <v>627</v>
      </c>
      <c r="C361" s="29" t="s">
        <v>41</v>
      </c>
      <c r="D361" t="s">
        <v>38</v>
      </c>
      <c r="E361" t="s">
        <v>37</v>
      </c>
      <c r="F361" t="s">
        <v>207</v>
      </c>
      <c r="G361" s="1" t="s">
        <v>1061</v>
      </c>
      <c r="H361" s="1">
        <f>COUNTIF(C:G,Tabela1[[#This Row],[Liderado]])</f>
        <v>0</v>
      </c>
      <c r="I361" s="1" t="s">
        <v>545</v>
      </c>
      <c r="J361" s="1" t="s">
        <v>211</v>
      </c>
      <c r="K361" s="1" t="s">
        <v>9</v>
      </c>
      <c r="L361" s="2" t="s">
        <v>10</v>
      </c>
      <c r="M361" s="1" t="s">
        <v>11</v>
      </c>
      <c r="N361" s="2">
        <v>11024</v>
      </c>
      <c r="O361" s="1" t="s">
        <v>40</v>
      </c>
      <c r="P361" s="1" t="s">
        <v>175</v>
      </c>
      <c r="Q361" s="1" t="s">
        <v>629</v>
      </c>
      <c r="R361" s="1"/>
      <c r="S361" s="1" t="s">
        <v>692</v>
      </c>
    </row>
    <row r="362" spans="1:19" x14ac:dyDescent="0.25">
      <c r="A362" s="1" t="s">
        <v>671</v>
      </c>
      <c r="C362" s="29" t="s">
        <v>271</v>
      </c>
      <c r="D362" t="s">
        <v>440</v>
      </c>
      <c r="E362" t="s">
        <v>1061</v>
      </c>
      <c r="F362" t="s">
        <v>450</v>
      </c>
      <c r="G362" s="1" t="s">
        <v>1061</v>
      </c>
      <c r="H362" s="1">
        <f>COUNTIF(C:G,Tabela1[[#This Row],[Liderado]])</f>
        <v>0</v>
      </c>
      <c r="I362" s="1" t="s">
        <v>546</v>
      </c>
      <c r="J362" s="1" t="s">
        <v>34</v>
      </c>
      <c r="K362" s="1" t="s">
        <v>9</v>
      </c>
      <c r="L362" s="2" t="s">
        <v>10</v>
      </c>
      <c r="M362" s="1" t="s">
        <v>11</v>
      </c>
      <c r="N362" s="2">
        <v>11024</v>
      </c>
      <c r="O362" s="1" t="s">
        <v>40</v>
      </c>
      <c r="P362" s="1" t="s">
        <v>175</v>
      </c>
      <c r="Q362" s="1" t="s">
        <v>629</v>
      </c>
      <c r="R362" s="1"/>
      <c r="S362" s="1" t="s">
        <v>692</v>
      </c>
    </row>
    <row r="363" spans="1:19" x14ac:dyDescent="0.25">
      <c r="A363" s="1" t="s">
        <v>627</v>
      </c>
      <c r="C363" s="29" t="s">
        <v>41</v>
      </c>
      <c r="D363" t="s">
        <v>38</v>
      </c>
      <c r="E363" t="s">
        <v>1061</v>
      </c>
      <c r="F363" t="s">
        <v>245</v>
      </c>
      <c r="G363" s="1" t="s">
        <v>455</v>
      </c>
      <c r="H363" s="1">
        <f>COUNTIF(C:G,Tabela1[[#This Row],[Liderado]])</f>
        <v>0</v>
      </c>
      <c r="I363" s="1" t="s">
        <v>547</v>
      </c>
      <c r="J363" s="1" t="s">
        <v>294</v>
      </c>
      <c r="K363" s="1" t="s">
        <v>9</v>
      </c>
      <c r="L363" s="2" t="s">
        <v>10</v>
      </c>
      <c r="M363" s="1" t="s">
        <v>11</v>
      </c>
      <c r="N363" s="2">
        <v>11024</v>
      </c>
      <c r="O363" s="1" t="s">
        <v>40</v>
      </c>
      <c r="P363" s="1" t="s">
        <v>175</v>
      </c>
      <c r="Q363" s="1" t="s">
        <v>629</v>
      </c>
      <c r="R363" s="1"/>
      <c r="S363" s="1" t="s">
        <v>692</v>
      </c>
    </row>
    <row r="364" spans="1:19" x14ac:dyDescent="0.25">
      <c r="A364" s="1" t="s">
        <v>627</v>
      </c>
      <c r="C364" s="29" t="s">
        <v>41</v>
      </c>
      <c r="D364" t="s">
        <v>38</v>
      </c>
      <c r="E364" t="s">
        <v>1061</v>
      </c>
      <c r="F364" t="s">
        <v>245</v>
      </c>
      <c r="G364" s="1" t="s">
        <v>1061</v>
      </c>
      <c r="H364" s="1">
        <f>COUNTIF(C:G,Tabela1[[#This Row],[Liderado]])</f>
        <v>6</v>
      </c>
      <c r="I364" s="1" t="s">
        <v>455</v>
      </c>
      <c r="J364" s="1" t="s">
        <v>137</v>
      </c>
      <c r="K364" s="1" t="s">
        <v>9</v>
      </c>
      <c r="L364" s="2" t="s">
        <v>10</v>
      </c>
      <c r="M364" s="1" t="s">
        <v>11</v>
      </c>
      <c r="N364" s="2">
        <v>11024</v>
      </c>
      <c r="O364" s="1" t="s">
        <v>40</v>
      </c>
      <c r="P364" s="1" t="s">
        <v>175</v>
      </c>
      <c r="Q364" s="1" t="s">
        <v>629</v>
      </c>
      <c r="R364" s="1"/>
      <c r="S364" s="1" t="s">
        <v>692</v>
      </c>
    </row>
    <row r="365" spans="1:19" x14ac:dyDescent="0.25">
      <c r="A365" s="1" t="s">
        <v>671</v>
      </c>
      <c r="C365" s="29" t="s">
        <v>271</v>
      </c>
      <c r="D365" t="s">
        <v>440</v>
      </c>
      <c r="E365" t="s">
        <v>1061</v>
      </c>
      <c r="F365" t="s">
        <v>1061</v>
      </c>
      <c r="G365" s="1" t="s">
        <v>440</v>
      </c>
      <c r="H365" s="1">
        <f>COUNTIF(C:G,Tabela1[[#This Row],[Liderado]])</f>
        <v>0</v>
      </c>
      <c r="I365" s="1" t="s">
        <v>548</v>
      </c>
      <c r="J365" s="1" t="s">
        <v>220</v>
      </c>
      <c r="K365" s="1" t="s">
        <v>9</v>
      </c>
      <c r="L365" s="2" t="s">
        <v>10</v>
      </c>
      <c r="M365" s="1" t="s">
        <v>11</v>
      </c>
      <c r="N365" s="2">
        <v>11024</v>
      </c>
      <c r="O365" s="1" t="s">
        <v>40</v>
      </c>
      <c r="P365" s="1" t="s">
        <v>175</v>
      </c>
      <c r="Q365" s="1" t="s">
        <v>629</v>
      </c>
      <c r="R365" s="1"/>
      <c r="S365" s="1" t="s">
        <v>692</v>
      </c>
    </row>
    <row r="366" spans="1:19" x14ac:dyDescent="0.25">
      <c r="A366" s="1" t="s">
        <v>670</v>
      </c>
      <c r="C366" s="29" t="s">
        <v>71</v>
      </c>
      <c r="D366" t="s">
        <v>27</v>
      </c>
      <c r="E366" t="s">
        <v>1061</v>
      </c>
      <c r="F366" t="s">
        <v>1061</v>
      </c>
      <c r="G366" s="1" t="s">
        <v>1061</v>
      </c>
      <c r="H366" s="1">
        <f>COUNTIF(C:G,Tabela1[[#This Row],[Liderado]])</f>
        <v>0</v>
      </c>
      <c r="I366" s="1" t="s">
        <v>2001</v>
      </c>
      <c r="J366" s="1" t="s">
        <v>224</v>
      </c>
      <c r="K366" s="1" t="s">
        <v>9</v>
      </c>
      <c r="L366" s="2" t="s">
        <v>10</v>
      </c>
      <c r="M366" s="1" t="s">
        <v>11</v>
      </c>
      <c r="N366" s="2">
        <v>11024</v>
      </c>
      <c r="O366" s="1" t="s">
        <v>40</v>
      </c>
      <c r="P366" s="1" t="s">
        <v>175</v>
      </c>
      <c r="Q366" s="1" t="s">
        <v>629</v>
      </c>
      <c r="R366" s="1"/>
      <c r="S366" s="1" t="s">
        <v>692</v>
      </c>
    </row>
    <row r="367" spans="1:19" x14ac:dyDescent="0.25">
      <c r="A367" s="1" t="s">
        <v>670</v>
      </c>
      <c r="C367" s="29" t="s">
        <v>71</v>
      </c>
      <c r="D367" t="s">
        <v>27</v>
      </c>
      <c r="E367" t="s">
        <v>1061</v>
      </c>
      <c r="F367" t="s">
        <v>1061</v>
      </c>
      <c r="G367" s="1" t="s">
        <v>1061</v>
      </c>
      <c r="H367" s="1">
        <f>COUNTIF(C:G,Tabela1[[#This Row],[Liderado]])</f>
        <v>0</v>
      </c>
      <c r="I367" s="1" t="s">
        <v>549</v>
      </c>
      <c r="J367" s="1" t="s">
        <v>104</v>
      </c>
      <c r="K367" s="1" t="s">
        <v>9</v>
      </c>
      <c r="L367" s="2" t="s">
        <v>10</v>
      </c>
      <c r="M367" s="1" t="s">
        <v>11</v>
      </c>
      <c r="N367" s="2">
        <v>11024</v>
      </c>
      <c r="O367" s="1" t="s">
        <v>40</v>
      </c>
      <c r="P367" s="1" t="s">
        <v>175</v>
      </c>
      <c r="Q367" s="1" t="s">
        <v>629</v>
      </c>
      <c r="R367" s="1"/>
      <c r="S367" s="1" t="s">
        <v>692</v>
      </c>
    </row>
    <row r="368" spans="1:19" x14ac:dyDescent="0.25">
      <c r="A368" s="1" t="s">
        <v>627</v>
      </c>
      <c r="C368" s="29" t="s">
        <v>41</v>
      </c>
      <c r="D368" t="s">
        <v>38</v>
      </c>
      <c r="E368" t="s">
        <v>1061</v>
      </c>
      <c r="F368" t="s">
        <v>245</v>
      </c>
      <c r="G368" s="1" t="s">
        <v>136</v>
      </c>
      <c r="H368" s="1">
        <f>COUNTIF(C:G,Tabela1[[#This Row],[Liderado]])</f>
        <v>0</v>
      </c>
      <c r="I368" s="1" t="s">
        <v>551</v>
      </c>
      <c r="J368" s="1" t="s">
        <v>303</v>
      </c>
      <c r="K368" s="1" t="s">
        <v>9</v>
      </c>
      <c r="L368" s="2" t="s">
        <v>10</v>
      </c>
      <c r="M368" s="1" t="s">
        <v>11</v>
      </c>
      <c r="N368" s="2">
        <v>11024</v>
      </c>
      <c r="O368" s="1" t="s">
        <v>40</v>
      </c>
      <c r="P368" s="1" t="s">
        <v>175</v>
      </c>
      <c r="Q368" s="1" t="s">
        <v>629</v>
      </c>
      <c r="R368" s="1"/>
      <c r="S368" s="1" t="s">
        <v>692</v>
      </c>
    </row>
    <row r="369" spans="1:19" x14ac:dyDescent="0.25">
      <c r="A369" s="1" t="s">
        <v>670</v>
      </c>
      <c r="C369" s="29" t="s">
        <v>71</v>
      </c>
      <c r="D369" t="s">
        <v>384</v>
      </c>
      <c r="E369" t="s">
        <v>1061</v>
      </c>
      <c r="F369" t="s">
        <v>1061</v>
      </c>
      <c r="G369" s="1" t="s">
        <v>612</v>
      </c>
      <c r="H369" s="1">
        <f>COUNTIF(C:G,Tabela1[[#This Row],[Liderado]])</f>
        <v>0</v>
      </c>
      <c r="I369" s="1" t="s">
        <v>552</v>
      </c>
      <c r="J369" s="1" t="s">
        <v>388</v>
      </c>
      <c r="K369" s="1" t="s">
        <v>9</v>
      </c>
      <c r="L369" s="2" t="s">
        <v>10</v>
      </c>
      <c r="M369" s="1" t="s">
        <v>11</v>
      </c>
      <c r="N369" s="2">
        <v>11024</v>
      </c>
      <c r="O369" s="1" t="s">
        <v>40</v>
      </c>
      <c r="P369" s="1" t="s">
        <v>175</v>
      </c>
      <c r="Q369" s="1" t="s">
        <v>629</v>
      </c>
      <c r="R369" s="1"/>
      <c r="S369" s="1" t="s">
        <v>692</v>
      </c>
    </row>
    <row r="370" spans="1:19" x14ac:dyDescent="0.25">
      <c r="A370" s="1" t="s">
        <v>627</v>
      </c>
      <c r="C370" s="29" t="s">
        <v>41</v>
      </c>
      <c r="D370" t="s">
        <v>38</v>
      </c>
      <c r="E370" t="s">
        <v>1061</v>
      </c>
      <c r="F370" t="s">
        <v>245</v>
      </c>
      <c r="G370" s="1" t="s">
        <v>455</v>
      </c>
      <c r="H370" s="1">
        <f>COUNTIF(C:G,Tabela1[[#This Row],[Liderado]])</f>
        <v>0</v>
      </c>
      <c r="I370" s="1" t="s">
        <v>553</v>
      </c>
      <c r="J370" s="1" t="s">
        <v>303</v>
      </c>
      <c r="K370" s="1" t="s">
        <v>9</v>
      </c>
      <c r="L370" s="2" t="s">
        <v>10</v>
      </c>
      <c r="M370" s="1" t="s">
        <v>11</v>
      </c>
      <c r="N370" s="2">
        <v>11024</v>
      </c>
      <c r="O370" s="1" t="s">
        <v>40</v>
      </c>
      <c r="P370" s="1" t="s">
        <v>175</v>
      </c>
      <c r="Q370" s="1" t="s">
        <v>629</v>
      </c>
      <c r="R370" s="1"/>
      <c r="S370" s="1" t="s">
        <v>692</v>
      </c>
    </row>
    <row r="371" spans="1:19" x14ac:dyDescent="0.25">
      <c r="A371" s="1" t="s">
        <v>671</v>
      </c>
      <c r="C371" s="29" t="s">
        <v>271</v>
      </c>
      <c r="D371" t="s">
        <v>440</v>
      </c>
      <c r="E371" t="s">
        <v>1061</v>
      </c>
      <c r="F371" t="s">
        <v>450</v>
      </c>
      <c r="G371" s="1" t="s">
        <v>1061</v>
      </c>
      <c r="H371" s="1">
        <f>COUNTIF(C:G,Tabela1[[#This Row],[Liderado]])</f>
        <v>0</v>
      </c>
      <c r="I371" s="1" t="s">
        <v>554</v>
      </c>
      <c r="J371" s="1" t="s">
        <v>34</v>
      </c>
      <c r="K371" s="1" t="s">
        <v>9</v>
      </c>
      <c r="L371" s="2" t="s">
        <v>10</v>
      </c>
      <c r="M371" s="1" t="s">
        <v>11</v>
      </c>
      <c r="N371" s="2">
        <v>11024</v>
      </c>
      <c r="O371" s="1" t="s">
        <v>40</v>
      </c>
      <c r="P371" s="1" t="s">
        <v>175</v>
      </c>
      <c r="Q371" s="1" t="s">
        <v>629</v>
      </c>
      <c r="R371" s="1"/>
      <c r="S371" s="1" t="s">
        <v>692</v>
      </c>
    </row>
    <row r="372" spans="1:19" x14ac:dyDescent="0.25">
      <c r="A372" s="1" t="s">
        <v>670</v>
      </c>
      <c r="C372" s="29" t="s">
        <v>41</v>
      </c>
      <c r="D372" t="s">
        <v>444</v>
      </c>
      <c r="E372" t="s">
        <v>1061</v>
      </c>
      <c r="F372" t="s">
        <v>1061</v>
      </c>
      <c r="G372" s="1" t="s">
        <v>458</v>
      </c>
      <c r="H372" s="1">
        <f>COUNTIF(C:G,Tabela1[[#This Row],[Liderado]])</f>
        <v>0</v>
      </c>
      <c r="I372" s="1" t="s">
        <v>555</v>
      </c>
      <c r="J372" s="1" t="s">
        <v>274</v>
      </c>
      <c r="K372" s="1" t="s">
        <v>9</v>
      </c>
      <c r="L372" s="2" t="s">
        <v>10</v>
      </c>
      <c r="M372" s="1" t="s">
        <v>11</v>
      </c>
      <c r="N372" s="2">
        <v>11024</v>
      </c>
      <c r="O372" s="1" t="s">
        <v>40</v>
      </c>
      <c r="P372" s="1" t="s">
        <v>175</v>
      </c>
      <c r="Q372" s="1" t="s">
        <v>629</v>
      </c>
      <c r="R372" s="1"/>
      <c r="S372" s="1" t="s">
        <v>692</v>
      </c>
    </row>
    <row r="373" spans="1:19" x14ac:dyDescent="0.25">
      <c r="A373" s="1" t="s">
        <v>670</v>
      </c>
      <c r="C373" s="29" t="s">
        <v>41</v>
      </c>
      <c r="D373" t="s">
        <v>444</v>
      </c>
      <c r="E373" t="s">
        <v>1061</v>
      </c>
      <c r="F373" t="s">
        <v>1061</v>
      </c>
      <c r="G373" s="1" t="s">
        <v>458</v>
      </c>
      <c r="H373" s="1">
        <f>COUNTIF(C:G,Tabela1[[#This Row],[Liderado]])</f>
        <v>0</v>
      </c>
      <c r="I373" s="1" t="s">
        <v>2021</v>
      </c>
      <c r="J373" s="1" t="s">
        <v>34</v>
      </c>
      <c r="K373" s="1" t="s">
        <v>9</v>
      </c>
      <c r="L373" s="2" t="s">
        <v>10</v>
      </c>
      <c r="M373" s="1" t="s">
        <v>11</v>
      </c>
      <c r="N373" s="2">
        <v>11024</v>
      </c>
      <c r="O373" s="1" t="s">
        <v>40</v>
      </c>
      <c r="P373" s="1" t="s">
        <v>175</v>
      </c>
      <c r="Q373" s="1" t="s">
        <v>629</v>
      </c>
      <c r="R373" s="1"/>
      <c r="S373" s="1" t="s">
        <v>692</v>
      </c>
    </row>
    <row r="374" spans="1:19" x14ac:dyDescent="0.25">
      <c r="A374" s="1" t="s">
        <v>670</v>
      </c>
      <c r="C374" s="29" t="s">
        <v>41</v>
      </c>
      <c r="D374" t="s">
        <v>444</v>
      </c>
      <c r="E374" t="s">
        <v>1061</v>
      </c>
      <c r="F374" t="s">
        <v>1061</v>
      </c>
      <c r="G374" s="1" t="s">
        <v>437</v>
      </c>
      <c r="H374" s="1">
        <f>COUNTIF(C:G,Tabela1[[#This Row],[Liderado]])</f>
        <v>0</v>
      </c>
      <c r="I374" s="1" t="s">
        <v>557</v>
      </c>
      <c r="J374" s="1" t="s">
        <v>34</v>
      </c>
      <c r="K374" s="1" t="s">
        <v>9</v>
      </c>
      <c r="L374" s="2" t="s">
        <v>10</v>
      </c>
      <c r="M374" s="1" t="s">
        <v>11</v>
      </c>
      <c r="N374" s="2">
        <v>11024</v>
      </c>
      <c r="O374" s="1" t="s">
        <v>40</v>
      </c>
      <c r="P374" s="1" t="s">
        <v>175</v>
      </c>
      <c r="Q374" s="1" t="s">
        <v>629</v>
      </c>
      <c r="R374" s="1"/>
      <c r="S374" s="1" t="s">
        <v>692</v>
      </c>
    </row>
    <row r="375" spans="1:19" x14ac:dyDescent="0.25">
      <c r="A375" s="1" t="s">
        <v>670</v>
      </c>
      <c r="C375" s="29" t="s">
        <v>41</v>
      </c>
      <c r="D375" t="s">
        <v>444</v>
      </c>
      <c r="E375" t="s">
        <v>1061</v>
      </c>
      <c r="F375" t="s">
        <v>1061</v>
      </c>
      <c r="G375" s="1" t="s">
        <v>444</v>
      </c>
      <c r="H375" s="1">
        <f>COUNTIF(C:G,Tabela1[[#This Row],[Liderado]])</f>
        <v>0</v>
      </c>
      <c r="I375" s="1" t="s">
        <v>558</v>
      </c>
      <c r="J375" s="1" t="s">
        <v>153</v>
      </c>
      <c r="K375" s="1" t="s">
        <v>9</v>
      </c>
      <c r="L375" s="2" t="s">
        <v>10</v>
      </c>
      <c r="M375" s="1" t="s">
        <v>11</v>
      </c>
      <c r="N375" s="2">
        <v>11024</v>
      </c>
      <c r="O375" s="1" t="s">
        <v>40</v>
      </c>
      <c r="P375" s="1" t="s">
        <v>175</v>
      </c>
      <c r="Q375" s="1" t="s">
        <v>629</v>
      </c>
      <c r="R375" s="1"/>
      <c r="S375" s="1" t="s">
        <v>692</v>
      </c>
    </row>
    <row r="376" spans="1:19" x14ac:dyDescent="0.25">
      <c r="A376" s="1" t="s">
        <v>670</v>
      </c>
      <c r="C376" s="29" t="s">
        <v>41</v>
      </c>
      <c r="D376" t="s">
        <v>444</v>
      </c>
      <c r="E376" t="s">
        <v>1061</v>
      </c>
      <c r="F376" t="s">
        <v>1061</v>
      </c>
      <c r="G376" s="1" t="s">
        <v>444</v>
      </c>
      <c r="H376" s="1">
        <f>COUNTIF(C:G,Tabela1[[#This Row],[Liderado]])</f>
        <v>0</v>
      </c>
      <c r="I376" s="1" t="s">
        <v>559</v>
      </c>
      <c r="J376" s="1" t="s">
        <v>168</v>
      </c>
      <c r="K376" s="1" t="s">
        <v>9</v>
      </c>
      <c r="L376" s="2" t="s">
        <v>10</v>
      </c>
      <c r="M376" s="1" t="s">
        <v>11</v>
      </c>
      <c r="N376" s="2">
        <v>11024</v>
      </c>
      <c r="O376" s="1" t="s">
        <v>40</v>
      </c>
      <c r="P376" s="1" t="s">
        <v>175</v>
      </c>
      <c r="Q376" s="1" t="s">
        <v>629</v>
      </c>
      <c r="R376" s="1"/>
      <c r="S376" s="1" t="s">
        <v>692</v>
      </c>
    </row>
    <row r="377" spans="1:19" x14ac:dyDescent="0.25">
      <c r="A377" s="1" t="s">
        <v>670</v>
      </c>
      <c r="C377" s="29" t="s">
        <v>41</v>
      </c>
      <c r="D377" t="s">
        <v>444</v>
      </c>
      <c r="E377" t="s">
        <v>1061</v>
      </c>
      <c r="F377" t="s">
        <v>1061</v>
      </c>
      <c r="G377" s="1" t="s">
        <v>444</v>
      </c>
      <c r="H377" s="1">
        <f>COUNTIF(C:G,Tabela1[[#This Row],[Liderado]])</f>
        <v>0</v>
      </c>
      <c r="I377" s="1" t="s">
        <v>560</v>
      </c>
      <c r="J377" s="1" t="s">
        <v>168</v>
      </c>
      <c r="K377" s="1" t="s">
        <v>9</v>
      </c>
      <c r="L377" s="2" t="s">
        <v>10</v>
      </c>
      <c r="M377" s="1" t="s">
        <v>11</v>
      </c>
      <c r="N377" s="2">
        <v>11024</v>
      </c>
      <c r="O377" s="1" t="s">
        <v>40</v>
      </c>
      <c r="P377" s="1" t="s">
        <v>175</v>
      </c>
      <c r="Q377" s="1" t="s">
        <v>629</v>
      </c>
      <c r="R377" s="1"/>
      <c r="S377" s="1" t="s">
        <v>692</v>
      </c>
    </row>
    <row r="378" spans="1:19" x14ac:dyDescent="0.25">
      <c r="A378" s="1" t="s">
        <v>670</v>
      </c>
      <c r="C378" s="29" t="s">
        <v>71</v>
      </c>
      <c r="D378" t="s">
        <v>384</v>
      </c>
      <c r="E378" t="s">
        <v>1061</v>
      </c>
      <c r="F378" t="s">
        <v>1061</v>
      </c>
      <c r="G378" s="1" t="s">
        <v>612</v>
      </c>
      <c r="H378" s="1">
        <f>COUNTIF(C:G,Tabela1[[#This Row],[Liderado]])</f>
        <v>0</v>
      </c>
      <c r="I378" s="1" t="s">
        <v>561</v>
      </c>
      <c r="J378" s="1" t="s">
        <v>562</v>
      </c>
      <c r="K378" s="1" t="s">
        <v>9</v>
      </c>
      <c r="L378" s="2" t="s">
        <v>10</v>
      </c>
      <c r="M378" s="1" t="s">
        <v>11</v>
      </c>
      <c r="N378" s="2">
        <v>11024</v>
      </c>
      <c r="O378" s="1" t="s">
        <v>40</v>
      </c>
      <c r="P378" s="1" t="s">
        <v>175</v>
      </c>
      <c r="Q378" s="1" t="s">
        <v>629</v>
      </c>
      <c r="R378" s="1"/>
      <c r="S378" s="1" t="s">
        <v>692</v>
      </c>
    </row>
    <row r="379" spans="1:19" x14ac:dyDescent="0.25">
      <c r="A379" s="1" t="s">
        <v>670</v>
      </c>
      <c r="C379" s="29" t="s">
        <v>71</v>
      </c>
      <c r="D379" t="s">
        <v>384</v>
      </c>
      <c r="E379" t="s">
        <v>1061</v>
      </c>
      <c r="F379" t="s">
        <v>1061</v>
      </c>
      <c r="G379" s="1" t="s">
        <v>612</v>
      </c>
      <c r="H379" s="1">
        <f>COUNTIF(C:G,Tabela1[[#This Row],[Liderado]])</f>
        <v>0</v>
      </c>
      <c r="I379" s="1" t="s">
        <v>563</v>
      </c>
      <c r="J379" s="1" t="s">
        <v>388</v>
      </c>
      <c r="K379" s="1" t="s">
        <v>9</v>
      </c>
      <c r="L379" s="2" t="s">
        <v>10</v>
      </c>
      <c r="M379" s="1" t="s">
        <v>11</v>
      </c>
      <c r="N379" s="2">
        <v>11024</v>
      </c>
      <c r="O379" s="1" t="s">
        <v>40</v>
      </c>
      <c r="P379" s="1" t="s">
        <v>175</v>
      </c>
      <c r="Q379" s="1" t="s">
        <v>629</v>
      </c>
      <c r="R379" s="1"/>
      <c r="S379" s="1" t="s">
        <v>692</v>
      </c>
    </row>
    <row r="380" spans="1:19" x14ac:dyDescent="0.25">
      <c r="A380" s="1" t="s">
        <v>671</v>
      </c>
      <c r="C380" s="29" t="s">
        <v>271</v>
      </c>
      <c r="D380" t="s">
        <v>440</v>
      </c>
      <c r="E380" t="s">
        <v>1061</v>
      </c>
      <c r="F380" t="s">
        <v>1061</v>
      </c>
      <c r="G380" s="1" t="s">
        <v>1744</v>
      </c>
      <c r="H380" s="1">
        <f>COUNTIF(C:G,Tabela1[[#This Row],[Liderado]])</f>
        <v>0</v>
      </c>
      <c r="I380" s="1" t="s">
        <v>481</v>
      </c>
      <c r="J380" s="1" t="s">
        <v>211</v>
      </c>
      <c r="K380" s="1" t="s">
        <v>9</v>
      </c>
      <c r="L380" s="2" t="s">
        <v>10</v>
      </c>
      <c r="M380" s="1" t="s">
        <v>11</v>
      </c>
      <c r="N380" s="2">
        <v>11024</v>
      </c>
      <c r="O380" s="1" t="s">
        <v>40</v>
      </c>
      <c r="P380" s="1" t="s">
        <v>175</v>
      </c>
      <c r="Q380" s="1" t="s">
        <v>629</v>
      </c>
      <c r="R380" s="1"/>
      <c r="S380" s="1" t="s">
        <v>692</v>
      </c>
    </row>
    <row r="381" spans="1:19" x14ac:dyDescent="0.25">
      <c r="A381" s="1" t="s">
        <v>670</v>
      </c>
      <c r="C381" s="29" t="s">
        <v>41</v>
      </c>
      <c r="D381" t="s">
        <v>444</v>
      </c>
      <c r="E381" t="s">
        <v>1061</v>
      </c>
      <c r="F381" t="s">
        <v>1061</v>
      </c>
      <c r="G381" s="1" t="s">
        <v>444</v>
      </c>
      <c r="H381" s="1">
        <f>COUNTIF(C:G,Tabela1[[#This Row],[Liderado]])</f>
        <v>0</v>
      </c>
      <c r="I381" s="1" t="s">
        <v>566</v>
      </c>
      <c r="J381" s="1" t="s">
        <v>126</v>
      </c>
      <c r="K381" s="1" t="s">
        <v>9</v>
      </c>
      <c r="L381" s="2" t="s">
        <v>10</v>
      </c>
      <c r="M381" s="1" t="s">
        <v>11</v>
      </c>
      <c r="N381" s="2">
        <v>11024</v>
      </c>
      <c r="O381" s="1" t="s">
        <v>40</v>
      </c>
      <c r="P381" s="1" t="s">
        <v>175</v>
      </c>
      <c r="Q381" s="1" t="s">
        <v>629</v>
      </c>
      <c r="R381" s="1"/>
      <c r="S381" s="1" t="s">
        <v>692</v>
      </c>
    </row>
    <row r="382" spans="1:19" x14ac:dyDescent="0.25">
      <c r="A382" s="1" t="s">
        <v>670</v>
      </c>
      <c r="C382" s="29" t="s">
        <v>71</v>
      </c>
      <c r="D382" t="s">
        <v>384</v>
      </c>
      <c r="E382" t="s">
        <v>1061</v>
      </c>
      <c r="F382" t="s">
        <v>1061</v>
      </c>
      <c r="G382" s="1" t="s">
        <v>612</v>
      </c>
      <c r="H382" s="1">
        <f>COUNTIF(C:G,Tabela1[[#This Row],[Liderado]])</f>
        <v>0</v>
      </c>
      <c r="I382" s="1" t="s">
        <v>2039</v>
      </c>
      <c r="J382" s="1" t="s">
        <v>388</v>
      </c>
      <c r="K382" s="1" t="s">
        <v>9</v>
      </c>
      <c r="L382" s="2" t="s">
        <v>10</v>
      </c>
      <c r="M382" s="1" t="s">
        <v>11</v>
      </c>
      <c r="N382" s="2">
        <v>11024</v>
      </c>
      <c r="O382" s="1" t="s">
        <v>40</v>
      </c>
      <c r="P382" s="1" t="s">
        <v>175</v>
      </c>
      <c r="Q382" s="1" t="s">
        <v>629</v>
      </c>
      <c r="R382" s="1"/>
      <c r="S382" s="1" t="s">
        <v>692</v>
      </c>
    </row>
    <row r="383" spans="1:19" x14ac:dyDescent="0.25">
      <c r="A383" s="1" t="s">
        <v>670</v>
      </c>
      <c r="C383" s="29" t="s">
        <v>71</v>
      </c>
      <c r="D383" t="s">
        <v>384</v>
      </c>
      <c r="E383" t="s">
        <v>1061</v>
      </c>
      <c r="F383" t="s">
        <v>1061</v>
      </c>
      <c r="G383" s="1" t="s">
        <v>612</v>
      </c>
      <c r="H383" s="1">
        <f>COUNTIF(C:G,Tabela1[[#This Row],[Liderado]])</f>
        <v>0</v>
      </c>
      <c r="I383" s="1" t="s">
        <v>567</v>
      </c>
      <c r="J383" s="1" t="s">
        <v>388</v>
      </c>
      <c r="K383" s="1" t="s">
        <v>9</v>
      </c>
      <c r="L383" s="2" t="s">
        <v>10</v>
      </c>
      <c r="M383" s="1" t="s">
        <v>11</v>
      </c>
      <c r="N383" s="2">
        <v>11024</v>
      </c>
      <c r="O383" s="1" t="s">
        <v>40</v>
      </c>
      <c r="P383" s="1" t="s">
        <v>175</v>
      </c>
      <c r="Q383" s="1" t="s">
        <v>629</v>
      </c>
      <c r="R383" s="1"/>
      <c r="S383" s="1" t="s">
        <v>692</v>
      </c>
    </row>
    <row r="384" spans="1:19" x14ac:dyDescent="0.25">
      <c r="A384" s="1" t="s">
        <v>670</v>
      </c>
      <c r="C384" s="29" t="s">
        <v>71</v>
      </c>
      <c r="D384" t="s">
        <v>384</v>
      </c>
      <c r="E384" t="s">
        <v>1061</v>
      </c>
      <c r="F384" t="s">
        <v>1061</v>
      </c>
      <c r="G384" s="1" t="s">
        <v>612</v>
      </c>
      <c r="H384" s="1">
        <f>COUNTIF(C:G,Tabela1[[#This Row],[Liderado]])</f>
        <v>0</v>
      </c>
      <c r="I384" s="1" t="s">
        <v>568</v>
      </c>
      <c r="J384" s="1" t="s">
        <v>400</v>
      </c>
      <c r="K384" s="1" t="s">
        <v>9</v>
      </c>
      <c r="L384" s="2" t="s">
        <v>10</v>
      </c>
      <c r="M384" s="1" t="s">
        <v>11</v>
      </c>
      <c r="N384" s="2">
        <v>11024</v>
      </c>
      <c r="O384" s="1" t="s">
        <v>40</v>
      </c>
      <c r="P384" s="1" t="s">
        <v>175</v>
      </c>
      <c r="Q384" s="1" t="s">
        <v>629</v>
      </c>
      <c r="R384" s="1"/>
      <c r="S384" s="1" t="s">
        <v>692</v>
      </c>
    </row>
    <row r="385" spans="1:19" x14ac:dyDescent="0.25">
      <c r="A385" s="1" t="s">
        <v>671</v>
      </c>
      <c r="C385" s="29" t="s">
        <v>271</v>
      </c>
      <c r="D385" t="s">
        <v>440</v>
      </c>
      <c r="E385" t="s">
        <v>1061</v>
      </c>
      <c r="F385" t="s">
        <v>1061</v>
      </c>
      <c r="G385" s="1" t="s">
        <v>488</v>
      </c>
      <c r="H385" s="1">
        <f>COUNTIF(C:G,Tabela1[[#This Row],[Liderado]])</f>
        <v>0</v>
      </c>
      <c r="I385" s="1" t="s">
        <v>569</v>
      </c>
      <c r="J385" s="1" t="s">
        <v>34</v>
      </c>
      <c r="K385" s="1" t="s">
        <v>9</v>
      </c>
      <c r="L385" s="2" t="s">
        <v>10</v>
      </c>
      <c r="M385" s="1" t="s">
        <v>11</v>
      </c>
      <c r="N385" s="2">
        <v>11024</v>
      </c>
      <c r="O385" s="1" t="s">
        <v>40</v>
      </c>
      <c r="P385" s="1" t="s">
        <v>175</v>
      </c>
      <c r="Q385" s="1" t="s">
        <v>629</v>
      </c>
      <c r="R385" s="1"/>
      <c r="S385" s="1" t="s">
        <v>692</v>
      </c>
    </row>
    <row r="386" spans="1:19" x14ac:dyDescent="0.25">
      <c r="A386" s="1" t="s">
        <v>671</v>
      </c>
      <c r="C386" s="29" t="s">
        <v>271</v>
      </c>
      <c r="D386" t="s">
        <v>440</v>
      </c>
      <c r="E386" t="s">
        <v>1061</v>
      </c>
      <c r="F386" t="s">
        <v>1061</v>
      </c>
      <c r="G386" s="1" t="s">
        <v>440</v>
      </c>
      <c r="H386" s="1">
        <f>COUNTIF(C:G,Tabela1[[#This Row],[Liderado]])</f>
        <v>0</v>
      </c>
      <c r="I386" s="1" t="s">
        <v>570</v>
      </c>
      <c r="J386" s="1" t="s">
        <v>339</v>
      </c>
      <c r="K386" s="1" t="s">
        <v>9</v>
      </c>
      <c r="L386" s="2" t="s">
        <v>10</v>
      </c>
      <c r="M386" s="1" t="s">
        <v>11</v>
      </c>
      <c r="N386" s="2">
        <v>11024</v>
      </c>
      <c r="O386" s="1" t="s">
        <v>40</v>
      </c>
      <c r="P386" s="1" t="s">
        <v>175</v>
      </c>
      <c r="Q386" s="1" t="s">
        <v>629</v>
      </c>
      <c r="R386" s="1"/>
      <c r="S386" s="1" t="s">
        <v>692</v>
      </c>
    </row>
    <row r="387" spans="1:19" x14ac:dyDescent="0.25">
      <c r="A387" s="1" t="s">
        <v>670</v>
      </c>
      <c r="C387" s="29" t="s">
        <v>41</v>
      </c>
      <c r="D387" t="s">
        <v>444</v>
      </c>
      <c r="E387" t="s">
        <v>1061</v>
      </c>
      <c r="F387" t="s">
        <v>1061</v>
      </c>
      <c r="G387" s="1" t="s">
        <v>444</v>
      </c>
      <c r="H387" s="1">
        <f>COUNTIF(C:G,Tabela1[[#This Row],[Liderado]])</f>
        <v>0</v>
      </c>
      <c r="I387" s="1" t="s">
        <v>571</v>
      </c>
      <c r="J387" s="1" t="s">
        <v>220</v>
      </c>
      <c r="K387" s="1" t="s">
        <v>9</v>
      </c>
      <c r="L387" s="2" t="s">
        <v>10</v>
      </c>
      <c r="M387" s="1" t="s">
        <v>11</v>
      </c>
      <c r="N387" s="2">
        <v>11024</v>
      </c>
      <c r="O387" s="1" t="s">
        <v>40</v>
      </c>
      <c r="P387" s="1" t="s">
        <v>175</v>
      </c>
      <c r="Q387" s="1" t="s">
        <v>629</v>
      </c>
      <c r="R387" s="1"/>
      <c r="S387" s="1" t="s">
        <v>692</v>
      </c>
    </row>
    <row r="388" spans="1:19" x14ac:dyDescent="0.25">
      <c r="A388" s="1" t="s">
        <v>670</v>
      </c>
      <c r="C388" s="29" t="s">
        <v>71</v>
      </c>
      <c r="D388" t="s">
        <v>384</v>
      </c>
      <c r="E388" t="s">
        <v>1061</v>
      </c>
      <c r="F388" t="s">
        <v>1061</v>
      </c>
      <c r="G388" s="1" t="s">
        <v>612</v>
      </c>
      <c r="H388" s="1">
        <f>COUNTIF(C:G,Tabela1[[#This Row],[Liderado]])</f>
        <v>0</v>
      </c>
      <c r="I388" s="1" t="s">
        <v>572</v>
      </c>
      <c r="J388" s="1" t="s">
        <v>562</v>
      </c>
      <c r="K388" s="1" t="s">
        <v>9</v>
      </c>
      <c r="L388" s="2" t="s">
        <v>10</v>
      </c>
      <c r="M388" s="1" t="s">
        <v>11</v>
      </c>
      <c r="N388" s="2">
        <v>11024</v>
      </c>
      <c r="O388" s="1" t="s">
        <v>40</v>
      </c>
      <c r="P388" s="1" t="s">
        <v>175</v>
      </c>
      <c r="Q388" s="1" t="s">
        <v>629</v>
      </c>
      <c r="R388" s="1"/>
      <c r="S388" s="1" t="s">
        <v>692</v>
      </c>
    </row>
    <row r="389" spans="1:19" x14ac:dyDescent="0.25">
      <c r="A389" s="1" t="s">
        <v>670</v>
      </c>
      <c r="C389" s="29" t="s">
        <v>71</v>
      </c>
      <c r="D389" t="s">
        <v>384</v>
      </c>
      <c r="E389" t="s">
        <v>1061</v>
      </c>
      <c r="F389" t="s">
        <v>1061</v>
      </c>
      <c r="G389" s="1" t="s">
        <v>1061</v>
      </c>
      <c r="H389" s="1">
        <f>COUNTIF(C:G,Tabela1[[#This Row],[Liderado]])</f>
        <v>0</v>
      </c>
      <c r="I389" s="1" t="s">
        <v>573</v>
      </c>
      <c r="J389" s="1" t="s">
        <v>203</v>
      </c>
      <c r="K389" s="1" t="s">
        <v>9</v>
      </c>
      <c r="L389" s="2" t="s">
        <v>10</v>
      </c>
      <c r="M389" s="1" t="s">
        <v>11</v>
      </c>
      <c r="N389" s="2">
        <v>11024</v>
      </c>
      <c r="O389" s="1" t="s">
        <v>40</v>
      </c>
      <c r="P389" s="1" t="s">
        <v>175</v>
      </c>
      <c r="Q389" s="1" t="s">
        <v>629</v>
      </c>
      <c r="R389" s="1"/>
      <c r="S389" s="1" t="s">
        <v>692</v>
      </c>
    </row>
    <row r="390" spans="1:19" x14ac:dyDescent="0.25">
      <c r="A390" s="1" t="s">
        <v>670</v>
      </c>
      <c r="C390" s="29" t="s">
        <v>71</v>
      </c>
      <c r="D390" t="s">
        <v>384</v>
      </c>
      <c r="E390" t="s">
        <v>1061</v>
      </c>
      <c r="F390" t="s">
        <v>1061</v>
      </c>
      <c r="G390" s="1" t="s">
        <v>612</v>
      </c>
      <c r="H390" s="1">
        <f>COUNTIF(C:G,Tabela1[[#This Row],[Liderado]])</f>
        <v>0</v>
      </c>
      <c r="I390" s="1" t="s">
        <v>576</v>
      </c>
      <c r="J390" s="1" t="s">
        <v>388</v>
      </c>
      <c r="K390" s="1" t="s">
        <v>9</v>
      </c>
      <c r="L390" s="2" t="s">
        <v>10</v>
      </c>
      <c r="M390" s="1" t="s">
        <v>11</v>
      </c>
      <c r="N390" s="2">
        <v>11024</v>
      </c>
      <c r="O390" s="1" t="s">
        <v>40</v>
      </c>
      <c r="P390" s="1" t="s">
        <v>175</v>
      </c>
      <c r="Q390" s="1" t="s">
        <v>629</v>
      </c>
      <c r="R390" s="1"/>
      <c r="S390" s="1" t="s">
        <v>692</v>
      </c>
    </row>
    <row r="391" spans="1:19" x14ac:dyDescent="0.25">
      <c r="A391" s="1" t="s">
        <v>671</v>
      </c>
      <c r="C391" s="29" t="s">
        <v>271</v>
      </c>
      <c r="D391" t="s">
        <v>440</v>
      </c>
      <c r="E391" t="s">
        <v>1061</v>
      </c>
      <c r="F391" t="s">
        <v>1061</v>
      </c>
      <c r="G391" s="1" t="s">
        <v>440</v>
      </c>
      <c r="H391" s="1">
        <f>COUNTIF(C:G,Tabela1[[#This Row],[Liderado]])</f>
        <v>0</v>
      </c>
      <c r="I391" s="1" t="s">
        <v>577</v>
      </c>
      <c r="J391" s="1" t="s">
        <v>126</v>
      </c>
      <c r="K391" s="1" t="s">
        <v>9</v>
      </c>
      <c r="L391" s="2" t="s">
        <v>10</v>
      </c>
      <c r="M391" s="1" t="s">
        <v>11</v>
      </c>
      <c r="N391" s="2">
        <v>11024</v>
      </c>
      <c r="O391" s="1" t="s">
        <v>40</v>
      </c>
      <c r="P391" s="1" t="s">
        <v>175</v>
      </c>
      <c r="Q391" s="1" t="s">
        <v>629</v>
      </c>
      <c r="R391" s="1"/>
      <c r="S391" s="1" t="s">
        <v>692</v>
      </c>
    </row>
    <row r="392" spans="1:19" x14ac:dyDescent="0.25">
      <c r="A392" s="1" t="s">
        <v>670</v>
      </c>
      <c r="C392" s="29" t="s">
        <v>71</v>
      </c>
      <c r="D392" t="s">
        <v>384</v>
      </c>
      <c r="E392" t="s">
        <v>1061</v>
      </c>
      <c r="F392" t="s">
        <v>1061</v>
      </c>
      <c r="G392" s="1" t="s">
        <v>612</v>
      </c>
      <c r="H392" s="1">
        <f>COUNTIF(C:G,Tabela1[[#This Row],[Liderado]])</f>
        <v>0</v>
      </c>
      <c r="I392" s="1" t="s">
        <v>2059</v>
      </c>
      <c r="J392" s="1" t="s">
        <v>388</v>
      </c>
      <c r="K392" s="1" t="s">
        <v>9</v>
      </c>
      <c r="L392" s="2" t="s">
        <v>10</v>
      </c>
      <c r="M392" s="1" t="s">
        <v>11</v>
      </c>
      <c r="N392" s="2">
        <v>11024</v>
      </c>
      <c r="O392" s="1" t="s">
        <v>40</v>
      </c>
      <c r="P392" s="1" t="s">
        <v>175</v>
      </c>
      <c r="Q392" s="1" t="s">
        <v>629</v>
      </c>
      <c r="R392" s="1"/>
      <c r="S392" s="1" t="s">
        <v>692</v>
      </c>
    </row>
    <row r="393" spans="1:19" x14ac:dyDescent="0.25">
      <c r="A393" s="1" t="s">
        <v>670</v>
      </c>
      <c r="C393" s="29" t="s">
        <v>41</v>
      </c>
      <c r="D393" t="s">
        <v>444</v>
      </c>
      <c r="E393" t="s">
        <v>1061</v>
      </c>
      <c r="F393" t="s">
        <v>1061</v>
      </c>
      <c r="G393" s="1" t="s">
        <v>444</v>
      </c>
      <c r="H393" s="1">
        <f>COUNTIF(C:G,Tabela1[[#This Row],[Liderado]])</f>
        <v>0</v>
      </c>
      <c r="I393" s="1" t="s">
        <v>578</v>
      </c>
      <c r="J393" s="1" t="s">
        <v>168</v>
      </c>
      <c r="K393" s="1" t="s">
        <v>9</v>
      </c>
      <c r="L393" s="2" t="s">
        <v>10</v>
      </c>
      <c r="M393" s="1" t="s">
        <v>11</v>
      </c>
      <c r="N393" s="2">
        <v>11024</v>
      </c>
      <c r="O393" s="1" t="s">
        <v>40</v>
      </c>
      <c r="P393" s="1" t="s">
        <v>175</v>
      </c>
      <c r="Q393" s="1" t="s">
        <v>629</v>
      </c>
      <c r="R393" s="1"/>
      <c r="S393" s="1" t="s">
        <v>692</v>
      </c>
    </row>
    <row r="394" spans="1:19" x14ac:dyDescent="0.25">
      <c r="A394" s="1" t="s">
        <v>670</v>
      </c>
      <c r="C394" s="29" t="s">
        <v>41</v>
      </c>
      <c r="D394" t="s">
        <v>444</v>
      </c>
      <c r="E394" t="s">
        <v>1061</v>
      </c>
      <c r="F394" t="s">
        <v>1061</v>
      </c>
      <c r="G394" s="1" t="s">
        <v>444</v>
      </c>
      <c r="H394" s="1">
        <f>COUNTIF(C:G,Tabela1[[#This Row],[Liderado]])</f>
        <v>0</v>
      </c>
      <c r="I394" s="1" t="s">
        <v>579</v>
      </c>
      <c r="J394" s="1" t="s">
        <v>168</v>
      </c>
      <c r="K394" s="1" t="s">
        <v>9</v>
      </c>
      <c r="L394" s="2" t="s">
        <v>10</v>
      </c>
      <c r="M394" s="1" t="s">
        <v>11</v>
      </c>
      <c r="N394" s="2">
        <v>11024</v>
      </c>
      <c r="O394" s="1" t="s">
        <v>40</v>
      </c>
      <c r="P394" s="1" t="s">
        <v>175</v>
      </c>
      <c r="Q394" s="1" t="s">
        <v>629</v>
      </c>
      <c r="R394" s="1"/>
      <c r="S394" s="1" t="s">
        <v>692</v>
      </c>
    </row>
    <row r="395" spans="1:19" x14ac:dyDescent="0.25">
      <c r="A395" s="1" t="s">
        <v>671</v>
      </c>
      <c r="C395" s="29" t="s">
        <v>71</v>
      </c>
      <c r="D395" t="s">
        <v>27</v>
      </c>
      <c r="E395" t="s">
        <v>1061</v>
      </c>
      <c r="F395" t="s">
        <v>1061</v>
      </c>
      <c r="G395" s="1" t="s">
        <v>1061</v>
      </c>
      <c r="H395" s="1">
        <f>COUNTIF(C:G,Tabela1[[#This Row],[Liderado]])</f>
        <v>0</v>
      </c>
      <c r="I395" s="1" t="s">
        <v>580</v>
      </c>
      <c r="J395" s="1" t="s">
        <v>104</v>
      </c>
      <c r="K395" s="1" t="s">
        <v>9</v>
      </c>
      <c r="L395" s="2" t="s">
        <v>10</v>
      </c>
      <c r="M395" s="1" t="s">
        <v>11</v>
      </c>
      <c r="N395" s="2">
        <v>11024</v>
      </c>
      <c r="O395" s="1" t="s">
        <v>40</v>
      </c>
      <c r="P395" s="1" t="s">
        <v>175</v>
      </c>
      <c r="Q395" s="1" t="s">
        <v>629</v>
      </c>
      <c r="R395" s="1"/>
      <c r="S395" s="1" t="s">
        <v>692</v>
      </c>
    </row>
    <row r="396" spans="1:19" x14ac:dyDescent="0.25">
      <c r="A396" s="1" t="s">
        <v>670</v>
      </c>
      <c r="C396" s="29" t="s">
        <v>71</v>
      </c>
      <c r="D396" t="s">
        <v>384</v>
      </c>
      <c r="E396" t="s">
        <v>1061</v>
      </c>
      <c r="F396" t="s">
        <v>1061</v>
      </c>
      <c r="G396" s="1" t="s">
        <v>612</v>
      </c>
      <c r="H396" s="1">
        <f>COUNTIF(C:G,Tabela1[[#This Row],[Liderado]])</f>
        <v>0</v>
      </c>
      <c r="I396" s="1" t="s">
        <v>581</v>
      </c>
      <c r="J396" s="1" t="s">
        <v>582</v>
      </c>
      <c r="K396" s="1" t="s">
        <v>9</v>
      </c>
      <c r="L396" s="2" t="s">
        <v>10</v>
      </c>
      <c r="M396" s="1" t="s">
        <v>11</v>
      </c>
      <c r="N396" s="2">
        <v>11024</v>
      </c>
      <c r="O396" s="1" t="s">
        <v>40</v>
      </c>
      <c r="P396" s="1" t="s">
        <v>175</v>
      </c>
      <c r="Q396" s="1" t="s">
        <v>629</v>
      </c>
      <c r="R396" s="1"/>
      <c r="S396" s="1" t="s">
        <v>692</v>
      </c>
    </row>
    <row r="397" spans="1:19" x14ac:dyDescent="0.25">
      <c r="A397" s="1" t="s">
        <v>670</v>
      </c>
      <c r="C397" s="29" t="s">
        <v>71</v>
      </c>
      <c r="D397" t="s">
        <v>384</v>
      </c>
      <c r="E397" t="s">
        <v>1061</v>
      </c>
      <c r="F397" t="s">
        <v>1061</v>
      </c>
      <c r="G397" s="1" t="s">
        <v>612</v>
      </c>
      <c r="H397" s="1">
        <f>COUNTIF(C:G,Tabela1[[#This Row],[Liderado]])</f>
        <v>0</v>
      </c>
      <c r="I397" s="1" t="s">
        <v>584</v>
      </c>
      <c r="J397" s="1" t="s">
        <v>562</v>
      </c>
      <c r="K397" s="1" t="s">
        <v>9</v>
      </c>
      <c r="L397" s="2" t="s">
        <v>10</v>
      </c>
      <c r="M397" s="1" t="s">
        <v>11</v>
      </c>
      <c r="N397" s="2">
        <v>11024</v>
      </c>
      <c r="O397" s="1" t="s">
        <v>40</v>
      </c>
      <c r="P397" s="1" t="s">
        <v>175</v>
      </c>
      <c r="Q397" s="1" t="s">
        <v>629</v>
      </c>
      <c r="R397" s="1"/>
      <c r="S397" s="1" t="s">
        <v>692</v>
      </c>
    </row>
    <row r="398" spans="1:19" x14ac:dyDescent="0.25">
      <c r="A398" s="1" t="s">
        <v>670</v>
      </c>
      <c r="C398" s="29" t="s">
        <v>71</v>
      </c>
      <c r="D398" t="s">
        <v>384</v>
      </c>
      <c r="E398" t="s">
        <v>1061</v>
      </c>
      <c r="F398" t="s">
        <v>1061</v>
      </c>
      <c r="G398" s="1" t="s">
        <v>612</v>
      </c>
      <c r="H398" s="1">
        <f>COUNTIF(C:G,Tabela1[[#This Row],[Liderado]])</f>
        <v>0</v>
      </c>
      <c r="I398" s="1" t="s">
        <v>585</v>
      </c>
      <c r="J398" s="1" t="s">
        <v>562</v>
      </c>
      <c r="K398" s="1" t="s">
        <v>9</v>
      </c>
      <c r="L398" s="2" t="s">
        <v>10</v>
      </c>
      <c r="M398" s="1" t="s">
        <v>11</v>
      </c>
      <c r="N398" s="2">
        <v>11024</v>
      </c>
      <c r="O398" s="1" t="s">
        <v>40</v>
      </c>
      <c r="P398" s="1" t="s">
        <v>175</v>
      </c>
      <c r="Q398" s="1" t="s">
        <v>629</v>
      </c>
      <c r="R398" s="1"/>
      <c r="S398" s="1" t="s">
        <v>692</v>
      </c>
    </row>
    <row r="399" spans="1:19" x14ac:dyDescent="0.25">
      <c r="A399" s="1" t="s">
        <v>671</v>
      </c>
      <c r="C399" s="29" t="s">
        <v>271</v>
      </c>
      <c r="D399" t="s">
        <v>440</v>
      </c>
      <c r="E399" t="s">
        <v>1061</v>
      </c>
      <c r="F399" t="s">
        <v>1061</v>
      </c>
      <c r="G399" s="1" t="s">
        <v>440</v>
      </c>
      <c r="H399" s="1">
        <f>COUNTIF(C:G,Tabela1[[#This Row],[Liderado]])</f>
        <v>0</v>
      </c>
      <c r="I399" s="1" t="s">
        <v>586</v>
      </c>
      <c r="J399" s="1" t="s">
        <v>339</v>
      </c>
      <c r="K399" s="1" t="s">
        <v>9</v>
      </c>
      <c r="L399" s="2" t="s">
        <v>10</v>
      </c>
      <c r="M399" s="1" t="s">
        <v>11</v>
      </c>
      <c r="N399" s="2">
        <v>11024</v>
      </c>
      <c r="O399" s="1" t="s">
        <v>40</v>
      </c>
      <c r="P399" s="1" t="s">
        <v>175</v>
      </c>
      <c r="Q399" s="1" t="s">
        <v>629</v>
      </c>
      <c r="R399" s="1"/>
      <c r="S399" s="1" t="s">
        <v>692</v>
      </c>
    </row>
    <row r="400" spans="1:19" x14ac:dyDescent="0.25">
      <c r="A400" s="1" t="s">
        <v>671</v>
      </c>
      <c r="C400" s="29" t="s">
        <v>271</v>
      </c>
      <c r="D400" t="s">
        <v>440</v>
      </c>
      <c r="E400" t="s">
        <v>1061</v>
      </c>
      <c r="F400" t="s">
        <v>1061</v>
      </c>
      <c r="G400" s="1" t="s">
        <v>1744</v>
      </c>
      <c r="H400" s="1">
        <f>COUNTIF(C:G,Tabela1[[#This Row],[Liderado]])</f>
        <v>0</v>
      </c>
      <c r="I400" s="1" t="s">
        <v>2073</v>
      </c>
      <c r="J400" s="1" t="s">
        <v>274</v>
      </c>
      <c r="K400" s="1" t="s">
        <v>9</v>
      </c>
      <c r="L400" s="2" t="s">
        <v>10</v>
      </c>
      <c r="M400" s="1" t="s">
        <v>11</v>
      </c>
      <c r="N400" s="2">
        <v>11024</v>
      </c>
      <c r="O400" s="1" t="s">
        <v>40</v>
      </c>
      <c r="P400" s="1" t="s">
        <v>175</v>
      </c>
      <c r="Q400" s="1" t="s">
        <v>629</v>
      </c>
      <c r="R400" s="1"/>
      <c r="S400" s="1" t="s">
        <v>692</v>
      </c>
    </row>
    <row r="401" spans="1:19" x14ac:dyDescent="0.25">
      <c r="A401" s="1" t="s">
        <v>670</v>
      </c>
      <c r="C401" s="29" t="s">
        <v>41</v>
      </c>
      <c r="D401" t="s">
        <v>444</v>
      </c>
      <c r="E401" t="s">
        <v>1061</v>
      </c>
      <c r="F401" t="s">
        <v>1061</v>
      </c>
      <c r="G401" s="1" t="s">
        <v>437</v>
      </c>
      <c r="H401" s="1">
        <f>COUNTIF(C:G,Tabela1[[#This Row],[Liderado]])</f>
        <v>0</v>
      </c>
      <c r="I401" s="1" t="s">
        <v>587</v>
      </c>
      <c r="J401" s="1" t="s">
        <v>34</v>
      </c>
      <c r="K401" s="1" t="s">
        <v>9</v>
      </c>
      <c r="L401" s="2" t="s">
        <v>10</v>
      </c>
      <c r="M401" s="1" t="s">
        <v>11</v>
      </c>
      <c r="N401" s="2">
        <v>11024</v>
      </c>
      <c r="O401" s="1" t="s">
        <v>40</v>
      </c>
      <c r="P401" s="1" t="s">
        <v>175</v>
      </c>
      <c r="Q401" s="1" t="s">
        <v>629</v>
      </c>
      <c r="R401" s="1"/>
      <c r="S401" s="1" t="s">
        <v>692</v>
      </c>
    </row>
    <row r="402" spans="1:19" x14ac:dyDescent="0.25">
      <c r="A402" s="1" t="s">
        <v>627</v>
      </c>
      <c r="C402" s="29" t="s">
        <v>41</v>
      </c>
      <c r="D402" t="s">
        <v>38</v>
      </c>
      <c r="E402" t="s">
        <v>1061</v>
      </c>
      <c r="F402" t="s">
        <v>245</v>
      </c>
      <c r="G402" s="1" t="s">
        <v>136</v>
      </c>
      <c r="H402" s="1">
        <f>COUNTIF(C:G,Tabela1[[#This Row],[Liderado]])</f>
        <v>0</v>
      </c>
      <c r="I402" s="1" t="s">
        <v>588</v>
      </c>
      <c r="J402" s="1" t="s">
        <v>61</v>
      </c>
      <c r="K402" s="1" t="s">
        <v>9</v>
      </c>
      <c r="L402" s="2" t="s">
        <v>10</v>
      </c>
      <c r="M402" s="1" t="s">
        <v>11</v>
      </c>
      <c r="N402" s="2">
        <v>11024</v>
      </c>
      <c r="O402" s="1" t="s">
        <v>40</v>
      </c>
      <c r="P402" s="1" t="s">
        <v>175</v>
      </c>
      <c r="Q402" s="1" t="s">
        <v>629</v>
      </c>
      <c r="R402" s="1"/>
      <c r="S402" s="1" t="s">
        <v>692</v>
      </c>
    </row>
    <row r="403" spans="1:19" x14ac:dyDescent="0.25">
      <c r="A403" s="1" t="s">
        <v>670</v>
      </c>
      <c r="C403" s="29" t="s">
        <v>41</v>
      </c>
      <c r="D403" t="s">
        <v>444</v>
      </c>
      <c r="E403" t="s">
        <v>1061</v>
      </c>
      <c r="F403" t="s">
        <v>1061</v>
      </c>
      <c r="G403" s="1" t="s">
        <v>444</v>
      </c>
      <c r="H403" s="1">
        <f>COUNTIF(C:G,Tabela1[[#This Row],[Liderado]])</f>
        <v>0</v>
      </c>
      <c r="I403" s="1" t="s">
        <v>590</v>
      </c>
      <c r="J403" s="1" t="s">
        <v>168</v>
      </c>
      <c r="K403" s="1" t="s">
        <v>9</v>
      </c>
      <c r="L403" s="2" t="s">
        <v>10</v>
      </c>
      <c r="M403" s="1" t="s">
        <v>11</v>
      </c>
      <c r="N403" s="2">
        <v>11024</v>
      </c>
      <c r="O403" s="1" t="s">
        <v>40</v>
      </c>
      <c r="P403" s="1" t="s">
        <v>175</v>
      </c>
      <c r="Q403" s="1" t="s">
        <v>629</v>
      </c>
      <c r="R403" s="1"/>
      <c r="S403" s="1" t="s">
        <v>692</v>
      </c>
    </row>
    <row r="404" spans="1:19" x14ac:dyDescent="0.25">
      <c r="A404" s="1" t="s">
        <v>670</v>
      </c>
      <c r="C404" s="29" t="s">
        <v>41</v>
      </c>
      <c r="D404" t="s">
        <v>444</v>
      </c>
      <c r="E404" t="s">
        <v>1061</v>
      </c>
      <c r="F404" t="s">
        <v>1061</v>
      </c>
      <c r="G404" s="1" t="s">
        <v>444</v>
      </c>
      <c r="H404" s="1">
        <f>COUNTIF(C:G,Tabela1[[#This Row],[Liderado]])</f>
        <v>0</v>
      </c>
      <c r="I404" s="1" t="s">
        <v>591</v>
      </c>
      <c r="J404" s="1" t="s">
        <v>220</v>
      </c>
      <c r="K404" s="1" t="s">
        <v>9</v>
      </c>
      <c r="L404" s="2" t="s">
        <v>10</v>
      </c>
      <c r="M404" s="1" t="s">
        <v>11</v>
      </c>
      <c r="N404" s="2">
        <v>11024</v>
      </c>
      <c r="O404" s="1" t="s">
        <v>40</v>
      </c>
      <c r="P404" s="1" t="s">
        <v>175</v>
      </c>
      <c r="Q404" s="1" t="s">
        <v>629</v>
      </c>
      <c r="R404" s="1"/>
      <c r="S404" s="1" t="s">
        <v>692</v>
      </c>
    </row>
    <row r="405" spans="1:19" x14ac:dyDescent="0.25">
      <c r="A405" s="1" t="s">
        <v>670</v>
      </c>
      <c r="C405" s="29" t="s">
        <v>41</v>
      </c>
      <c r="D405" t="s">
        <v>444</v>
      </c>
      <c r="E405" t="s">
        <v>1061</v>
      </c>
      <c r="F405" t="s">
        <v>1061</v>
      </c>
      <c r="G405" s="1" t="s">
        <v>444</v>
      </c>
      <c r="H405" s="1">
        <f>COUNTIF(C:G,Tabela1[[#This Row],[Liderado]])</f>
        <v>0</v>
      </c>
      <c r="I405" s="1" t="s">
        <v>2088</v>
      </c>
      <c r="J405" s="1" t="s">
        <v>168</v>
      </c>
      <c r="K405" s="1" t="s">
        <v>9</v>
      </c>
      <c r="L405" s="2" t="s">
        <v>10</v>
      </c>
      <c r="M405" s="1" t="s">
        <v>11</v>
      </c>
      <c r="N405" s="2">
        <v>11024</v>
      </c>
      <c r="O405" s="1" t="s">
        <v>40</v>
      </c>
      <c r="P405" s="1" t="s">
        <v>175</v>
      </c>
      <c r="Q405" s="1" t="s">
        <v>629</v>
      </c>
      <c r="R405" s="1"/>
      <c r="S405" s="1" t="s">
        <v>692</v>
      </c>
    </row>
    <row r="406" spans="1:19" x14ac:dyDescent="0.25">
      <c r="A406" s="1" t="s">
        <v>671</v>
      </c>
      <c r="C406" s="29" t="s">
        <v>271</v>
      </c>
      <c r="D406" t="s">
        <v>440</v>
      </c>
      <c r="E406" t="s">
        <v>1061</v>
      </c>
      <c r="F406" t="s">
        <v>1061</v>
      </c>
      <c r="G406" s="1" t="s">
        <v>440</v>
      </c>
      <c r="H406" s="1">
        <f>COUNTIF(C:G,Tabela1[[#This Row],[Liderado]])</f>
        <v>0</v>
      </c>
      <c r="I406" s="1" t="s">
        <v>593</v>
      </c>
      <c r="J406" s="1" t="s">
        <v>168</v>
      </c>
      <c r="K406" s="1" t="s">
        <v>9</v>
      </c>
      <c r="L406" s="2" t="s">
        <v>10</v>
      </c>
      <c r="M406" s="1" t="s">
        <v>11</v>
      </c>
      <c r="N406" s="2">
        <v>11024</v>
      </c>
      <c r="O406" s="1" t="s">
        <v>40</v>
      </c>
      <c r="P406" s="1" t="s">
        <v>175</v>
      </c>
      <c r="Q406" s="1" t="s">
        <v>629</v>
      </c>
      <c r="R406" s="1"/>
      <c r="S406" s="1" t="s">
        <v>692</v>
      </c>
    </row>
    <row r="407" spans="1:19" x14ac:dyDescent="0.25">
      <c r="A407" s="1" t="s">
        <v>670</v>
      </c>
      <c r="C407" s="29" t="s">
        <v>41</v>
      </c>
      <c r="D407" t="s">
        <v>444</v>
      </c>
      <c r="E407" t="s">
        <v>1061</v>
      </c>
      <c r="F407" t="s">
        <v>1061</v>
      </c>
      <c r="G407" s="1" t="s">
        <v>437</v>
      </c>
      <c r="H407" s="1">
        <f>COUNTIF(C:G,Tabela1[[#This Row],[Liderado]])</f>
        <v>0</v>
      </c>
      <c r="I407" s="1" t="s">
        <v>594</v>
      </c>
      <c r="J407" s="1" t="s">
        <v>34</v>
      </c>
      <c r="K407" s="1" t="s">
        <v>9</v>
      </c>
      <c r="L407" s="2" t="s">
        <v>10</v>
      </c>
      <c r="M407" s="1" t="s">
        <v>11</v>
      </c>
      <c r="N407" s="2">
        <v>11024</v>
      </c>
      <c r="O407" s="1" t="s">
        <v>40</v>
      </c>
      <c r="P407" s="1" t="s">
        <v>175</v>
      </c>
      <c r="Q407" s="1" t="s">
        <v>629</v>
      </c>
      <c r="R407" s="1"/>
      <c r="S407" s="1" t="s">
        <v>692</v>
      </c>
    </row>
    <row r="408" spans="1:19" x14ac:dyDescent="0.25">
      <c r="A408" s="1" t="s">
        <v>670</v>
      </c>
      <c r="C408" s="29" t="s">
        <v>41</v>
      </c>
      <c r="D408" t="s">
        <v>444</v>
      </c>
      <c r="E408" t="s">
        <v>1061</v>
      </c>
      <c r="F408" t="s">
        <v>1061</v>
      </c>
      <c r="G408" s="1" t="s">
        <v>444</v>
      </c>
      <c r="H408" s="1">
        <f>COUNTIF(C:G,Tabela1[[#This Row],[Liderado]])</f>
        <v>0</v>
      </c>
      <c r="I408" s="1" t="s">
        <v>595</v>
      </c>
      <c r="J408" s="1" t="s">
        <v>230</v>
      </c>
      <c r="K408" s="1" t="s">
        <v>9</v>
      </c>
      <c r="L408" s="2" t="s">
        <v>10</v>
      </c>
      <c r="M408" s="1" t="s">
        <v>11</v>
      </c>
      <c r="N408" s="2">
        <v>11024</v>
      </c>
      <c r="O408" s="1" t="s">
        <v>40</v>
      </c>
      <c r="P408" s="1" t="s">
        <v>175</v>
      </c>
      <c r="Q408" s="1" t="s">
        <v>629</v>
      </c>
      <c r="R408" s="1"/>
      <c r="S408" s="1" t="s">
        <v>692</v>
      </c>
    </row>
    <row r="409" spans="1:19" x14ac:dyDescent="0.25">
      <c r="A409" s="1" t="s">
        <v>670</v>
      </c>
      <c r="C409" s="29" t="s">
        <v>41</v>
      </c>
      <c r="D409" t="s">
        <v>444</v>
      </c>
      <c r="E409" t="s">
        <v>1061</v>
      </c>
      <c r="F409" t="s">
        <v>1061</v>
      </c>
      <c r="G409" s="1" t="s">
        <v>444</v>
      </c>
      <c r="H409" s="1">
        <f>COUNTIF(C:G,Tabela1[[#This Row],[Liderado]])</f>
        <v>0</v>
      </c>
      <c r="I409" s="1" t="s">
        <v>596</v>
      </c>
      <c r="J409" s="1" t="s">
        <v>126</v>
      </c>
      <c r="K409" s="1" t="s">
        <v>9</v>
      </c>
      <c r="L409" s="2" t="s">
        <v>10</v>
      </c>
      <c r="M409" s="1" t="s">
        <v>11</v>
      </c>
      <c r="N409" s="2">
        <v>11024</v>
      </c>
      <c r="O409" s="1" t="s">
        <v>40</v>
      </c>
      <c r="P409" s="1" t="s">
        <v>175</v>
      </c>
      <c r="Q409" s="1" t="s">
        <v>629</v>
      </c>
      <c r="R409" s="1"/>
      <c r="S409" s="1" t="s">
        <v>692</v>
      </c>
    </row>
    <row r="410" spans="1:19" x14ac:dyDescent="0.25">
      <c r="A410" s="1" t="s">
        <v>670</v>
      </c>
      <c r="C410" s="29" t="s">
        <v>41</v>
      </c>
      <c r="D410" t="s">
        <v>444</v>
      </c>
      <c r="E410" t="s">
        <v>1061</v>
      </c>
      <c r="F410" t="s">
        <v>1061</v>
      </c>
      <c r="G410" s="1" t="s">
        <v>444</v>
      </c>
      <c r="H410" s="1">
        <f>COUNTIF(C:G,Tabela1[[#This Row],[Liderado]])</f>
        <v>0</v>
      </c>
      <c r="I410" s="1" t="s">
        <v>597</v>
      </c>
      <c r="J410" s="1" t="s">
        <v>34</v>
      </c>
      <c r="K410" s="1" t="s">
        <v>9</v>
      </c>
      <c r="L410" s="2" t="s">
        <v>10</v>
      </c>
      <c r="M410" s="1" t="s">
        <v>11</v>
      </c>
      <c r="N410" s="2">
        <v>11024</v>
      </c>
      <c r="O410" s="1" t="s">
        <v>40</v>
      </c>
      <c r="P410" s="1" t="s">
        <v>175</v>
      </c>
      <c r="Q410" s="1" t="s">
        <v>629</v>
      </c>
      <c r="R410" s="1"/>
      <c r="S410" s="1" t="s">
        <v>692</v>
      </c>
    </row>
    <row r="411" spans="1:19" x14ac:dyDescent="0.25">
      <c r="A411" s="1" t="s">
        <v>670</v>
      </c>
      <c r="C411" s="29" t="s">
        <v>1061</v>
      </c>
      <c r="D411" t="s">
        <v>1061</v>
      </c>
      <c r="E411" t="s">
        <v>1061</v>
      </c>
      <c r="F411" t="s">
        <v>1061</v>
      </c>
      <c r="G411" s="1" t="s">
        <v>1061</v>
      </c>
      <c r="H411" s="1">
        <f>COUNTIF(C:G,Tabela1[[#This Row],[Liderado]])</f>
        <v>0</v>
      </c>
      <c r="I411" s="1" t="s">
        <v>2097</v>
      </c>
      <c r="J411" s="1" t="s">
        <v>2099</v>
      </c>
      <c r="K411" s="1" t="s">
        <v>9</v>
      </c>
      <c r="L411" s="2" t="s">
        <v>10</v>
      </c>
      <c r="M411" s="1" t="s">
        <v>11</v>
      </c>
      <c r="N411" s="2">
        <v>11024</v>
      </c>
      <c r="O411" s="1" t="s">
        <v>40</v>
      </c>
      <c r="P411" s="1" t="s">
        <v>175</v>
      </c>
      <c r="Q411" s="1" t="s">
        <v>629</v>
      </c>
      <c r="R411" s="1"/>
      <c r="S411" s="1" t="s">
        <v>692</v>
      </c>
    </row>
    <row r="412" spans="1:19" x14ac:dyDescent="0.25">
      <c r="A412" s="1" t="s">
        <v>670</v>
      </c>
      <c r="C412" s="29" t="s">
        <v>71</v>
      </c>
      <c r="D412" t="s">
        <v>384</v>
      </c>
      <c r="E412" t="s">
        <v>1061</v>
      </c>
      <c r="F412" t="s">
        <v>1061</v>
      </c>
      <c r="G412" s="1" t="s">
        <v>612</v>
      </c>
      <c r="H412" s="1">
        <f>COUNTIF(C:G,Tabela1[[#This Row],[Liderado]])</f>
        <v>0</v>
      </c>
      <c r="I412" s="1" t="s">
        <v>598</v>
      </c>
      <c r="J412" s="1" t="s">
        <v>388</v>
      </c>
      <c r="K412" s="1" t="s">
        <v>9</v>
      </c>
      <c r="L412" s="2" t="s">
        <v>10</v>
      </c>
      <c r="M412" s="1" t="s">
        <v>11</v>
      </c>
      <c r="N412" s="2">
        <v>11024</v>
      </c>
      <c r="O412" s="1" t="s">
        <v>40</v>
      </c>
      <c r="P412" s="1" t="s">
        <v>175</v>
      </c>
      <c r="Q412" s="1" t="s">
        <v>629</v>
      </c>
      <c r="R412" s="1"/>
      <c r="S412" s="1" t="s">
        <v>692</v>
      </c>
    </row>
    <row r="413" spans="1:19" x14ac:dyDescent="0.25">
      <c r="A413" s="1" t="s">
        <v>670</v>
      </c>
      <c r="C413" s="29" t="s">
        <v>41</v>
      </c>
      <c r="D413" t="s">
        <v>444</v>
      </c>
      <c r="E413" t="s">
        <v>1061</v>
      </c>
      <c r="F413" t="s">
        <v>1061</v>
      </c>
      <c r="G413" s="1" t="s">
        <v>437</v>
      </c>
      <c r="H413" s="1">
        <f>COUNTIF(C:G,Tabela1[[#This Row],[Liderado]])</f>
        <v>0</v>
      </c>
      <c r="I413" s="1" t="s">
        <v>599</v>
      </c>
      <c r="J413" s="1" t="s">
        <v>34</v>
      </c>
      <c r="K413" s="1" t="s">
        <v>9</v>
      </c>
      <c r="L413" s="2" t="s">
        <v>10</v>
      </c>
      <c r="M413" s="1" t="s">
        <v>11</v>
      </c>
      <c r="N413" s="2">
        <v>11024</v>
      </c>
      <c r="O413" s="1" t="s">
        <v>40</v>
      </c>
      <c r="P413" s="1" t="s">
        <v>175</v>
      </c>
      <c r="Q413" s="1" t="s">
        <v>629</v>
      </c>
      <c r="R413" s="1"/>
      <c r="S413" s="1" t="s">
        <v>692</v>
      </c>
    </row>
    <row r="414" spans="1:19" x14ac:dyDescent="0.25">
      <c r="A414" s="1" t="s">
        <v>670</v>
      </c>
      <c r="C414" s="29" t="s">
        <v>71</v>
      </c>
      <c r="D414" t="s">
        <v>384</v>
      </c>
      <c r="E414" t="s">
        <v>1061</v>
      </c>
      <c r="F414" t="s">
        <v>1061</v>
      </c>
      <c r="G414" s="1" t="s">
        <v>612</v>
      </c>
      <c r="H414" s="1">
        <f>COUNTIF(C:G,Tabela1[[#This Row],[Liderado]])</f>
        <v>0</v>
      </c>
      <c r="I414" s="1" t="s">
        <v>600</v>
      </c>
      <c r="J414" s="1" t="s">
        <v>562</v>
      </c>
      <c r="K414" s="1" t="s">
        <v>9</v>
      </c>
      <c r="L414" s="2" t="s">
        <v>10</v>
      </c>
      <c r="M414" s="1" t="s">
        <v>11</v>
      </c>
      <c r="N414" s="2">
        <v>11024</v>
      </c>
      <c r="O414" s="1" t="s">
        <v>40</v>
      </c>
      <c r="P414" s="1" t="s">
        <v>175</v>
      </c>
      <c r="Q414" s="1" t="s">
        <v>629</v>
      </c>
      <c r="R414" s="1"/>
      <c r="S414" s="1" t="s">
        <v>692</v>
      </c>
    </row>
    <row r="415" spans="1:19" x14ac:dyDescent="0.25">
      <c r="A415" s="1" t="s">
        <v>670</v>
      </c>
      <c r="C415" s="29" t="s">
        <v>1061</v>
      </c>
      <c r="D415" t="s">
        <v>1061</v>
      </c>
      <c r="E415" t="s">
        <v>1061</v>
      </c>
      <c r="F415" t="s">
        <v>1061</v>
      </c>
      <c r="G415" s="1" t="s">
        <v>1061</v>
      </c>
      <c r="H415" s="1">
        <f>COUNTIF(C:G,Tabela1[[#This Row],[Liderado]])</f>
        <v>0</v>
      </c>
      <c r="I415" s="1" t="s">
        <v>2108</v>
      </c>
      <c r="J415" s="1" t="s">
        <v>349</v>
      </c>
      <c r="K415" s="1" t="s">
        <v>9</v>
      </c>
      <c r="L415" s="2" t="s">
        <v>10</v>
      </c>
      <c r="M415" s="1" t="s">
        <v>11</v>
      </c>
      <c r="N415" s="2">
        <v>11024</v>
      </c>
      <c r="O415" s="1" t="s">
        <v>40</v>
      </c>
      <c r="P415" s="1" t="s">
        <v>175</v>
      </c>
      <c r="Q415" s="1" t="s">
        <v>629</v>
      </c>
      <c r="R415" s="1"/>
      <c r="S415" s="1" t="s">
        <v>692</v>
      </c>
    </row>
    <row r="416" spans="1:19" x14ac:dyDescent="0.25">
      <c r="A416" s="1" t="s">
        <v>670</v>
      </c>
      <c r="C416" s="29" t="s">
        <v>1061</v>
      </c>
      <c r="D416" t="s">
        <v>1061</v>
      </c>
      <c r="E416" t="s">
        <v>1061</v>
      </c>
      <c r="F416" t="s">
        <v>1061</v>
      </c>
      <c r="G416" s="1" t="s">
        <v>1061</v>
      </c>
      <c r="H416" s="1">
        <f>COUNTIF(C:G,Tabela1[[#This Row],[Liderado]])</f>
        <v>0</v>
      </c>
      <c r="I416" s="1" t="s">
        <v>601</v>
      </c>
      <c r="J416" s="1" t="s">
        <v>349</v>
      </c>
      <c r="K416" s="1" t="s">
        <v>9</v>
      </c>
      <c r="L416" s="2" t="s">
        <v>10</v>
      </c>
      <c r="M416" s="1" t="s">
        <v>11</v>
      </c>
      <c r="N416" s="2">
        <v>11024</v>
      </c>
      <c r="O416" s="1" t="s">
        <v>40</v>
      </c>
      <c r="P416" s="1" t="s">
        <v>175</v>
      </c>
      <c r="Q416" s="1" t="s">
        <v>629</v>
      </c>
      <c r="R416" s="1"/>
      <c r="S416" s="1" t="s">
        <v>692</v>
      </c>
    </row>
    <row r="417" spans="1:19" x14ac:dyDescent="0.25">
      <c r="A417" s="1" t="s">
        <v>670</v>
      </c>
      <c r="C417" s="29" t="s">
        <v>71</v>
      </c>
      <c r="D417" t="s">
        <v>384</v>
      </c>
      <c r="E417" t="s">
        <v>1061</v>
      </c>
      <c r="F417" t="s">
        <v>1061</v>
      </c>
      <c r="G417" s="1" t="s">
        <v>612</v>
      </c>
      <c r="H417" s="1">
        <f>COUNTIF(C:G,Tabela1[[#This Row],[Liderado]])</f>
        <v>0</v>
      </c>
      <c r="I417" s="1" t="s">
        <v>603</v>
      </c>
      <c r="J417" s="1" t="s">
        <v>388</v>
      </c>
      <c r="K417" s="1" t="s">
        <v>9</v>
      </c>
      <c r="L417" s="2" t="s">
        <v>10</v>
      </c>
      <c r="M417" s="1" t="s">
        <v>11</v>
      </c>
      <c r="N417" s="2">
        <v>11024</v>
      </c>
      <c r="O417" s="1" t="s">
        <v>40</v>
      </c>
      <c r="P417" s="1" t="s">
        <v>175</v>
      </c>
      <c r="Q417" s="1" t="s">
        <v>629</v>
      </c>
      <c r="R417" s="1"/>
      <c r="S417" s="1" t="s">
        <v>692</v>
      </c>
    </row>
    <row r="418" spans="1:19" x14ac:dyDescent="0.25">
      <c r="A418" s="1" t="s">
        <v>627</v>
      </c>
      <c r="C418" s="29" t="s">
        <v>41</v>
      </c>
      <c r="D418" t="s">
        <v>38</v>
      </c>
      <c r="E418" t="s">
        <v>37</v>
      </c>
      <c r="F418" t="s">
        <v>1061</v>
      </c>
      <c r="G418" s="1" t="s">
        <v>490</v>
      </c>
      <c r="H418" s="1">
        <f>COUNTIF(C:G,Tabela1[[#This Row],[Liderado]])</f>
        <v>0</v>
      </c>
      <c r="I418" s="1" t="s">
        <v>604</v>
      </c>
      <c r="J418" s="1" t="s">
        <v>34</v>
      </c>
      <c r="K418" s="1" t="s">
        <v>9</v>
      </c>
      <c r="L418" s="2" t="s">
        <v>10</v>
      </c>
      <c r="M418" s="1" t="s">
        <v>11</v>
      </c>
      <c r="N418" s="2">
        <v>11024</v>
      </c>
      <c r="O418" s="1" t="s">
        <v>40</v>
      </c>
      <c r="P418" s="1" t="s">
        <v>175</v>
      </c>
      <c r="Q418" s="1" t="s">
        <v>629</v>
      </c>
      <c r="R418" s="1"/>
      <c r="S418" s="1" t="s">
        <v>692</v>
      </c>
    </row>
    <row r="419" spans="1:19" x14ac:dyDescent="0.25">
      <c r="A419" s="1" t="s">
        <v>670</v>
      </c>
      <c r="C419" s="29" t="s">
        <v>71</v>
      </c>
      <c r="D419" t="s">
        <v>27</v>
      </c>
      <c r="E419" t="s">
        <v>1061</v>
      </c>
      <c r="F419" t="s">
        <v>1061</v>
      </c>
      <c r="G419" s="1" t="s">
        <v>1061</v>
      </c>
      <c r="H419" s="1">
        <f>COUNTIF(C:G,Tabela1[[#This Row],[Liderado]])</f>
        <v>0</v>
      </c>
      <c r="I419" s="1" t="s">
        <v>605</v>
      </c>
      <c r="J419" s="1" t="s">
        <v>108</v>
      </c>
      <c r="K419" s="1" t="s">
        <v>9</v>
      </c>
      <c r="L419" s="2" t="s">
        <v>10</v>
      </c>
      <c r="M419" s="1" t="s">
        <v>11</v>
      </c>
      <c r="N419" s="2">
        <v>11024</v>
      </c>
      <c r="O419" s="1" t="s">
        <v>40</v>
      </c>
      <c r="P419" s="1" t="s">
        <v>175</v>
      </c>
      <c r="Q419" s="1" t="s">
        <v>629</v>
      </c>
      <c r="R419" s="1"/>
      <c r="S419" s="1" t="s">
        <v>692</v>
      </c>
    </row>
    <row r="420" spans="1:19" x14ac:dyDescent="0.25">
      <c r="A420" s="1" t="s">
        <v>670</v>
      </c>
      <c r="C420" s="29" t="s">
        <v>71</v>
      </c>
      <c r="D420" t="s">
        <v>27</v>
      </c>
      <c r="E420" t="s">
        <v>1061</v>
      </c>
      <c r="F420" t="s">
        <v>1061</v>
      </c>
      <c r="G420" s="1" t="s">
        <v>1061</v>
      </c>
      <c r="H420" s="1">
        <f>COUNTIF(C:G,Tabela1[[#This Row],[Liderado]])</f>
        <v>0</v>
      </c>
      <c r="I420" s="1" t="s">
        <v>606</v>
      </c>
      <c r="J420" s="1" t="s">
        <v>224</v>
      </c>
      <c r="K420" s="1" t="s">
        <v>9</v>
      </c>
      <c r="L420" s="2" t="s">
        <v>10</v>
      </c>
      <c r="M420" s="1" t="s">
        <v>11</v>
      </c>
      <c r="N420" s="2">
        <v>11024</v>
      </c>
      <c r="O420" s="1" t="s">
        <v>40</v>
      </c>
      <c r="P420" s="1" t="s">
        <v>175</v>
      </c>
      <c r="Q420" s="1" t="s">
        <v>629</v>
      </c>
      <c r="R420" s="1"/>
      <c r="S420" s="1" t="s">
        <v>692</v>
      </c>
    </row>
    <row r="421" spans="1:19" x14ac:dyDescent="0.25">
      <c r="A421" s="1" t="s">
        <v>670</v>
      </c>
      <c r="C421" s="29" t="s">
        <v>71</v>
      </c>
      <c r="D421" t="s">
        <v>384</v>
      </c>
      <c r="E421" t="s">
        <v>1061</v>
      </c>
      <c r="F421" t="s">
        <v>1061</v>
      </c>
      <c r="G421" s="1" t="s">
        <v>612</v>
      </c>
      <c r="H421" s="1">
        <f>COUNTIF(C:G,Tabela1[[#This Row],[Liderado]])</f>
        <v>0</v>
      </c>
      <c r="I421" s="1" t="s">
        <v>608</v>
      </c>
      <c r="J421" s="1" t="s">
        <v>562</v>
      </c>
      <c r="K421" s="1" t="s">
        <v>9</v>
      </c>
      <c r="L421" s="2" t="s">
        <v>10</v>
      </c>
      <c r="M421" s="1" t="s">
        <v>11</v>
      </c>
      <c r="N421" s="2">
        <v>11024</v>
      </c>
      <c r="O421" s="1" t="s">
        <v>40</v>
      </c>
      <c r="P421" s="1" t="s">
        <v>175</v>
      </c>
      <c r="Q421" s="1" t="s">
        <v>629</v>
      </c>
      <c r="R421" s="1"/>
      <c r="S421" s="1" t="s">
        <v>692</v>
      </c>
    </row>
    <row r="422" spans="1:19" x14ac:dyDescent="0.25">
      <c r="A422" s="1" t="s">
        <v>670</v>
      </c>
      <c r="C422" s="29" t="s">
        <v>41</v>
      </c>
      <c r="D422" t="s">
        <v>444</v>
      </c>
      <c r="E422" t="s">
        <v>1061</v>
      </c>
      <c r="F422" t="s">
        <v>1061</v>
      </c>
      <c r="G422" s="1" t="s">
        <v>444</v>
      </c>
      <c r="H422" s="1">
        <f>COUNTIF(C:G,Tabela1[[#This Row],[Liderado]])</f>
        <v>0</v>
      </c>
      <c r="I422" s="1" t="s">
        <v>609</v>
      </c>
      <c r="J422" s="1" t="s">
        <v>168</v>
      </c>
      <c r="K422" s="1" t="s">
        <v>9</v>
      </c>
      <c r="L422" s="2" t="s">
        <v>10</v>
      </c>
      <c r="M422" s="1" t="s">
        <v>11</v>
      </c>
      <c r="N422" s="2">
        <v>11024</v>
      </c>
      <c r="O422" s="1" t="s">
        <v>40</v>
      </c>
      <c r="P422" s="1" t="s">
        <v>175</v>
      </c>
      <c r="Q422" s="1" t="s">
        <v>629</v>
      </c>
      <c r="R422" s="1"/>
      <c r="S422" s="1" t="s">
        <v>692</v>
      </c>
    </row>
    <row r="423" spans="1:19" x14ac:dyDescent="0.25">
      <c r="A423" s="1" t="s">
        <v>670</v>
      </c>
      <c r="C423" s="29" t="s">
        <v>41</v>
      </c>
      <c r="D423" t="s">
        <v>444</v>
      </c>
      <c r="E423" t="s">
        <v>1061</v>
      </c>
      <c r="F423" t="s">
        <v>1061</v>
      </c>
      <c r="G423" s="1" t="s">
        <v>444</v>
      </c>
      <c r="H423" s="1">
        <f>COUNTIF(C:G,Tabela1[[#This Row],[Liderado]])</f>
        <v>0</v>
      </c>
      <c r="I423" s="1" t="s">
        <v>610</v>
      </c>
      <c r="J423" s="1" t="s">
        <v>126</v>
      </c>
      <c r="K423" s="1" t="s">
        <v>9</v>
      </c>
      <c r="L423" s="2" t="s">
        <v>10</v>
      </c>
      <c r="M423" s="1" t="s">
        <v>11</v>
      </c>
      <c r="N423" s="2">
        <v>11024</v>
      </c>
      <c r="O423" s="1" t="s">
        <v>40</v>
      </c>
      <c r="P423" s="1" t="s">
        <v>175</v>
      </c>
      <c r="Q423" s="1" t="s">
        <v>629</v>
      </c>
      <c r="R423" s="1"/>
      <c r="S423" s="1" t="s">
        <v>692</v>
      </c>
    </row>
    <row r="424" spans="1:19" x14ac:dyDescent="0.25">
      <c r="A424" s="1" t="s">
        <v>670</v>
      </c>
      <c r="C424" s="29" t="s">
        <v>41</v>
      </c>
      <c r="D424" t="s">
        <v>444</v>
      </c>
      <c r="E424" t="s">
        <v>1061</v>
      </c>
      <c r="F424" t="s">
        <v>1061</v>
      </c>
      <c r="G424" s="1" t="s">
        <v>444</v>
      </c>
      <c r="H424" s="1">
        <f>COUNTIF(C:G,Tabela1[[#This Row],[Liderado]])</f>
        <v>0</v>
      </c>
      <c r="I424" s="1" t="s">
        <v>611</v>
      </c>
      <c r="J424" s="1" t="s">
        <v>168</v>
      </c>
      <c r="K424" s="1" t="s">
        <v>9</v>
      </c>
      <c r="L424" s="2" t="s">
        <v>10</v>
      </c>
      <c r="M424" s="1" t="s">
        <v>11</v>
      </c>
      <c r="N424" s="2">
        <v>11024</v>
      </c>
      <c r="O424" s="1" t="s">
        <v>40</v>
      </c>
      <c r="P424" s="1" t="s">
        <v>175</v>
      </c>
      <c r="Q424" s="1" t="s">
        <v>629</v>
      </c>
      <c r="R424" s="1"/>
      <c r="S424" s="1" t="s">
        <v>692</v>
      </c>
    </row>
    <row r="425" spans="1:19" x14ac:dyDescent="0.25">
      <c r="A425" s="1" t="s">
        <v>670</v>
      </c>
      <c r="C425" s="29" t="s">
        <v>71</v>
      </c>
      <c r="D425" t="s">
        <v>384</v>
      </c>
      <c r="E425" t="s">
        <v>1061</v>
      </c>
      <c r="F425" t="s">
        <v>1061</v>
      </c>
      <c r="G425" s="1" t="s">
        <v>612</v>
      </c>
      <c r="H425" s="1">
        <f>COUNTIF(C:G,Tabela1[[#This Row],[Liderado]])</f>
        <v>21</v>
      </c>
      <c r="I425" s="1" t="s">
        <v>612</v>
      </c>
      <c r="J425" s="1" t="s">
        <v>613</v>
      </c>
      <c r="K425" s="1" t="s">
        <v>9</v>
      </c>
      <c r="L425" s="2" t="s">
        <v>10</v>
      </c>
      <c r="M425" s="1" t="s">
        <v>11</v>
      </c>
      <c r="N425" s="2">
        <v>11024</v>
      </c>
      <c r="O425" s="1" t="s">
        <v>40</v>
      </c>
      <c r="P425" s="1" t="s">
        <v>175</v>
      </c>
      <c r="Q425" s="1" t="s">
        <v>629</v>
      </c>
      <c r="R425" s="1"/>
      <c r="S425" s="1" t="s">
        <v>692</v>
      </c>
    </row>
    <row r="426" spans="1:19" x14ac:dyDescent="0.25">
      <c r="A426" s="1" t="s">
        <v>670</v>
      </c>
      <c r="C426" s="29" t="s">
        <v>41</v>
      </c>
      <c r="D426" t="s">
        <v>444</v>
      </c>
      <c r="E426" t="s">
        <v>1061</v>
      </c>
      <c r="F426" t="s">
        <v>1061</v>
      </c>
      <c r="G426" s="1" t="s">
        <v>444</v>
      </c>
      <c r="H426" s="1">
        <f>COUNTIF(C:G,Tabela1[[#This Row],[Liderado]])</f>
        <v>0</v>
      </c>
      <c r="I426" s="1" t="s">
        <v>614</v>
      </c>
      <c r="J426" s="1" t="s">
        <v>34</v>
      </c>
      <c r="K426" s="1" t="s">
        <v>9</v>
      </c>
      <c r="L426" s="2" t="s">
        <v>10</v>
      </c>
      <c r="M426" s="1" t="s">
        <v>11</v>
      </c>
      <c r="N426" s="2">
        <v>11024</v>
      </c>
      <c r="O426" s="1" t="s">
        <v>40</v>
      </c>
      <c r="P426" s="1" t="s">
        <v>175</v>
      </c>
      <c r="Q426" s="1" t="s">
        <v>629</v>
      </c>
      <c r="R426" s="1"/>
      <c r="S426" s="1" t="s">
        <v>692</v>
      </c>
    </row>
    <row r="427" spans="1:19" x14ac:dyDescent="0.25">
      <c r="A427" s="1" t="s">
        <v>670</v>
      </c>
      <c r="C427" s="29" t="s">
        <v>71</v>
      </c>
      <c r="D427" t="s">
        <v>384</v>
      </c>
      <c r="E427" t="s">
        <v>1061</v>
      </c>
      <c r="F427" t="s">
        <v>1061</v>
      </c>
      <c r="G427" s="1" t="s">
        <v>612</v>
      </c>
      <c r="H427" s="1">
        <f>COUNTIF(C:G,Tabela1[[#This Row],[Liderado]])</f>
        <v>0</v>
      </c>
      <c r="I427" s="1" t="s">
        <v>615</v>
      </c>
      <c r="J427" s="1" t="s">
        <v>410</v>
      </c>
      <c r="K427" s="1" t="s">
        <v>9</v>
      </c>
      <c r="L427" s="2" t="s">
        <v>10</v>
      </c>
      <c r="M427" s="1" t="s">
        <v>11</v>
      </c>
      <c r="N427" s="2">
        <v>11024</v>
      </c>
      <c r="O427" s="1" t="s">
        <v>40</v>
      </c>
      <c r="P427" s="1" t="s">
        <v>175</v>
      </c>
      <c r="Q427" s="1" t="s">
        <v>629</v>
      </c>
      <c r="R427" s="1"/>
      <c r="S427" s="1" t="s">
        <v>692</v>
      </c>
    </row>
    <row r="428" spans="1:19" x14ac:dyDescent="0.25">
      <c r="A428" s="1" t="s">
        <v>670</v>
      </c>
      <c r="C428" s="29" t="s">
        <v>1061</v>
      </c>
      <c r="D428" t="s">
        <v>1061</v>
      </c>
      <c r="E428" t="s">
        <v>1061</v>
      </c>
      <c r="F428" t="s">
        <v>1061</v>
      </c>
      <c r="G428" s="1" t="s">
        <v>1061</v>
      </c>
      <c r="H428" s="1">
        <f>COUNTIF(C:G,Tabela1[[#This Row],[Liderado]])</f>
        <v>0</v>
      </c>
      <c r="I428" s="1" t="s">
        <v>2132</v>
      </c>
      <c r="J428" s="1" t="s">
        <v>1966</v>
      </c>
      <c r="K428" s="1" t="s">
        <v>9</v>
      </c>
      <c r="L428" s="2" t="s">
        <v>10</v>
      </c>
      <c r="M428" s="1" t="s">
        <v>11</v>
      </c>
      <c r="N428" s="2">
        <v>11024</v>
      </c>
      <c r="O428" s="1" t="s">
        <v>40</v>
      </c>
      <c r="P428" s="1" t="s">
        <v>175</v>
      </c>
      <c r="Q428" s="1" t="s">
        <v>629</v>
      </c>
      <c r="R428" s="1"/>
      <c r="S428" s="1" t="s">
        <v>692</v>
      </c>
    </row>
    <row r="429" spans="1:19" x14ac:dyDescent="0.25">
      <c r="A429" s="1" t="s">
        <v>670</v>
      </c>
      <c r="C429" s="29" t="s">
        <v>41</v>
      </c>
      <c r="D429" t="s">
        <v>444</v>
      </c>
      <c r="E429" t="s">
        <v>1061</v>
      </c>
      <c r="F429" t="s">
        <v>1061</v>
      </c>
      <c r="G429" s="1" t="s">
        <v>444</v>
      </c>
      <c r="H429" s="1">
        <f>COUNTIF(C:G,Tabela1[[#This Row],[Liderado]])</f>
        <v>0</v>
      </c>
      <c r="I429" s="1" t="s">
        <v>616</v>
      </c>
      <c r="J429" s="1" t="s">
        <v>34</v>
      </c>
      <c r="K429" s="1" t="s">
        <v>9</v>
      </c>
      <c r="L429" s="2" t="s">
        <v>10</v>
      </c>
      <c r="M429" s="1" t="s">
        <v>11</v>
      </c>
      <c r="N429" s="2">
        <v>11024</v>
      </c>
      <c r="O429" s="1" t="s">
        <v>40</v>
      </c>
      <c r="P429" s="1" t="s">
        <v>175</v>
      </c>
      <c r="Q429" s="1" t="s">
        <v>629</v>
      </c>
      <c r="R429" s="1"/>
      <c r="S429" s="1" t="s">
        <v>692</v>
      </c>
    </row>
    <row r="430" spans="1:19" x14ac:dyDescent="0.25">
      <c r="A430" s="1" t="s">
        <v>671</v>
      </c>
      <c r="C430" s="29" t="s">
        <v>271</v>
      </c>
      <c r="D430" t="s">
        <v>440</v>
      </c>
      <c r="E430" t="s">
        <v>1061</v>
      </c>
      <c r="F430" t="s">
        <v>1061</v>
      </c>
      <c r="G430" s="1" t="s">
        <v>440</v>
      </c>
      <c r="H430" s="1">
        <f>COUNTIF(C:G,Tabela1[[#This Row],[Liderado]])</f>
        <v>0</v>
      </c>
      <c r="I430" s="1" t="s">
        <v>617</v>
      </c>
      <c r="J430" s="1" t="s">
        <v>168</v>
      </c>
      <c r="K430" s="1" t="s">
        <v>9</v>
      </c>
      <c r="L430" s="2" t="s">
        <v>10</v>
      </c>
      <c r="M430" s="1" t="s">
        <v>11</v>
      </c>
      <c r="N430" s="2">
        <v>11024</v>
      </c>
      <c r="O430" s="1" t="s">
        <v>40</v>
      </c>
      <c r="P430" s="1" t="s">
        <v>175</v>
      </c>
      <c r="Q430" s="1" t="s">
        <v>629</v>
      </c>
      <c r="R430" s="1"/>
      <c r="S430" s="1" t="s">
        <v>692</v>
      </c>
    </row>
  </sheetData>
  <phoneticPr fontId="6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048F6-7414-4E2B-BE64-064239DAFA3D}">
  <sheetPr>
    <tabColor theme="5" tint="-0.249977111117893"/>
  </sheetPr>
  <dimension ref="A1:BJ431"/>
  <sheetViews>
    <sheetView showGridLines="0" zoomScale="90" zoomScaleNormal="90" workbookViewId="0">
      <pane xSplit="24" ySplit="1" topLeftCell="Y2" activePane="bottomRight" state="frozen"/>
      <selection pane="topRight" activeCell="S1" sqref="S1"/>
      <selection pane="bottomLeft" activeCell="A2" sqref="A2"/>
      <selection pane="bottomRight" activeCell="L23" sqref="L23"/>
    </sheetView>
  </sheetViews>
  <sheetFormatPr defaultRowHeight="15" x14ac:dyDescent="0.25"/>
  <cols>
    <col min="1" max="1" width="9.140625" style="6"/>
    <col min="2" max="2" width="22.42578125" style="6" bestFit="1" customWidth="1"/>
    <col min="3" max="6" width="0" style="6" hidden="1" customWidth="1"/>
    <col min="7" max="7" width="19.7109375" style="19" bestFit="1" customWidth="1"/>
    <col min="8" max="8" width="19" style="6" bestFit="1" customWidth="1"/>
    <col min="9" max="9" width="23.42578125" style="19" bestFit="1" customWidth="1"/>
    <col min="10" max="10" width="12.5703125" style="19" customWidth="1"/>
    <col min="11" max="11" width="14.7109375" style="19" bestFit="1" customWidth="1"/>
    <col min="12" max="12" width="26.7109375" style="19" bestFit="1" customWidth="1"/>
    <col min="13" max="13" width="30.7109375" style="6" customWidth="1"/>
    <col min="14" max="22" width="8.85546875" style="6" hidden="1" customWidth="1"/>
    <col min="23" max="23" width="0" style="6" hidden="1" customWidth="1"/>
    <col min="24" max="24" width="28.5703125" style="6" bestFit="1" customWidth="1"/>
    <col min="25" max="35" width="9.140625" style="6"/>
    <col min="36" max="36" width="17.85546875" style="6" bestFit="1" customWidth="1"/>
    <col min="37" max="37" width="13.28515625" style="6" customWidth="1"/>
    <col min="38" max="38" width="18.7109375" style="6" customWidth="1"/>
    <col min="39" max="39" width="9.140625" style="6"/>
    <col min="40" max="40" width="22.42578125" style="6" customWidth="1"/>
    <col min="41" max="41" width="0" style="6" hidden="1" customWidth="1"/>
    <col min="42" max="42" width="33.85546875" style="6" hidden="1" customWidth="1"/>
    <col min="43" max="57" width="0" style="6" hidden="1" customWidth="1"/>
    <col min="58" max="58" width="13" style="6" customWidth="1"/>
    <col min="59" max="60" width="9.140625" style="6" customWidth="1"/>
    <col min="61" max="61" width="14.7109375" style="20" customWidth="1"/>
    <col min="62" max="62" width="12.85546875" style="28" customWidth="1"/>
    <col min="63" max="16384" width="9.140625" style="6"/>
  </cols>
  <sheetData>
    <row r="1" spans="1:62" x14ac:dyDescent="0.25">
      <c r="A1" s="1" t="s">
        <v>752</v>
      </c>
      <c r="B1" s="1" t="s">
        <v>753</v>
      </c>
      <c r="C1" s="1" t="s">
        <v>754</v>
      </c>
      <c r="D1" s="1" t="s">
        <v>755</v>
      </c>
      <c r="E1" s="1" t="s">
        <v>756</v>
      </c>
      <c r="F1" s="1" t="s">
        <v>757</v>
      </c>
      <c r="G1" s="1" t="s">
        <v>758</v>
      </c>
      <c r="H1" s="4" t="s">
        <v>759</v>
      </c>
      <c r="I1" s="1" t="s">
        <v>760</v>
      </c>
      <c r="J1" s="1" t="s">
        <v>761</v>
      </c>
      <c r="K1" s="1" t="s">
        <v>762</v>
      </c>
      <c r="L1" s="1" t="s">
        <v>763</v>
      </c>
      <c r="M1" s="1" t="s">
        <v>764</v>
      </c>
      <c r="N1" s="1" t="s">
        <v>765</v>
      </c>
      <c r="O1" s="1" t="s">
        <v>766</v>
      </c>
      <c r="P1" s="1" t="s">
        <v>767</v>
      </c>
      <c r="Q1" s="1" t="s">
        <v>768</v>
      </c>
      <c r="R1" s="1" t="s">
        <v>769</v>
      </c>
      <c r="S1" s="1" t="s">
        <v>770</v>
      </c>
      <c r="T1" s="1" t="s">
        <v>771</v>
      </c>
      <c r="U1" s="1" t="s">
        <v>772</v>
      </c>
      <c r="V1" s="1" t="s">
        <v>773</v>
      </c>
      <c r="W1" s="1" t="s">
        <v>774</v>
      </c>
      <c r="X1" s="1" t="s">
        <v>0</v>
      </c>
      <c r="Y1" s="1" t="s">
        <v>775</v>
      </c>
      <c r="Z1" s="1" t="s">
        <v>776</v>
      </c>
      <c r="AA1" s="1" t="s">
        <v>777</v>
      </c>
      <c r="AB1" s="1" t="s">
        <v>778</v>
      </c>
      <c r="AC1" s="1" t="s">
        <v>779</v>
      </c>
      <c r="AD1" s="1" t="s">
        <v>780</v>
      </c>
      <c r="AE1" s="1" t="s">
        <v>781</v>
      </c>
      <c r="AF1" s="1" t="s">
        <v>782</v>
      </c>
      <c r="AG1" s="1" t="s">
        <v>783</v>
      </c>
      <c r="AH1" s="1" t="s">
        <v>1</v>
      </c>
      <c r="AI1" s="1" t="s">
        <v>2</v>
      </c>
      <c r="AJ1" s="1" t="s">
        <v>3</v>
      </c>
      <c r="AK1" s="1" t="s">
        <v>784</v>
      </c>
      <c r="AL1" s="1" t="s">
        <v>4</v>
      </c>
      <c r="AM1" s="1" t="s">
        <v>5</v>
      </c>
      <c r="AN1" s="1" t="s">
        <v>785</v>
      </c>
      <c r="AO1" s="1" t="s">
        <v>6</v>
      </c>
      <c r="AP1" s="1" t="s">
        <v>786</v>
      </c>
      <c r="AQ1" s="1" t="s">
        <v>787</v>
      </c>
      <c r="AR1" s="1" t="s">
        <v>788</v>
      </c>
      <c r="AS1" s="1" t="s">
        <v>789</v>
      </c>
      <c r="AT1" s="1" t="s">
        <v>790</v>
      </c>
      <c r="AU1" s="1" t="s">
        <v>791</v>
      </c>
      <c r="AV1" s="1" t="s">
        <v>792</v>
      </c>
      <c r="AW1" s="1" t="s">
        <v>793</v>
      </c>
      <c r="AX1" s="1" t="s">
        <v>794</v>
      </c>
      <c r="AY1" s="1" t="s">
        <v>795</v>
      </c>
      <c r="AZ1" s="1" t="s">
        <v>796</v>
      </c>
      <c r="BA1" s="1" t="s">
        <v>797</v>
      </c>
      <c r="BB1" s="1" t="s">
        <v>798</v>
      </c>
      <c r="BC1" s="1" t="s">
        <v>799</v>
      </c>
      <c r="BD1" s="1" t="s">
        <v>800</v>
      </c>
      <c r="BE1" s="1" t="s">
        <v>801</v>
      </c>
      <c r="BF1" s="1" t="s">
        <v>802</v>
      </c>
      <c r="BG1" s="1" t="s">
        <v>803</v>
      </c>
      <c r="BH1" s="1" t="s">
        <v>4</v>
      </c>
      <c r="BI1" s="5" t="s">
        <v>804</v>
      </c>
      <c r="BJ1" s="4" t="s">
        <v>805</v>
      </c>
    </row>
    <row r="2" spans="1:62" x14ac:dyDescent="0.25">
      <c r="A2" s="7">
        <v>2</v>
      </c>
      <c r="B2" s="1" t="s">
        <v>806</v>
      </c>
      <c r="C2" s="8">
        <v>3</v>
      </c>
      <c r="D2" s="9" t="s">
        <v>807</v>
      </c>
      <c r="E2" s="10">
        <v>14</v>
      </c>
      <c r="F2" s="11" t="s">
        <v>808</v>
      </c>
      <c r="G2" s="12" t="s">
        <v>71</v>
      </c>
      <c r="H2" s="13" t="str">
        <f>VLOOKUP(AP2,[1]Listas!A:B,2,0)</f>
        <v xml:space="preserve">MTRZ </v>
      </c>
      <c r="I2" s="1" t="s">
        <v>14</v>
      </c>
      <c r="J2" s="12"/>
      <c r="K2" s="12"/>
      <c r="L2" s="12"/>
      <c r="M2" s="1" t="s">
        <v>7</v>
      </c>
      <c r="N2" s="14">
        <v>24618</v>
      </c>
      <c r="O2" s="1" t="s">
        <v>809</v>
      </c>
      <c r="P2" s="1" t="s">
        <v>810</v>
      </c>
      <c r="Q2" s="15" t="s">
        <v>811</v>
      </c>
      <c r="R2" s="1" t="s">
        <v>812</v>
      </c>
      <c r="S2" s="1" t="s">
        <v>807</v>
      </c>
      <c r="T2" s="1" t="s">
        <v>813</v>
      </c>
      <c r="U2" s="9" t="s">
        <v>814</v>
      </c>
      <c r="V2" s="1" t="s">
        <v>815</v>
      </c>
      <c r="W2" s="1" t="s">
        <v>816</v>
      </c>
      <c r="X2" s="1" t="s">
        <v>8</v>
      </c>
      <c r="Y2" s="14">
        <v>43971</v>
      </c>
      <c r="Z2" s="9" t="s">
        <v>817</v>
      </c>
      <c r="AB2" s="14">
        <v>38384</v>
      </c>
      <c r="AC2" s="9" t="s">
        <v>817</v>
      </c>
      <c r="AD2" s="9" t="s">
        <v>818</v>
      </c>
      <c r="AE2" s="1" t="s">
        <v>819</v>
      </c>
      <c r="AF2" s="14" t="s">
        <v>820</v>
      </c>
      <c r="AG2" s="9" t="s">
        <v>821</v>
      </c>
      <c r="AH2" s="1" t="s">
        <v>9</v>
      </c>
      <c r="AI2" s="9" t="s">
        <v>10</v>
      </c>
      <c r="AJ2" s="1" t="s">
        <v>11</v>
      </c>
      <c r="AK2" s="1" t="s">
        <v>822</v>
      </c>
      <c r="AL2" s="1" t="s">
        <v>823</v>
      </c>
      <c r="AM2" s="9">
        <v>10131</v>
      </c>
      <c r="AN2" s="1" t="s">
        <v>12</v>
      </c>
      <c r="AO2" s="1" t="s">
        <v>13</v>
      </c>
      <c r="AP2" s="1" t="s">
        <v>824</v>
      </c>
      <c r="AQ2" s="14">
        <v>45658</v>
      </c>
      <c r="AU2" s="14">
        <v>45799</v>
      </c>
      <c r="AV2" s="16">
        <v>0</v>
      </c>
      <c r="AW2" s="16">
        <v>0</v>
      </c>
      <c r="BA2" s="1" t="s">
        <v>825</v>
      </c>
      <c r="BB2" s="9">
        <v>7</v>
      </c>
      <c r="BC2" s="1" t="s">
        <v>826</v>
      </c>
      <c r="BD2" s="9" t="s">
        <v>807</v>
      </c>
      <c r="BE2" s="1" t="s">
        <v>827</v>
      </c>
      <c r="BF2" s="1" t="s">
        <v>14</v>
      </c>
      <c r="BG2" s="1" t="s">
        <v>828</v>
      </c>
      <c r="BH2" s="1" t="s">
        <v>829</v>
      </c>
      <c r="BI2" s="17" t="s">
        <v>830</v>
      </c>
      <c r="BJ2" s="18" t="str">
        <f t="shared" ref="BJ2:BJ65" si="0">IF(NOT(ISERROR(SEARCH("SAFRISTA",X2))),"SAFRISTA","FIXO")</f>
        <v>FIXO</v>
      </c>
    </row>
    <row r="3" spans="1:62" x14ac:dyDescent="0.25">
      <c r="A3" s="7">
        <v>2</v>
      </c>
      <c r="B3" s="1" t="s">
        <v>806</v>
      </c>
      <c r="C3" s="8">
        <v>3</v>
      </c>
      <c r="D3" s="9" t="s">
        <v>807</v>
      </c>
      <c r="E3" s="10">
        <v>15</v>
      </c>
      <c r="F3" s="11" t="s">
        <v>831</v>
      </c>
      <c r="G3" s="12" t="s">
        <v>71</v>
      </c>
      <c r="H3" s="13" t="str">
        <f>VLOOKUP(AP3,[1]Listas!A:B,2,0)</f>
        <v xml:space="preserve">MTRZ </v>
      </c>
      <c r="I3" s="1" t="s">
        <v>141</v>
      </c>
      <c r="J3" s="1" t="s">
        <v>20</v>
      </c>
      <c r="L3" s="12"/>
      <c r="M3" s="1" t="s">
        <v>15</v>
      </c>
      <c r="N3" s="14">
        <v>26929</v>
      </c>
      <c r="O3" s="1" t="s">
        <v>809</v>
      </c>
      <c r="P3" s="1" t="s">
        <v>810</v>
      </c>
      <c r="Q3" s="15" t="s">
        <v>811</v>
      </c>
      <c r="R3" s="1" t="s">
        <v>812</v>
      </c>
      <c r="S3" s="1" t="s">
        <v>807</v>
      </c>
      <c r="T3" s="1" t="s">
        <v>813</v>
      </c>
      <c r="U3" s="9" t="s">
        <v>832</v>
      </c>
      <c r="V3" s="1" t="s">
        <v>833</v>
      </c>
      <c r="W3" s="1" t="s">
        <v>834</v>
      </c>
      <c r="X3" s="1" t="s">
        <v>16</v>
      </c>
      <c r="Y3" s="14">
        <v>43970</v>
      </c>
      <c r="Z3" s="9" t="s">
        <v>817</v>
      </c>
      <c r="AB3" s="14">
        <v>35356</v>
      </c>
      <c r="AC3" s="9" t="s">
        <v>817</v>
      </c>
      <c r="AD3" s="9" t="s">
        <v>818</v>
      </c>
      <c r="AE3" s="1" t="s">
        <v>819</v>
      </c>
      <c r="AF3" s="14" t="s">
        <v>820</v>
      </c>
      <c r="AG3" s="9" t="s">
        <v>835</v>
      </c>
      <c r="AH3" s="1" t="s">
        <v>17</v>
      </c>
      <c r="AI3" s="9" t="s">
        <v>10</v>
      </c>
      <c r="AJ3" s="1" t="s">
        <v>11</v>
      </c>
      <c r="AK3" s="1" t="s">
        <v>836</v>
      </c>
      <c r="AL3" s="1" t="s">
        <v>837</v>
      </c>
      <c r="AM3" s="9">
        <v>10108</v>
      </c>
      <c r="AN3" s="1" t="s">
        <v>18</v>
      </c>
      <c r="AO3" s="1" t="s">
        <v>19</v>
      </c>
      <c r="AP3" s="1" t="s">
        <v>838</v>
      </c>
      <c r="AQ3" s="14">
        <v>45778</v>
      </c>
      <c r="AU3" s="14">
        <v>45799</v>
      </c>
      <c r="AV3" s="16">
        <v>0</v>
      </c>
      <c r="AW3" s="16">
        <v>0</v>
      </c>
      <c r="BA3" s="1" t="s">
        <v>825</v>
      </c>
      <c r="BB3" s="9">
        <v>10</v>
      </c>
      <c r="BC3" s="1" t="s">
        <v>839</v>
      </c>
      <c r="BD3" s="9" t="s">
        <v>807</v>
      </c>
      <c r="BE3" s="1" t="s">
        <v>840</v>
      </c>
      <c r="BF3" s="1" t="s">
        <v>20</v>
      </c>
      <c r="BG3" s="1" t="s">
        <v>841</v>
      </c>
      <c r="BH3" s="1" t="s">
        <v>842</v>
      </c>
      <c r="BI3" s="20" t="s">
        <v>843</v>
      </c>
      <c r="BJ3" s="18" t="str">
        <f t="shared" si="0"/>
        <v>FIXO</v>
      </c>
    </row>
    <row r="4" spans="1:62" x14ac:dyDescent="0.25">
      <c r="A4" s="7">
        <v>2</v>
      </c>
      <c r="B4" s="1" t="s">
        <v>806</v>
      </c>
      <c r="C4" s="8">
        <v>5</v>
      </c>
      <c r="D4" s="9" t="s">
        <v>807</v>
      </c>
      <c r="E4" s="10">
        <v>19</v>
      </c>
      <c r="F4" s="11" t="s">
        <v>844</v>
      </c>
      <c r="G4" s="12" t="s">
        <v>71</v>
      </c>
      <c r="H4" s="13" t="str">
        <f>VLOOKUP(AP4,[1]Listas!A:B,2,0)</f>
        <v xml:space="preserve">FESP </v>
      </c>
      <c r="I4" s="1" t="s">
        <v>27</v>
      </c>
      <c r="J4" s="12"/>
      <c r="K4" s="12"/>
      <c r="L4" s="12"/>
      <c r="M4" s="1" t="s">
        <v>21</v>
      </c>
      <c r="N4" s="14">
        <v>32458</v>
      </c>
      <c r="O4" s="1" t="s">
        <v>809</v>
      </c>
      <c r="P4" s="1" t="s">
        <v>810</v>
      </c>
      <c r="Q4" s="15" t="s">
        <v>811</v>
      </c>
      <c r="R4" s="1" t="s">
        <v>812</v>
      </c>
      <c r="S4" s="1" t="s">
        <v>807</v>
      </c>
      <c r="T4" s="1" t="s">
        <v>813</v>
      </c>
      <c r="U4" s="9" t="s">
        <v>814</v>
      </c>
      <c r="V4" s="1" t="s">
        <v>815</v>
      </c>
      <c r="W4" s="1" t="s">
        <v>845</v>
      </c>
      <c r="X4" s="1" t="s">
        <v>22</v>
      </c>
      <c r="Y4" s="14">
        <v>45679</v>
      </c>
      <c r="Z4" s="9" t="s">
        <v>817</v>
      </c>
      <c r="AB4" s="14">
        <v>44837</v>
      </c>
      <c r="AC4" s="9" t="s">
        <v>817</v>
      </c>
      <c r="AD4" s="9" t="s">
        <v>818</v>
      </c>
      <c r="AE4" s="1" t="s">
        <v>819</v>
      </c>
      <c r="AF4" s="14">
        <v>45850</v>
      </c>
      <c r="AG4" s="9" t="s">
        <v>821</v>
      </c>
      <c r="AH4" s="1" t="s">
        <v>9</v>
      </c>
      <c r="AI4" s="9" t="s">
        <v>23</v>
      </c>
      <c r="AJ4" s="1" t="s">
        <v>24</v>
      </c>
      <c r="AK4" s="1" t="s">
        <v>846</v>
      </c>
      <c r="AL4" s="1" t="s">
        <v>847</v>
      </c>
      <c r="AM4" s="9">
        <v>11301</v>
      </c>
      <c r="AN4" s="1" t="s">
        <v>25</v>
      </c>
      <c r="AO4" s="1" t="s">
        <v>26</v>
      </c>
      <c r="AP4" s="1" t="s">
        <v>848</v>
      </c>
      <c r="AQ4" s="14">
        <v>45679</v>
      </c>
      <c r="AU4" s="14">
        <v>45679</v>
      </c>
      <c r="AV4" s="16">
        <v>0</v>
      </c>
      <c r="AW4" s="16">
        <v>0</v>
      </c>
      <c r="BA4" s="1" t="s">
        <v>825</v>
      </c>
      <c r="BB4" s="9">
        <v>9</v>
      </c>
      <c r="BC4" s="1" t="s">
        <v>849</v>
      </c>
      <c r="BD4" s="9" t="s">
        <v>807</v>
      </c>
      <c r="BE4" s="1" t="s">
        <v>850</v>
      </c>
      <c r="BF4" s="1" t="s">
        <v>27</v>
      </c>
      <c r="BG4" s="1" t="s">
        <v>851</v>
      </c>
      <c r="BH4" s="1" t="s">
        <v>852</v>
      </c>
      <c r="BI4" s="1" t="s">
        <v>853</v>
      </c>
      <c r="BJ4" s="21" t="str">
        <f t="shared" si="0"/>
        <v>FIXO</v>
      </c>
    </row>
    <row r="5" spans="1:62" x14ac:dyDescent="0.25">
      <c r="A5" s="7">
        <v>2</v>
      </c>
      <c r="B5" s="1" t="s">
        <v>806</v>
      </c>
      <c r="C5" s="8">
        <v>5</v>
      </c>
      <c r="D5" s="9" t="s">
        <v>807</v>
      </c>
      <c r="E5" s="10">
        <v>164</v>
      </c>
      <c r="F5" s="11" t="s">
        <v>854</v>
      </c>
      <c r="G5" s="1" t="s">
        <v>41</v>
      </c>
      <c r="H5" s="13" t="str">
        <f>VLOOKUP(AP5,[1]Listas!A:B,2,0)</f>
        <v xml:space="preserve">FESP </v>
      </c>
      <c r="I5" s="12" t="s">
        <v>38</v>
      </c>
      <c r="J5" s="12"/>
      <c r="K5" s="1" t="s">
        <v>32</v>
      </c>
      <c r="L5" s="12"/>
      <c r="M5" s="1" t="s">
        <v>28</v>
      </c>
      <c r="N5" s="14">
        <v>30576</v>
      </c>
      <c r="O5" s="1" t="s">
        <v>855</v>
      </c>
      <c r="P5" s="1" t="s">
        <v>856</v>
      </c>
      <c r="Q5" s="15" t="s">
        <v>807</v>
      </c>
      <c r="R5" s="1" t="s">
        <v>857</v>
      </c>
      <c r="S5" s="1" t="s">
        <v>807</v>
      </c>
      <c r="T5" s="1" t="s">
        <v>813</v>
      </c>
      <c r="U5" s="9" t="s">
        <v>814</v>
      </c>
      <c r="V5" s="1" t="s">
        <v>815</v>
      </c>
      <c r="W5" s="1" t="s">
        <v>858</v>
      </c>
      <c r="X5" s="1" t="s">
        <v>29</v>
      </c>
      <c r="Y5" s="14">
        <v>44582</v>
      </c>
      <c r="Z5" s="9" t="s">
        <v>817</v>
      </c>
      <c r="AB5" s="14">
        <v>42811</v>
      </c>
      <c r="AC5" s="9" t="s">
        <v>817</v>
      </c>
      <c r="AD5" s="9" t="s">
        <v>818</v>
      </c>
      <c r="AE5" s="1" t="s">
        <v>819</v>
      </c>
      <c r="AF5" s="14" t="s">
        <v>820</v>
      </c>
      <c r="AG5" s="9" t="s">
        <v>835</v>
      </c>
      <c r="AH5" s="1" t="s">
        <v>17</v>
      </c>
      <c r="AI5" s="9" t="s">
        <v>10</v>
      </c>
      <c r="AJ5" s="1" t="s">
        <v>11</v>
      </c>
      <c r="AK5" s="1" t="s">
        <v>859</v>
      </c>
      <c r="AL5" s="1" t="s">
        <v>860</v>
      </c>
      <c r="AM5" s="9">
        <v>11373</v>
      </c>
      <c r="AN5" s="1" t="s">
        <v>30</v>
      </c>
      <c r="AO5" s="1" t="s">
        <v>31</v>
      </c>
      <c r="AP5" s="1" t="s">
        <v>861</v>
      </c>
      <c r="AQ5" s="14">
        <v>45658</v>
      </c>
      <c r="AU5" s="14">
        <v>45798</v>
      </c>
      <c r="AV5" s="16">
        <v>0</v>
      </c>
      <c r="AW5" s="16">
        <v>0</v>
      </c>
      <c r="BA5" s="1" t="s">
        <v>825</v>
      </c>
      <c r="BB5" s="9">
        <v>1</v>
      </c>
      <c r="BC5" s="1" t="s">
        <v>862</v>
      </c>
      <c r="BD5" s="9" t="s">
        <v>807</v>
      </c>
      <c r="BE5" s="1" t="s">
        <v>863</v>
      </c>
      <c r="BF5" s="1" t="s">
        <v>32</v>
      </c>
      <c r="BG5" s="1" t="s">
        <v>864</v>
      </c>
      <c r="BH5" s="1" t="s">
        <v>865</v>
      </c>
      <c r="BI5" s="1" t="s">
        <v>866</v>
      </c>
      <c r="BJ5" s="21" t="str">
        <f t="shared" si="0"/>
        <v>FIXO</v>
      </c>
    </row>
    <row r="6" spans="1:62" x14ac:dyDescent="0.25">
      <c r="A6" s="7">
        <v>2</v>
      </c>
      <c r="B6" s="1" t="s">
        <v>806</v>
      </c>
      <c r="C6" s="8">
        <v>5</v>
      </c>
      <c r="D6" s="9" t="s">
        <v>807</v>
      </c>
      <c r="E6" s="10">
        <v>168</v>
      </c>
      <c r="F6" s="11" t="s">
        <v>867</v>
      </c>
      <c r="G6" s="1" t="s">
        <v>41</v>
      </c>
      <c r="H6" s="13" t="str">
        <f>VLOOKUP(AP6,[1]Listas!A:B,2,0)</f>
        <v xml:space="preserve">FESP </v>
      </c>
      <c r="I6" s="1" t="s">
        <v>38</v>
      </c>
      <c r="J6" s="1" t="s">
        <v>37</v>
      </c>
      <c r="K6" s="12"/>
      <c r="L6" s="1" t="s">
        <v>490</v>
      </c>
      <c r="M6" s="1" t="s">
        <v>33</v>
      </c>
      <c r="N6" s="14">
        <v>31264</v>
      </c>
      <c r="O6" s="1" t="s">
        <v>855</v>
      </c>
      <c r="P6" s="1" t="s">
        <v>856</v>
      </c>
      <c r="Q6" s="15" t="s">
        <v>807</v>
      </c>
      <c r="R6" s="1" t="s">
        <v>857</v>
      </c>
      <c r="S6" s="1" t="s">
        <v>868</v>
      </c>
      <c r="T6" s="1" t="s">
        <v>869</v>
      </c>
      <c r="U6" s="9" t="s">
        <v>811</v>
      </c>
      <c r="V6" s="1" t="s">
        <v>870</v>
      </c>
      <c r="W6" s="1" t="s">
        <v>871</v>
      </c>
      <c r="X6" s="1" t="s">
        <v>34</v>
      </c>
      <c r="Y6" s="14">
        <v>44030</v>
      </c>
      <c r="Z6" s="9" t="s">
        <v>817</v>
      </c>
      <c r="AB6" s="14">
        <v>40026</v>
      </c>
      <c r="AC6" s="9" t="s">
        <v>817</v>
      </c>
      <c r="AD6" s="9" t="s">
        <v>818</v>
      </c>
      <c r="AE6" s="1" t="s">
        <v>819</v>
      </c>
      <c r="AF6" s="14" t="s">
        <v>820</v>
      </c>
      <c r="AG6" s="9" t="s">
        <v>821</v>
      </c>
      <c r="AH6" s="1" t="s">
        <v>9</v>
      </c>
      <c r="AI6" s="9" t="s">
        <v>10</v>
      </c>
      <c r="AJ6" s="1" t="s">
        <v>11</v>
      </c>
      <c r="AK6" s="1" t="s">
        <v>872</v>
      </c>
      <c r="AL6" s="1" t="s">
        <v>873</v>
      </c>
      <c r="AM6" s="9">
        <v>11383</v>
      </c>
      <c r="AN6" s="1" t="s">
        <v>35</v>
      </c>
      <c r="AO6" s="1" t="s">
        <v>36</v>
      </c>
      <c r="AP6" s="1" t="s">
        <v>874</v>
      </c>
      <c r="AQ6" s="14">
        <v>45658</v>
      </c>
      <c r="AU6" s="14">
        <v>45798</v>
      </c>
      <c r="AV6" s="16">
        <v>0</v>
      </c>
      <c r="AW6" s="16">
        <v>0</v>
      </c>
      <c r="BA6" s="1" t="s">
        <v>825</v>
      </c>
      <c r="BB6" s="9">
        <v>7</v>
      </c>
      <c r="BC6" s="1" t="s">
        <v>826</v>
      </c>
      <c r="BD6" s="9" t="s">
        <v>807</v>
      </c>
      <c r="BE6" s="1" t="s">
        <v>875</v>
      </c>
      <c r="BF6" s="1" t="s">
        <v>37</v>
      </c>
      <c r="BG6" s="1" t="s">
        <v>876</v>
      </c>
      <c r="BH6" s="1" t="s">
        <v>877</v>
      </c>
      <c r="BI6" s="1" t="s">
        <v>878</v>
      </c>
      <c r="BJ6" s="21" t="str">
        <f t="shared" si="0"/>
        <v>FIXO</v>
      </c>
    </row>
    <row r="7" spans="1:62" x14ac:dyDescent="0.25">
      <c r="A7" s="7">
        <v>2</v>
      </c>
      <c r="B7" s="1" t="s">
        <v>806</v>
      </c>
      <c r="C7" s="8">
        <v>5</v>
      </c>
      <c r="D7" s="9" t="s">
        <v>807</v>
      </c>
      <c r="E7" s="10">
        <v>171</v>
      </c>
      <c r="F7" s="11" t="s">
        <v>879</v>
      </c>
      <c r="G7" s="1" t="s">
        <v>41</v>
      </c>
      <c r="H7" s="13" t="str">
        <f>VLOOKUP(AP7,[1]Listas!A:B,2,0)</f>
        <v xml:space="preserve">FESP </v>
      </c>
      <c r="I7" s="1"/>
      <c r="J7" s="12"/>
      <c r="K7" s="12"/>
      <c r="L7" s="12"/>
      <c r="M7" s="1" t="s">
        <v>38</v>
      </c>
      <c r="N7" s="14">
        <v>30536</v>
      </c>
      <c r="O7" s="1" t="s">
        <v>855</v>
      </c>
      <c r="P7" s="1" t="s">
        <v>856</v>
      </c>
      <c r="Q7" s="15" t="s">
        <v>807</v>
      </c>
      <c r="R7" s="1" t="s">
        <v>857</v>
      </c>
      <c r="S7" s="1" t="s">
        <v>807</v>
      </c>
      <c r="T7" s="1" t="s">
        <v>813</v>
      </c>
      <c r="U7" s="9" t="s">
        <v>880</v>
      </c>
      <c r="V7" s="1" t="s">
        <v>881</v>
      </c>
      <c r="W7" s="1" t="s">
        <v>882</v>
      </c>
      <c r="X7" s="1" t="s">
        <v>39</v>
      </c>
      <c r="Y7" s="14">
        <v>45798</v>
      </c>
      <c r="Z7" s="9" t="s">
        <v>817</v>
      </c>
      <c r="AB7" s="14">
        <v>38012</v>
      </c>
      <c r="AC7" s="9" t="s">
        <v>817</v>
      </c>
      <c r="AD7" s="9" t="s">
        <v>818</v>
      </c>
      <c r="AE7" s="1" t="s">
        <v>819</v>
      </c>
      <c r="AF7" s="14" t="s">
        <v>820</v>
      </c>
      <c r="AG7" s="9" t="s">
        <v>821</v>
      </c>
      <c r="AH7" s="1" t="s">
        <v>9</v>
      </c>
      <c r="AI7" s="9" t="s">
        <v>10</v>
      </c>
      <c r="AJ7" s="1" t="s">
        <v>11</v>
      </c>
      <c r="AK7" s="1" t="s">
        <v>883</v>
      </c>
      <c r="AL7" s="1" t="s">
        <v>884</v>
      </c>
      <c r="AM7" s="9">
        <v>11324</v>
      </c>
      <c r="AN7" s="1" t="s">
        <v>40</v>
      </c>
      <c r="AO7" s="1" t="s">
        <v>31</v>
      </c>
      <c r="AP7" s="1" t="s">
        <v>861</v>
      </c>
      <c r="AQ7" s="14">
        <v>45658</v>
      </c>
      <c r="AU7" s="14">
        <v>45901</v>
      </c>
      <c r="AV7" s="16">
        <v>0</v>
      </c>
      <c r="AW7" s="16">
        <v>0</v>
      </c>
      <c r="BA7" s="1" t="s">
        <v>825</v>
      </c>
      <c r="BB7" s="9">
        <v>1</v>
      </c>
      <c r="BC7" s="1" t="s">
        <v>862</v>
      </c>
      <c r="BD7" s="9" t="s">
        <v>807</v>
      </c>
      <c r="BE7" s="1" t="s">
        <v>885</v>
      </c>
      <c r="BF7" s="1" t="s">
        <v>41</v>
      </c>
      <c r="BG7" s="1" t="s">
        <v>886</v>
      </c>
      <c r="BH7" s="1" t="s">
        <v>887</v>
      </c>
      <c r="BI7" s="1" t="s">
        <v>888</v>
      </c>
      <c r="BJ7" s="21" t="str">
        <f t="shared" si="0"/>
        <v>FIXO</v>
      </c>
    </row>
    <row r="8" spans="1:62" x14ac:dyDescent="0.25">
      <c r="A8" s="7">
        <v>2</v>
      </c>
      <c r="B8" s="1" t="s">
        <v>806</v>
      </c>
      <c r="C8" s="8">
        <v>5</v>
      </c>
      <c r="D8" s="9" t="s">
        <v>807</v>
      </c>
      <c r="E8" s="10">
        <v>175</v>
      </c>
      <c r="F8" s="11" t="s">
        <v>889</v>
      </c>
      <c r="G8" s="1" t="s">
        <v>41</v>
      </c>
      <c r="H8" s="13" t="str">
        <f>VLOOKUP(AP8,[1]Listas!A:B,2,0)</f>
        <v xml:space="preserve">FESP </v>
      </c>
      <c r="I8" s="12" t="s">
        <v>38</v>
      </c>
      <c r="J8" s="12"/>
      <c r="K8" s="12"/>
      <c r="L8" s="12"/>
      <c r="M8" s="1" t="s">
        <v>42</v>
      </c>
      <c r="N8" s="14">
        <v>28896</v>
      </c>
      <c r="O8" s="1" t="s">
        <v>855</v>
      </c>
      <c r="P8" s="1" t="s">
        <v>856</v>
      </c>
      <c r="Q8" s="15" t="s">
        <v>807</v>
      </c>
      <c r="R8" s="1" t="s">
        <v>857</v>
      </c>
      <c r="S8" s="1" t="s">
        <v>868</v>
      </c>
      <c r="T8" s="1" t="s">
        <v>869</v>
      </c>
      <c r="U8" s="9" t="s">
        <v>814</v>
      </c>
      <c r="V8" s="1" t="s">
        <v>815</v>
      </c>
      <c r="W8" s="1" t="s">
        <v>890</v>
      </c>
      <c r="X8" s="1" t="s">
        <v>43</v>
      </c>
      <c r="Y8" s="14">
        <v>44583</v>
      </c>
      <c r="Z8" s="9" t="s">
        <v>817</v>
      </c>
      <c r="AB8" s="14">
        <v>41730</v>
      </c>
      <c r="AC8" s="9" t="s">
        <v>817</v>
      </c>
      <c r="AD8" s="9" t="s">
        <v>818</v>
      </c>
      <c r="AE8" s="1" t="s">
        <v>819</v>
      </c>
      <c r="AF8" s="14" t="s">
        <v>820</v>
      </c>
      <c r="AG8" s="9" t="s">
        <v>835</v>
      </c>
      <c r="AH8" s="1" t="s">
        <v>17</v>
      </c>
      <c r="AI8" s="9" t="s">
        <v>10</v>
      </c>
      <c r="AJ8" s="1" t="s">
        <v>11</v>
      </c>
      <c r="AK8" s="1" t="s">
        <v>891</v>
      </c>
      <c r="AL8" s="1" t="s">
        <v>892</v>
      </c>
      <c r="AM8" s="9">
        <v>11378</v>
      </c>
      <c r="AN8" s="1" t="s">
        <v>44</v>
      </c>
      <c r="AO8" s="1" t="s">
        <v>31</v>
      </c>
      <c r="AP8" s="1" t="s">
        <v>861</v>
      </c>
      <c r="AQ8" s="14">
        <v>45658</v>
      </c>
      <c r="AU8" s="14">
        <v>45799</v>
      </c>
      <c r="AV8" s="16">
        <v>0</v>
      </c>
      <c r="AW8" s="16">
        <v>0</v>
      </c>
      <c r="BA8" s="1" t="s">
        <v>825</v>
      </c>
      <c r="BB8" s="9">
        <v>1</v>
      </c>
      <c r="BC8" s="1" t="s">
        <v>862</v>
      </c>
      <c r="BD8" s="9" t="s">
        <v>807</v>
      </c>
      <c r="BE8" s="1" t="s">
        <v>893</v>
      </c>
      <c r="BF8" s="1" t="s">
        <v>38</v>
      </c>
      <c r="BG8" s="1" t="s">
        <v>883</v>
      </c>
      <c r="BH8" s="1" t="s">
        <v>884</v>
      </c>
      <c r="BI8" s="20" t="s">
        <v>894</v>
      </c>
      <c r="BJ8" s="21" t="str">
        <f t="shared" si="0"/>
        <v>FIXO</v>
      </c>
    </row>
    <row r="9" spans="1:62" x14ac:dyDescent="0.25">
      <c r="A9" s="7">
        <v>2</v>
      </c>
      <c r="B9" s="1" t="s">
        <v>806</v>
      </c>
      <c r="C9" s="8">
        <v>3</v>
      </c>
      <c r="D9" s="9" t="s">
        <v>807</v>
      </c>
      <c r="E9" s="10">
        <v>242</v>
      </c>
      <c r="F9" s="11" t="s">
        <v>895</v>
      </c>
      <c r="G9" s="12" t="s">
        <v>71</v>
      </c>
      <c r="H9" s="13" t="str">
        <f>VLOOKUP(AP9,[1]Listas!A:B,2,0)</f>
        <v xml:space="preserve">MTRZ </v>
      </c>
      <c r="I9" s="1" t="s">
        <v>141</v>
      </c>
      <c r="J9" s="1" t="s">
        <v>20</v>
      </c>
      <c r="K9" s="1" t="s">
        <v>49</v>
      </c>
      <c r="L9" s="12"/>
      <c r="M9" s="1" t="s">
        <v>45</v>
      </c>
      <c r="N9" s="14">
        <v>31648</v>
      </c>
      <c r="O9" s="1" t="s">
        <v>809</v>
      </c>
      <c r="P9" s="1" t="s">
        <v>810</v>
      </c>
      <c r="Q9" s="15" t="s">
        <v>807</v>
      </c>
      <c r="R9" s="1" t="s">
        <v>857</v>
      </c>
      <c r="S9" s="1" t="s">
        <v>807</v>
      </c>
      <c r="T9" s="1" t="s">
        <v>813</v>
      </c>
      <c r="U9" s="9" t="s">
        <v>832</v>
      </c>
      <c r="V9" s="1" t="s">
        <v>833</v>
      </c>
      <c r="W9" s="1" t="s">
        <v>896</v>
      </c>
      <c r="X9" s="1" t="s">
        <v>46</v>
      </c>
      <c r="Y9" s="14">
        <v>43970</v>
      </c>
      <c r="Z9" s="9" t="s">
        <v>817</v>
      </c>
      <c r="AB9" s="14">
        <v>42064</v>
      </c>
      <c r="AC9" s="9" t="s">
        <v>817</v>
      </c>
      <c r="AD9" s="9" t="s">
        <v>818</v>
      </c>
      <c r="AE9" s="1" t="s">
        <v>819</v>
      </c>
      <c r="AF9" s="14" t="s">
        <v>820</v>
      </c>
      <c r="AG9" s="9" t="s">
        <v>835</v>
      </c>
      <c r="AH9" s="1" t="s">
        <v>17</v>
      </c>
      <c r="AI9" s="9" t="s">
        <v>10</v>
      </c>
      <c r="AJ9" s="1" t="s">
        <v>11</v>
      </c>
      <c r="AK9" s="1" t="s">
        <v>897</v>
      </c>
      <c r="AL9" s="1" t="s">
        <v>898</v>
      </c>
      <c r="AM9" s="9">
        <v>10114</v>
      </c>
      <c r="AN9" s="1" t="s">
        <v>47</v>
      </c>
      <c r="AO9" s="1" t="s">
        <v>48</v>
      </c>
      <c r="AP9" s="1" t="s">
        <v>899</v>
      </c>
      <c r="AQ9" s="14">
        <v>45658</v>
      </c>
      <c r="AU9" s="14">
        <v>45799</v>
      </c>
      <c r="AV9" s="16">
        <v>0</v>
      </c>
      <c r="AW9" s="16">
        <v>0</v>
      </c>
      <c r="BA9" s="1" t="s">
        <v>825</v>
      </c>
      <c r="BB9" s="9">
        <v>2</v>
      </c>
      <c r="BC9" s="1" t="s">
        <v>900</v>
      </c>
      <c r="BD9" s="9" t="s">
        <v>807</v>
      </c>
      <c r="BE9" s="1" t="s">
        <v>901</v>
      </c>
      <c r="BF9" s="1" t="s">
        <v>49</v>
      </c>
      <c r="BG9" s="1" t="s">
        <v>902</v>
      </c>
      <c r="BH9" s="1" t="s">
        <v>903</v>
      </c>
      <c r="BI9" s="20" t="s">
        <v>904</v>
      </c>
      <c r="BJ9" s="21" t="str">
        <f t="shared" si="0"/>
        <v>FIXO</v>
      </c>
    </row>
    <row r="10" spans="1:62" x14ac:dyDescent="0.25">
      <c r="A10" s="7">
        <v>2</v>
      </c>
      <c r="B10" s="1" t="s">
        <v>806</v>
      </c>
      <c r="C10" s="8">
        <v>5</v>
      </c>
      <c r="D10" s="9" t="s">
        <v>807</v>
      </c>
      <c r="E10" s="10">
        <v>780</v>
      </c>
      <c r="F10" s="11" t="s">
        <v>905</v>
      </c>
      <c r="G10" s="12" t="s">
        <v>71</v>
      </c>
      <c r="H10" s="13" t="str">
        <f>VLOOKUP(AP10,[1]Listas!A:B,2,0)</f>
        <v xml:space="preserve">FESP </v>
      </c>
      <c r="I10" s="1" t="s">
        <v>27</v>
      </c>
      <c r="J10" s="12"/>
      <c r="K10" s="12"/>
      <c r="L10" s="12"/>
      <c r="M10" s="1" t="s">
        <v>50</v>
      </c>
      <c r="N10" s="14">
        <v>32680</v>
      </c>
      <c r="O10" s="1" t="s">
        <v>855</v>
      </c>
      <c r="P10" s="1" t="s">
        <v>856</v>
      </c>
      <c r="Q10" s="15" t="s">
        <v>811</v>
      </c>
      <c r="R10" s="1" t="s">
        <v>812</v>
      </c>
      <c r="S10" s="1" t="s">
        <v>811</v>
      </c>
      <c r="T10" s="1" t="s">
        <v>906</v>
      </c>
      <c r="U10" s="9" t="s">
        <v>832</v>
      </c>
      <c r="V10" s="1" t="s">
        <v>833</v>
      </c>
      <c r="W10" s="1" t="s">
        <v>907</v>
      </c>
      <c r="X10" s="1" t="s">
        <v>51</v>
      </c>
      <c r="Y10" s="14">
        <v>45679</v>
      </c>
      <c r="Z10" s="9" t="s">
        <v>817</v>
      </c>
      <c r="AB10" s="14">
        <v>44987</v>
      </c>
      <c r="AC10" s="9" t="s">
        <v>817</v>
      </c>
      <c r="AD10" s="9" t="s">
        <v>818</v>
      </c>
      <c r="AE10" s="1" t="s">
        <v>819</v>
      </c>
      <c r="AF10" s="14" t="s">
        <v>820</v>
      </c>
      <c r="AG10" s="9" t="s">
        <v>821</v>
      </c>
      <c r="AH10" s="1" t="s">
        <v>9</v>
      </c>
      <c r="AI10" s="9" t="s">
        <v>10</v>
      </c>
      <c r="AJ10" s="1" t="s">
        <v>11</v>
      </c>
      <c r="AK10" s="1" t="s">
        <v>908</v>
      </c>
      <c r="AL10" s="1" t="s">
        <v>909</v>
      </c>
      <c r="AM10" s="9">
        <v>11305</v>
      </c>
      <c r="AN10" s="1" t="s">
        <v>52</v>
      </c>
      <c r="AO10" s="1" t="s">
        <v>53</v>
      </c>
      <c r="AP10" s="1" t="s">
        <v>910</v>
      </c>
      <c r="AQ10" s="14">
        <v>45658</v>
      </c>
      <c r="AU10" s="14">
        <v>45679</v>
      </c>
      <c r="AV10" s="16">
        <v>30</v>
      </c>
      <c r="AW10" s="16">
        <v>0</v>
      </c>
      <c r="BA10" s="1" t="s">
        <v>911</v>
      </c>
      <c r="BB10" s="9">
        <v>1</v>
      </c>
      <c r="BC10" s="1" t="s">
        <v>862</v>
      </c>
      <c r="BD10" s="9" t="s">
        <v>807</v>
      </c>
      <c r="BE10" s="1" t="s">
        <v>850</v>
      </c>
      <c r="BF10" s="1" t="s">
        <v>27</v>
      </c>
      <c r="BG10" s="1" t="s">
        <v>851</v>
      </c>
      <c r="BH10" s="1" t="s">
        <v>852</v>
      </c>
      <c r="BI10" s="1" t="s">
        <v>853</v>
      </c>
      <c r="BJ10" s="21" t="str">
        <f t="shared" si="0"/>
        <v>FIXO</v>
      </c>
    </row>
    <row r="11" spans="1:62" x14ac:dyDescent="0.25">
      <c r="A11" s="7">
        <v>2</v>
      </c>
      <c r="B11" s="1" t="s">
        <v>806</v>
      </c>
      <c r="C11" s="8">
        <v>5</v>
      </c>
      <c r="D11" s="9" t="s">
        <v>807</v>
      </c>
      <c r="E11" s="10">
        <v>3153</v>
      </c>
      <c r="F11" s="11" t="s">
        <v>912</v>
      </c>
      <c r="G11" s="1" t="s">
        <v>41</v>
      </c>
      <c r="H11" s="13" t="str">
        <f>VLOOKUP(AP11,[1]Listas!A:B,2,0)</f>
        <v xml:space="preserve">FESP </v>
      </c>
      <c r="I11" s="12" t="s">
        <v>38</v>
      </c>
      <c r="J11" s="12"/>
      <c r="K11" s="1" t="s">
        <v>32</v>
      </c>
      <c r="L11" s="12"/>
      <c r="M11" s="1" t="s">
        <v>54</v>
      </c>
      <c r="N11" s="14">
        <v>32823</v>
      </c>
      <c r="O11" s="1" t="s">
        <v>855</v>
      </c>
      <c r="P11" s="1" t="s">
        <v>856</v>
      </c>
      <c r="Q11" s="15" t="s">
        <v>807</v>
      </c>
      <c r="R11" s="1" t="s">
        <v>857</v>
      </c>
      <c r="S11" s="1" t="s">
        <v>868</v>
      </c>
      <c r="T11" s="1" t="s">
        <v>869</v>
      </c>
      <c r="U11" s="9" t="s">
        <v>868</v>
      </c>
      <c r="V11" s="1" t="s">
        <v>913</v>
      </c>
      <c r="W11" s="1" t="s">
        <v>858</v>
      </c>
      <c r="X11" s="1" t="s">
        <v>29</v>
      </c>
      <c r="Y11" s="14">
        <v>45184</v>
      </c>
      <c r="Z11" s="9" t="s">
        <v>817</v>
      </c>
      <c r="AB11" s="14">
        <v>45183</v>
      </c>
      <c r="AC11" s="9" t="s">
        <v>817</v>
      </c>
      <c r="AD11" s="9" t="s">
        <v>818</v>
      </c>
      <c r="AE11" s="1" t="s">
        <v>819</v>
      </c>
      <c r="AF11" s="14" t="s">
        <v>820</v>
      </c>
      <c r="AG11" s="9" t="s">
        <v>821</v>
      </c>
      <c r="AH11" s="1" t="s">
        <v>9</v>
      </c>
      <c r="AI11" s="9" t="s">
        <v>10</v>
      </c>
      <c r="AJ11" s="1" t="s">
        <v>11</v>
      </c>
      <c r="AK11" s="1" t="s">
        <v>914</v>
      </c>
      <c r="AL11" s="1" t="s">
        <v>915</v>
      </c>
      <c r="AM11" s="9">
        <v>11373</v>
      </c>
      <c r="AN11" s="1" t="s">
        <v>30</v>
      </c>
      <c r="AO11" s="1" t="s">
        <v>31</v>
      </c>
      <c r="AP11" s="1" t="s">
        <v>861</v>
      </c>
      <c r="AQ11" s="14">
        <v>45658</v>
      </c>
      <c r="AU11" s="14">
        <v>45799</v>
      </c>
      <c r="AV11" s="16">
        <v>0</v>
      </c>
      <c r="AW11" s="16">
        <v>0</v>
      </c>
      <c r="BA11" s="1" t="s">
        <v>911</v>
      </c>
      <c r="BB11" s="9">
        <v>1</v>
      </c>
      <c r="BC11" s="1" t="s">
        <v>862</v>
      </c>
      <c r="BD11" s="9" t="s">
        <v>807</v>
      </c>
      <c r="BE11" s="1" t="s">
        <v>863</v>
      </c>
      <c r="BF11" s="1" t="s">
        <v>32</v>
      </c>
      <c r="BG11" s="1" t="s">
        <v>864</v>
      </c>
      <c r="BH11" s="1" t="s">
        <v>865</v>
      </c>
      <c r="BI11" s="1" t="s">
        <v>916</v>
      </c>
      <c r="BJ11" s="21" t="str">
        <f t="shared" si="0"/>
        <v>FIXO</v>
      </c>
    </row>
    <row r="12" spans="1:62" x14ac:dyDescent="0.25">
      <c r="A12" s="7">
        <v>2</v>
      </c>
      <c r="B12" s="1" t="s">
        <v>806</v>
      </c>
      <c r="C12" s="8">
        <v>5</v>
      </c>
      <c r="D12" s="9" t="s">
        <v>807</v>
      </c>
      <c r="E12" s="10">
        <v>3964</v>
      </c>
      <c r="F12" s="11" t="s">
        <v>917</v>
      </c>
      <c r="G12" s="1" t="s">
        <v>41</v>
      </c>
      <c r="H12" s="13" t="str">
        <f>VLOOKUP(AP12,[1]Listas!A:B,2,0)</f>
        <v xml:space="preserve">FESP </v>
      </c>
      <c r="I12" s="12" t="s">
        <v>38</v>
      </c>
      <c r="J12" s="12"/>
      <c r="K12" s="1" t="s">
        <v>32</v>
      </c>
      <c r="L12" s="1" t="s">
        <v>54</v>
      </c>
      <c r="M12" s="1" t="s">
        <v>55</v>
      </c>
      <c r="N12" s="14">
        <v>34315</v>
      </c>
      <c r="O12" s="1" t="s">
        <v>855</v>
      </c>
      <c r="P12" s="1" t="s">
        <v>856</v>
      </c>
      <c r="Q12" s="15" t="s">
        <v>807</v>
      </c>
      <c r="R12" s="1" t="s">
        <v>857</v>
      </c>
      <c r="S12" s="1" t="s">
        <v>807</v>
      </c>
      <c r="T12" s="1" t="s">
        <v>813</v>
      </c>
      <c r="U12" s="9" t="s">
        <v>814</v>
      </c>
      <c r="V12" s="1" t="s">
        <v>815</v>
      </c>
      <c r="W12" s="1" t="s">
        <v>871</v>
      </c>
      <c r="X12" s="1" t="s">
        <v>34</v>
      </c>
      <c r="Y12" s="14">
        <v>44583</v>
      </c>
      <c r="Z12" s="9" t="s">
        <v>817</v>
      </c>
      <c r="AB12" s="14">
        <v>42675</v>
      </c>
      <c r="AC12" s="9" t="s">
        <v>817</v>
      </c>
      <c r="AD12" s="9" t="s">
        <v>818</v>
      </c>
      <c r="AE12" s="1" t="s">
        <v>819</v>
      </c>
      <c r="AF12" s="14" t="s">
        <v>820</v>
      </c>
      <c r="AG12" s="9" t="s">
        <v>835</v>
      </c>
      <c r="AH12" s="1" t="s">
        <v>17</v>
      </c>
      <c r="AI12" s="9" t="s">
        <v>10</v>
      </c>
      <c r="AJ12" s="1" t="s">
        <v>11</v>
      </c>
      <c r="AK12" s="1" t="s">
        <v>918</v>
      </c>
      <c r="AL12" s="1" t="s">
        <v>919</v>
      </c>
      <c r="AM12" s="9">
        <v>11377</v>
      </c>
      <c r="AN12" s="1" t="s">
        <v>56</v>
      </c>
      <c r="AO12" s="1" t="s">
        <v>36</v>
      </c>
      <c r="AP12" s="1" t="s">
        <v>874</v>
      </c>
      <c r="AQ12" s="14">
        <v>45658</v>
      </c>
      <c r="AU12" s="14">
        <v>45798</v>
      </c>
      <c r="AV12" s="16">
        <v>0</v>
      </c>
      <c r="AW12" s="16">
        <v>0</v>
      </c>
      <c r="BA12" s="1" t="s">
        <v>825</v>
      </c>
      <c r="BB12" s="9">
        <v>1</v>
      </c>
      <c r="BC12" s="1" t="s">
        <v>862</v>
      </c>
      <c r="BD12" s="9" t="s">
        <v>807</v>
      </c>
      <c r="BE12" s="1" t="s">
        <v>863</v>
      </c>
      <c r="BF12" s="1" t="s">
        <v>32</v>
      </c>
      <c r="BG12" s="1" t="s">
        <v>864</v>
      </c>
      <c r="BH12" s="1" t="s">
        <v>865</v>
      </c>
      <c r="BI12" s="1" t="s">
        <v>916</v>
      </c>
      <c r="BJ12" s="21" t="str">
        <f t="shared" si="0"/>
        <v>FIXO</v>
      </c>
    </row>
    <row r="13" spans="1:62" x14ac:dyDescent="0.25">
      <c r="A13" s="7">
        <v>2</v>
      </c>
      <c r="B13" s="1" t="s">
        <v>806</v>
      </c>
      <c r="C13" s="8">
        <v>5</v>
      </c>
      <c r="D13" s="9" t="s">
        <v>807</v>
      </c>
      <c r="E13" s="10">
        <v>3965</v>
      </c>
      <c r="F13" s="11" t="s">
        <v>920</v>
      </c>
      <c r="G13" s="1" t="s">
        <v>41</v>
      </c>
      <c r="H13" s="13" t="str">
        <f>VLOOKUP(AP13,[1]Listas!A:B,2,0)</f>
        <v xml:space="preserve">FESP </v>
      </c>
      <c r="I13" s="12" t="s">
        <v>38</v>
      </c>
      <c r="J13" s="12"/>
      <c r="K13" s="1" t="s">
        <v>32</v>
      </c>
      <c r="L13" s="1" t="s">
        <v>28</v>
      </c>
      <c r="M13" s="1" t="s">
        <v>57</v>
      </c>
      <c r="N13" s="14">
        <v>29487</v>
      </c>
      <c r="O13" s="1" t="s">
        <v>855</v>
      </c>
      <c r="P13" s="1" t="s">
        <v>856</v>
      </c>
      <c r="Q13" s="15" t="s">
        <v>807</v>
      </c>
      <c r="R13" s="1" t="s">
        <v>857</v>
      </c>
      <c r="S13" s="1" t="s">
        <v>868</v>
      </c>
      <c r="T13" s="1" t="s">
        <v>869</v>
      </c>
      <c r="U13" s="9" t="s">
        <v>868</v>
      </c>
      <c r="V13" s="1" t="s">
        <v>913</v>
      </c>
      <c r="W13" s="1" t="s">
        <v>871</v>
      </c>
      <c r="X13" s="1" t="s">
        <v>34</v>
      </c>
      <c r="Y13" s="14">
        <v>44582</v>
      </c>
      <c r="Z13" s="9" t="s">
        <v>817</v>
      </c>
      <c r="AB13" s="14">
        <v>42887</v>
      </c>
      <c r="AC13" s="9" t="s">
        <v>817</v>
      </c>
      <c r="AD13" s="9" t="s">
        <v>818</v>
      </c>
      <c r="AE13" s="1" t="s">
        <v>819</v>
      </c>
      <c r="AF13" s="14" t="s">
        <v>820</v>
      </c>
      <c r="AG13" s="9" t="s">
        <v>835</v>
      </c>
      <c r="AH13" s="1" t="s">
        <v>17</v>
      </c>
      <c r="AI13" s="9" t="s">
        <v>10</v>
      </c>
      <c r="AJ13" s="1" t="s">
        <v>11</v>
      </c>
      <c r="AK13" s="1" t="s">
        <v>921</v>
      </c>
      <c r="AL13" s="1" t="s">
        <v>922</v>
      </c>
      <c r="AM13" s="9">
        <v>11382</v>
      </c>
      <c r="AN13" s="1" t="s">
        <v>58</v>
      </c>
      <c r="AO13" s="1" t="s">
        <v>36</v>
      </c>
      <c r="AP13" s="1" t="s">
        <v>874</v>
      </c>
      <c r="AQ13" s="14">
        <v>45658</v>
      </c>
      <c r="AU13" s="14">
        <v>45798</v>
      </c>
      <c r="AV13" s="16">
        <v>0</v>
      </c>
      <c r="AW13" s="16">
        <v>0</v>
      </c>
      <c r="BA13" s="1" t="s">
        <v>825</v>
      </c>
      <c r="BB13" s="9">
        <v>1</v>
      </c>
      <c r="BC13" s="1" t="s">
        <v>862</v>
      </c>
      <c r="BD13" s="9" t="s">
        <v>807</v>
      </c>
      <c r="BE13" s="1" t="s">
        <v>863</v>
      </c>
      <c r="BF13" s="1" t="s">
        <v>32</v>
      </c>
      <c r="BG13" s="1" t="s">
        <v>864</v>
      </c>
      <c r="BH13" s="1" t="s">
        <v>865</v>
      </c>
      <c r="BI13" s="1" t="s">
        <v>866</v>
      </c>
      <c r="BJ13" s="21" t="str">
        <f t="shared" si="0"/>
        <v>FIXO</v>
      </c>
    </row>
    <row r="14" spans="1:62" x14ac:dyDescent="0.25">
      <c r="A14" s="7">
        <v>2</v>
      </c>
      <c r="B14" s="1" t="s">
        <v>806</v>
      </c>
      <c r="C14" s="8">
        <v>5</v>
      </c>
      <c r="D14" s="9" t="s">
        <v>807</v>
      </c>
      <c r="E14" s="10">
        <v>3966</v>
      </c>
      <c r="F14" s="11" t="s">
        <v>923</v>
      </c>
      <c r="G14" s="1" t="s">
        <v>41</v>
      </c>
      <c r="H14" s="13" t="str">
        <f>VLOOKUP(AP14,[1]Listas!A:B,2,0)</f>
        <v xml:space="preserve">FESP </v>
      </c>
      <c r="I14" s="1" t="s">
        <v>38</v>
      </c>
      <c r="J14" s="1" t="s">
        <v>37</v>
      </c>
      <c r="K14" s="12"/>
      <c r="L14" s="1" t="s">
        <v>490</v>
      </c>
      <c r="M14" s="1" t="s">
        <v>59</v>
      </c>
      <c r="N14" s="14">
        <v>34786</v>
      </c>
      <c r="O14" s="1" t="s">
        <v>855</v>
      </c>
      <c r="P14" s="1" t="s">
        <v>856</v>
      </c>
      <c r="Q14" s="15" t="s">
        <v>807</v>
      </c>
      <c r="R14" s="1" t="s">
        <v>857</v>
      </c>
      <c r="S14" s="1" t="s">
        <v>868</v>
      </c>
      <c r="T14" s="1" t="s">
        <v>869</v>
      </c>
      <c r="U14" s="9" t="s">
        <v>814</v>
      </c>
      <c r="V14" s="1" t="s">
        <v>815</v>
      </c>
      <c r="W14" s="1" t="s">
        <v>871</v>
      </c>
      <c r="X14" s="1" t="s">
        <v>34</v>
      </c>
      <c r="Y14" s="14">
        <v>44645</v>
      </c>
      <c r="Z14" s="9" t="s">
        <v>817</v>
      </c>
      <c r="AB14" s="14">
        <v>42639</v>
      </c>
      <c r="AC14" s="9" t="s">
        <v>817</v>
      </c>
      <c r="AD14" s="9" t="s">
        <v>818</v>
      </c>
      <c r="AE14" s="1" t="s">
        <v>819</v>
      </c>
      <c r="AF14" s="14" t="s">
        <v>820</v>
      </c>
      <c r="AG14" s="9" t="s">
        <v>835</v>
      </c>
      <c r="AH14" s="1" t="s">
        <v>17</v>
      </c>
      <c r="AI14" s="9" t="s">
        <v>10</v>
      </c>
      <c r="AJ14" s="1" t="s">
        <v>11</v>
      </c>
      <c r="AK14" s="1" t="s">
        <v>872</v>
      </c>
      <c r="AL14" s="1" t="s">
        <v>873</v>
      </c>
      <c r="AM14" s="9">
        <v>11383</v>
      </c>
      <c r="AN14" s="1" t="s">
        <v>35</v>
      </c>
      <c r="AO14" s="1" t="s">
        <v>36</v>
      </c>
      <c r="AP14" s="1" t="s">
        <v>874</v>
      </c>
      <c r="AQ14" s="14">
        <v>45658</v>
      </c>
      <c r="AU14" s="14">
        <v>45798</v>
      </c>
      <c r="AV14" s="16">
        <v>0</v>
      </c>
      <c r="AW14" s="16">
        <v>0</v>
      </c>
      <c r="BA14" s="1" t="s">
        <v>825</v>
      </c>
      <c r="BB14" s="9">
        <v>1</v>
      </c>
      <c r="BC14" s="1" t="s">
        <v>862</v>
      </c>
      <c r="BD14" s="9" t="s">
        <v>807</v>
      </c>
      <c r="BE14" s="1" t="s">
        <v>875</v>
      </c>
      <c r="BF14" s="1" t="s">
        <v>37</v>
      </c>
      <c r="BG14" s="1" t="s">
        <v>876</v>
      </c>
      <c r="BH14" s="1" t="s">
        <v>877</v>
      </c>
      <c r="BI14" s="1" t="s">
        <v>878</v>
      </c>
      <c r="BJ14" s="21" t="str">
        <f t="shared" si="0"/>
        <v>FIXO</v>
      </c>
    </row>
    <row r="15" spans="1:62" x14ac:dyDescent="0.25">
      <c r="A15" s="7">
        <v>2</v>
      </c>
      <c r="B15" s="1" t="s">
        <v>806</v>
      </c>
      <c r="C15" s="8">
        <v>5</v>
      </c>
      <c r="D15" s="9" t="s">
        <v>807</v>
      </c>
      <c r="E15" s="10">
        <v>3991</v>
      </c>
      <c r="F15" s="11" t="s">
        <v>924</v>
      </c>
      <c r="G15" s="1" t="s">
        <v>41</v>
      </c>
      <c r="H15" s="13" t="str">
        <f>VLOOKUP(AP15,[1]Listas!A:B,2,0)</f>
        <v xml:space="preserve">FESP </v>
      </c>
      <c r="I15" s="12" t="s">
        <v>38</v>
      </c>
      <c r="J15" s="12"/>
      <c r="K15" s="1" t="s">
        <v>32</v>
      </c>
      <c r="L15" s="12"/>
      <c r="M15" s="1" t="s">
        <v>60</v>
      </c>
      <c r="N15" s="14">
        <v>30380</v>
      </c>
      <c r="O15" s="1" t="s">
        <v>855</v>
      </c>
      <c r="P15" s="1" t="s">
        <v>856</v>
      </c>
      <c r="Q15" s="15" t="s">
        <v>807</v>
      </c>
      <c r="R15" s="1" t="s">
        <v>857</v>
      </c>
      <c r="S15" s="1" t="s">
        <v>807</v>
      </c>
      <c r="T15" s="1" t="s">
        <v>813</v>
      </c>
      <c r="U15" s="9" t="s">
        <v>868</v>
      </c>
      <c r="V15" s="1" t="s">
        <v>913</v>
      </c>
      <c r="W15" s="1" t="s">
        <v>925</v>
      </c>
      <c r="X15" s="1" t="s">
        <v>61</v>
      </c>
      <c r="Y15" s="14">
        <v>44827</v>
      </c>
      <c r="Z15" s="9" t="s">
        <v>817</v>
      </c>
      <c r="AB15" s="14">
        <v>44183</v>
      </c>
      <c r="AC15" s="9" t="s">
        <v>817</v>
      </c>
      <c r="AD15" s="9" t="s">
        <v>818</v>
      </c>
      <c r="AE15" s="1" t="s">
        <v>819</v>
      </c>
      <c r="AF15" s="14" t="s">
        <v>820</v>
      </c>
      <c r="AG15" s="9" t="s">
        <v>835</v>
      </c>
      <c r="AH15" s="1" t="s">
        <v>17</v>
      </c>
      <c r="AI15" s="9" t="s">
        <v>10</v>
      </c>
      <c r="AJ15" s="1" t="s">
        <v>11</v>
      </c>
      <c r="AK15" s="1" t="s">
        <v>926</v>
      </c>
      <c r="AL15" s="1" t="s">
        <v>927</v>
      </c>
      <c r="AM15" s="9">
        <v>11336</v>
      </c>
      <c r="AN15" s="1" t="s">
        <v>62</v>
      </c>
      <c r="AO15" s="1" t="s">
        <v>63</v>
      </c>
      <c r="AP15" s="1" t="s">
        <v>928</v>
      </c>
      <c r="AQ15" s="14">
        <v>45658</v>
      </c>
      <c r="AU15" s="14">
        <v>45679</v>
      </c>
      <c r="AV15" s="16">
        <v>0</v>
      </c>
      <c r="AW15" s="16">
        <v>0</v>
      </c>
      <c r="BA15" s="1" t="s">
        <v>911</v>
      </c>
      <c r="BB15" s="9">
        <v>1</v>
      </c>
      <c r="BC15" s="1" t="s">
        <v>862</v>
      </c>
      <c r="BD15" s="9" t="s">
        <v>807</v>
      </c>
      <c r="BE15" s="1" t="s">
        <v>863</v>
      </c>
      <c r="BF15" s="1" t="s">
        <v>32</v>
      </c>
      <c r="BG15" s="1" t="s">
        <v>864</v>
      </c>
      <c r="BH15" s="1" t="s">
        <v>865</v>
      </c>
      <c r="BI15" s="1" t="s">
        <v>929</v>
      </c>
      <c r="BJ15" s="21" t="str">
        <f t="shared" si="0"/>
        <v>FIXO</v>
      </c>
    </row>
    <row r="16" spans="1:62" x14ac:dyDescent="0.25">
      <c r="A16" s="7">
        <v>2</v>
      </c>
      <c r="B16" s="1" t="s">
        <v>806</v>
      </c>
      <c r="C16" s="8">
        <v>3</v>
      </c>
      <c r="D16" s="9" t="s">
        <v>807</v>
      </c>
      <c r="E16" s="10">
        <v>5161</v>
      </c>
      <c r="F16" s="11" t="s">
        <v>930</v>
      </c>
      <c r="G16" s="12" t="s">
        <v>71</v>
      </c>
      <c r="H16" s="13" t="str">
        <f>VLOOKUP(AP16,[1]Listas!A:B,2,0)</f>
        <v xml:space="preserve">MTRZ </v>
      </c>
      <c r="I16" s="1" t="s">
        <v>141</v>
      </c>
      <c r="J16" s="1" t="s">
        <v>20</v>
      </c>
      <c r="K16" s="12"/>
      <c r="L16" s="12"/>
      <c r="M16" s="1" t="s">
        <v>49</v>
      </c>
      <c r="N16" s="14">
        <v>33304</v>
      </c>
      <c r="O16" s="1" t="s">
        <v>855</v>
      </c>
      <c r="P16" s="1" t="s">
        <v>856</v>
      </c>
      <c r="Q16" s="15" t="s">
        <v>811</v>
      </c>
      <c r="R16" s="1" t="s">
        <v>812</v>
      </c>
      <c r="S16" s="1" t="s">
        <v>807</v>
      </c>
      <c r="T16" s="1" t="s">
        <v>813</v>
      </c>
      <c r="U16" s="9" t="s">
        <v>814</v>
      </c>
      <c r="V16" s="1" t="s">
        <v>815</v>
      </c>
      <c r="W16" s="1" t="s">
        <v>931</v>
      </c>
      <c r="X16" s="1" t="s">
        <v>64</v>
      </c>
      <c r="Y16" s="14">
        <v>45069</v>
      </c>
      <c r="Z16" s="9" t="s">
        <v>817</v>
      </c>
      <c r="AB16" s="14">
        <v>42857</v>
      </c>
      <c r="AC16" s="9" t="s">
        <v>817</v>
      </c>
      <c r="AD16" s="9" t="s">
        <v>818</v>
      </c>
      <c r="AE16" s="1" t="s">
        <v>819</v>
      </c>
      <c r="AF16" s="14" t="s">
        <v>820</v>
      </c>
      <c r="AG16" s="9" t="s">
        <v>821</v>
      </c>
      <c r="AH16" s="1" t="s">
        <v>9</v>
      </c>
      <c r="AI16" s="9" t="s">
        <v>10</v>
      </c>
      <c r="AJ16" s="1" t="s">
        <v>11</v>
      </c>
      <c r="AK16" s="1" t="s">
        <v>902</v>
      </c>
      <c r="AL16" s="1" t="s">
        <v>903</v>
      </c>
      <c r="AM16" s="9">
        <v>10114</v>
      </c>
      <c r="AN16" s="1" t="s">
        <v>47</v>
      </c>
      <c r="AO16" s="1" t="s">
        <v>48</v>
      </c>
      <c r="AP16" s="1" t="s">
        <v>899</v>
      </c>
      <c r="AQ16" s="14">
        <v>45658</v>
      </c>
      <c r="AU16" s="14">
        <v>45799</v>
      </c>
      <c r="AV16" s="16">
        <v>0</v>
      </c>
      <c r="AW16" s="16">
        <v>0</v>
      </c>
      <c r="BA16" s="1" t="s">
        <v>825</v>
      </c>
      <c r="BB16" s="9">
        <v>10</v>
      </c>
      <c r="BC16" s="1" t="s">
        <v>839</v>
      </c>
      <c r="BD16" s="9" t="s">
        <v>807</v>
      </c>
      <c r="BE16" s="1" t="s">
        <v>840</v>
      </c>
      <c r="BF16" s="1" t="s">
        <v>20</v>
      </c>
      <c r="BG16" s="1" t="s">
        <v>841</v>
      </c>
      <c r="BH16" s="1" t="s">
        <v>842</v>
      </c>
      <c r="BI16" s="20" t="s">
        <v>904</v>
      </c>
      <c r="BJ16" s="21" t="str">
        <f t="shared" si="0"/>
        <v>FIXO</v>
      </c>
    </row>
    <row r="17" spans="1:62" x14ac:dyDescent="0.25">
      <c r="A17" s="7">
        <v>2</v>
      </c>
      <c r="B17" s="1" t="s">
        <v>806</v>
      </c>
      <c r="C17" s="8">
        <v>5</v>
      </c>
      <c r="D17" s="9" t="s">
        <v>807</v>
      </c>
      <c r="E17" s="10">
        <v>5614</v>
      </c>
      <c r="F17" s="11" t="s">
        <v>932</v>
      </c>
      <c r="G17" s="1" t="s">
        <v>41</v>
      </c>
      <c r="H17" s="13" t="str">
        <f>VLOOKUP(AP17,[1]Listas!A:B,2,0)</f>
        <v xml:space="preserve">FESP </v>
      </c>
      <c r="I17" s="12" t="s">
        <v>38</v>
      </c>
      <c r="J17" s="12"/>
      <c r="K17" s="1"/>
      <c r="L17" s="12"/>
      <c r="M17" s="1" t="s">
        <v>32</v>
      </c>
      <c r="N17" s="14">
        <v>26876</v>
      </c>
      <c r="O17" s="1" t="s">
        <v>855</v>
      </c>
      <c r="P17" s="1" t="s">
        <v>856</v>
      </c>
      <c r="Q17" s="15" t="s">
        <v>811</v>
      </c>
      <c r="R17" s="1" t="s">
        <v>812</v>
      </c>
      <c r="S17" s="1" t="s">
        <v>807</v>
      </c>
      <c r="T17" s="1" t="s">
        <v>813</v>
      </c>
      <c r="U17" s="9" t="s">
        <v>814</v>
      </c>
      <c r="V17" s="1" t="s">
        <v>815</v>
      </c>
      <c r="W17" s="1" t="s">
        <v>933</v>
      </c>
      <c r="X17" s="1" t="s">
        <v>65</v>
      </c>
      <c r="Y17" s="14">
        <v>44582</v>
      </c>
      <c r="Z17" s="9" t="s">
        <v>817</v>
      </c>
      <c r="AB17" s="14">
        <v>43481</v>
      </c>
      <c r="AC17" s="9" t="s">
        <v>817</v>
      </c>
      <c r="AD17" s="9" t="s">
        <v>818</v>
      </c>
      <c r="AE17" s="1" t="s">
        <v>819</v>
      </c>
      <c r="AF17" s="14" t="s">
        <v>820</v>
      </c>
      <c r="AG17" s="9" t="s">
        <v>835</v>
      </c>
      <c r="AH17" s="1" t="s">
        <v>17</v>
      </c>
      <c r="AI17" s="9" t="s">
        <v>10</v>
      </c>
      <c r="AJ17" s="1" t="s">
        <v>11</v>
      </c>
      <c r="AK17" s="1" t="s">
        <v>864</v>
      </c>
      <c r="AL17" s="1" t="s">
        <v>865</v>
      </c>
      <c r="AM17" s="9">
        <v>11336</v>
      </c>
      <c r="AN17" s="1" t="s">
        <v>62</v>
      </c>
      <c r="AO17" s="1" t="s">
        <v>66</v>
      </c>
      <c r="AP17" s="1" t="s">
        <v>934</v>
      </c>
      <c r="AQ17" s="14">
        <v>45658</v>
      </c>
      <c r="AU17" s="14">
        <v>45798</v>
      </c>
      <c r="AV17" s="16">
        <v>0</v>
      </c>
      <c r="AW17" s="16">
        <v>0</v>
      </c>
      <c r="BA17" s="1" t="s">
        <v>825</v>
      </c>
      <c r="BB17" s="9">
        <v>1</v>
      </c>
      <c r="BC17" s="1" t="s">
        <v>862</v>
      </c>
      <c r="BD17" s="9" t="s">
        <v>807</v>
      </c>
      <c r="BE17" s="1" t="s">
        <v>893</v>
      </c>
      <c r="BF17" s="1" t="s">
        <v>38</v>
      </c>
      <c r="BG17" s="1" t="s">
        <v>883</v>
      </c>
      <c r="BH17" s="1" t="s">
        <v>884</v>
      </c>
      <c r="BI17" s="20" t="s">
        <v>916</v>
      </c>
      <c r="BJ17" s="21" t="str">
        <f t="shared" si="0"/>
        <v>FIXO</v>
      </c>
    </row>
    <row r="18" spans="1:62" x14ac:dyDescent="0.25">
      <c r="A18" s="7">
        <v>2</v>
      </c>
      <c r="B18" s="1" t="s">
        <v>806</v>
      </c>
      <c r="C18" s="8">
        <v>3</v>
      </c>
      <c r="D18" s="9" t="s">
        <v>807</v>
      </c>
      <c r="E18" s="10">
        <v>6457</v>
      </c>
      <c r="F18" s="11" t="s">
        <v>935</v>
      </c>
      <c r="G18" s="12" t="s">
        <v>71</v>
      </c>
      <c r="H18" s="13" t="str">
        <f>VLOOKUP(AP18,[1]Listas!A:B,2,0)</f>
        <v xml:space="preserve">MTRZ </v>
      </c>
      <c r="I18" s="1"/>
      <c r="J18" s="12"/>
      <c r="K18" s="12"/>
      <c r="L18" s="12"/>
      <c r="M18" s="1" t="s">
        <v>67</v>
      </c>
      <c r="N18" s="14">
        <v>33749</v>
      </c>
      <c r="O18" s="1" t="s">
        <v>809</v>
      </c>
      <c r="P18" s="1" t="s">
        <v>810</v>
      </c>
      <c r="Q18" s="15" t="s">
        <v>811</v>
      </c>
      <c r="R18" s="1" t="s">
        <v>812</v>
      </c>
      <c r="S18" s="1" t="s">
        <v>807</v>
      </c>
      <c r="T18" s="1" t="s">
        <v>813</v>
      </c>
      <c r="U18" s="9" t="s">
        <v>832</v>
      </c>
      <c r="V18" s="1" t="s">
        <v>833</v>
      </c>
      <c r="W18" s="1" t="s">
        <v>936</v>
      </c>
      <c r="X18" s="1" t="s">
        <v>68</v>
      </c>
      <c r="Y18" s="14">
        <v>45171</v>
      </c>
      <c r="Z18" s="9" t="s">
        <v>817</v>
      </c>
      <c r="AB18" s="14">
        <v>42982</v>
      </c>
      <c r="AC18" s="9" t="s">
        <v>817</v>
      </c>
      <c r="AD18" s="9" t="s">
        <v>818</v>
      </c>
      <c r="AE18" s="1" t="s">
        <v>819</v>
      </c>
      <c r="AF18" s="14">
        <v>45839</v>
      </c>
      <c r="AG18" s="9" t="s">
        <v>835</v>
      </c>
      <c r="AH18" s="1" t="s">
        <v>17</v>
      </c>
      <c r="AI18" s="9" t="s">
        <v>23</v>
      </c>
      <c r="AJ18" s="1" t="s">
        <v>24</v>
      </c>
      <c r="AK18" s="1" t="s">
        <v>937</v>
      </c>
      <c r="AL18" s="1" t="s">
        <v>938</v>
      </c>
      <c r="AM18" s="9">
        <v>10113</v>
      </c>
      <c r="AN18" s="1" t="s">
        <v>69</v>
      </c>
      <c r="AO18" s="1" t="s">
        <v>70</v>
      </c>
      <c r="AP18" s="1" t="s">
        <v>939</v>
      </c>
      <c r="AQ18" s="14">
        <v>45658</v>
      </c>
      <c r="AU18" s="14">
        <v>45679</v>
      </c>
      <c r="AV18" s="16">
        <v>0</v>
      </c>
      <c r="AW18" s="16">
        <v>0</v>
      </c>
      <c r="BA18" s="1" t="s">
        <v>825</v>
      </c>
      <c r="BB18" s="9">
        <v>9</v>
      </c>
      <c r="BC18" s="1" t="s">
        <v>849</v>
      </c>
      <c r="BD18" s="9" t="s">
        <v>807</v>
      </c>
      <c r="BE18" s="1" t="s">
        <v>940</v>
      </c>
      <c r="BF18" s="1" t="s">
        <v>71</v>
      </c>
      <c r="BG18" s="1" t="s">
        <v>941</v>
      </c>
      <c r="BH18" s="1" t="s">
        <v>942</v>
      </c>
      <c r="BI18" s="20" t="s">
        <v>943</v>
      </c>
      <c r="BJ18" s="21" t="str">
        <f t="shared" si="0"/>
        <v>FIXO</v>
      </c>
    </row>
    <row r="19" spans="1:62" x14ac:dyDescent="0.25">
      <c r="A19" s="7">
        <v>2</v>
      </c>
      <c r="B19" s="1" t="s">
        <v>806</v>
      </c>
      <c r="C19" s="8">
        <v>3</v>
      </c>
      <c r="D19" s="9" t="s">
        <v>807</v>
      </c>
      <c r="E19" s="10">
        <v>7421</v>
      </c>
      <c r="F19" s="11" t="s">
        <v>944</v>
      </c>
      <c r="G19" s="12" t="s">
        <v>71</v>
      </c>
      <c r="H19" s="13" t="str">
        <f>VLOOKUP(AP19,[1]Listas!A:B,2,0)</f>
        <v xml:space="preserve">MTRZ </v>
      </c>
      <c r="I19" s="1" t="s">
        <v>67</v>
      </c>
      <c r="J19" s="12"/>
      <c r="K19" s="12"/>
      <c r="L19" s="12"/>
      <c r="M19" s="1" t="s">
        <v>72</v>
      </c>
      <c r="N19" s="14">
        <v>32804</v>
      </c>
      <c r="O19" s="1" t="s">
        <v>855</v>
      </c>
      <c r="P19" s="1" t="s">
        <v>856</v>
      </c>
      <c r="Q19" s="15" t="s">
        <v>807</v>
      </c>
      <c r="R19" s="1" t="s">
        <v>857</v>
      </c>
      <c r="S19" s="1" t="s">
        <v>807</v>
      </c>
      <c r="T19" s="1" t="s">
        <v>813</v>
      </c>
      <c r="U19" s="9" t="s">
        <v>832</v>
      </c>
      <c r="V19" s="1" t="s">
        <v>833</v>
      </c>
      <c r="W19" s="1" t="s">
        <v>945</v>
      </c>
      <c r="X19" s="1" t="s">
        <v>73</v>
      </c>
      <c r="Y19" s="14">
        <v>45205</v>
      </c>
      <c r="Z19" s="9" t="s">
        <v>817</v>
      </c>
      <c r="AB19" s="14">
        <v>43196</v>
      </c>
      <c r="AC19" s="9" t="s">
        <v>817</v>
      </c>
      <c r="AD19" s="9" t="s">
        <v>818</v>
      </c>
      <c r="AE19" s="1" t="s">
        <v>819</v>
      </c>
      <c r="AF19" s="14" t="s">
        <v>820</v>
      </c>
      <c r="AG19" s="9" t="s">
        <v>821</v>
      </c>
      <c r="AH19" s="1" t="s">
        <v>9</v>
      </c>
      <c r="AI19" s="9" t="s">
        <v>10</v>
      </c>
      <c r="AJ19" s="1" t="s">
        <v>11</v>
      </c>
      <c r="AK19" s="1" t="s">
        <v>946</v>
      </c>
      <c r="AL19" s="1" t="s">
        <v>947</v>
      </c>
      <c r="AM19" s="9">
        <v>10113</v>
      </c>
      <c r="AN19" s="1" t="s">
        <v>69</v>
      </c>
      <c r="AO19" s="1" t="s">
        <v>70</v>
      </c>
      <c r="AP19" s="1" t="s">
        <v>939</v>
      </c>
      <c r="AQ19" s="14">
        <v>45658</v>
      </c>
      <c r="AU19" s="14">
        <v>45799</v>
      </c>
      <c r="AV19" s="16">
        <v>0</v>
      </c>
      <c r="AW19" s="16">
        <v>0</v>
      </c>
      <c r="BA19" s="1" t="s">
        <v>825</v>
      </c>
      <c r="BB19" s="9">
        <v>2</v>
      </c>
      <c r="BC19" s="1" t="s">
        <v>900</v>
      </c>
      <c r="BD19" s="9" t="s">
        <v>807</v>
      </c>
      <c r="BE19" s="1" t="s">
        <v>948</v>
      </c>
      <c r="BF19" s="1" t="s">
        <v>67</v>
      </c>
      <c r="BG19" s="1" t="s">
        <v>937</v>
      </c>
      <c r="BH19" s="1" t="s">
        <v>938</v>
      </c>
      <c r="BI19" s="20" t="s">
        <v>949</v>
      </c>
      <c r="BJ19" s="21" t="str">
        <f t="shared" si="0"/>
        <v>FIXO</v>
      </c>
    </row>
    <row r="20" spans="1:62" x14ac:dyDescent="0.25">
      <c r="A20" s="7">
        <v>2</v>
      </c>
      <c r="B20" s="1" t="s">
        <v>806</v>
      </c>
      <c r="C20" s="8">
        <v>5</v>
      </c>
      <c r="D20" s="9" t="s">
        <v>807</v>
      </c>
      <c r="E20" s="10">
        <v>7532</v>
      </c>
      <c r="F20" s="11" t="s">
        <v>950</v>
      </c>
      <c r="G20" s="1" t="s">
        <v>41</v>
      </c>
      <c r="H20" s="13" t="str">
        <f>VLOOKUP(AP20,[1]Listas!A:B,2,0)</f>
        <v xml:space="preserve">FESP </v>
      </c>
      <c r="I20" s="12" t="s">
        <v>38</v>
      </c>
      <c r="J20" s="12"/>
      <c r="K20" s="1" t="s">
        <v>32</v>
      </c>
      <c r="L20" s="1" t="s">
        <v>54</v>
      </c>
      <c r="M20" s="1" t="s">
        <v>74</v>
      </c>
      <c r="N20" s="14">
        <v>36185</v>
      </c>
      <c r="O20" s="1" t="s">
        <v>855</v>
      </c>
      <c r="P20" s="1" t="s">
        <v>856</v>
      </c>
      <c r="Q20" s="15" t="s">
        <v>807</v>
      </c>
      <c r="R20" s="1" t="s">
        <v>857</v>
      </c>
      <c r="S20" s="1" t="s">
        <v>868</v>
      </c>
      <c r="T20" s="1" t="s">
        <v>869</v>
      </c>
      <c r="U20" s="9" t="s">
        <v>951</v>
      </c>
      <c r="V20" s="1" t="s">
        <v>952</v>
      </c>
      <c r="W20" s="1" t="s">
        <v>871</v>
      </c>
      <c r="X20" s="1" t="s">
        <v>34</v>
      </c>
      <c r="Y20" s="14">
        <v>45056</v>
      </c>
      <c r="Z20" s="9" t="s">
        <v>817</v>
      </c>
      <c r="AB20" s="14">
        <v>45055</v>
      </c>
      <c r="AC20" s="9" t="s">
        <v>817</v>
      </c>
      <c r="AD20" s="9" t="s">
        <v>818</v>
      </c>
      <c r="AE20" s="1" t="s">
        <v>819</v>
      </c>
      <c r="AF20" s="14" t="s">
        <v>820</v>
      </c>
      <c r="AG20" s="9" t="s">
        <v>821</v>
      </c>
      <c r="AH20" s="1" t="s">
        <v>9</v>
      </c>
      <c r="AI20" s="9" t="s">
        <v>10</v>
      </c>
      <c r="AJ20" s="1" t="s">
        <v>11</v>
      </c>
      <c r="AK20" s="1" t="s">
        <v>918</v>
      </c>
      <c r="AL20" s="1" t="s">
        <v>919</v>
      </c>
      <c r="AM20" s="9">
        <v>11377</v>
      </c>
      <c r="AN20" s="1" t="s">
        <v>56</v>
      </c>
      <c r="AO20" s="1" t="s">
        <v>36</v>
      </c>
      <c r="AP20" s="1" t="s">
        <v>874</v>
      </c>
      <c r="AQ20" s="14">
        <v>45658</v>
      </c>
      <c r="AU20" s="14">
        <v>45778</v>
      </c>
      <c r="AV20" s="16">
        <v>0</v>
      </c>
      <c r="AW20" s="16">
        <v>0</v>
      </c>
      <c r="BA20" s="1" t="s">
        <v>911</v>
      </c>
      <c r="BB20" s="9">
        <v>1</v>
      </c>
      <c r="BC20" s="1" t="s">
        <v>862</v>
      </c>
      <c r="BD20" s="9" t="s">
        <v>807</v>
      </c>
      <c r="BE20" s="1" t="s">
        <v>863</v>
      </c>
      <c r="BF20" s="1" t="s">
        <v>32</v>
      </c>
      <c r="BG20" s="1" t="s">
        <v>864</v>
      </c>
      <c r="BH20" s="1" t="s">
        <v>865</v>
      </c>
      <c r="BI20" s="1" t="s">
        <v>916</v>
      </c>
      <c r="BJ20" s="21" t="str">
        <f t="shared" si="0"/>
        <v>FIXO</v>
      </c>
    </row>
    <row r="21" spans="1:62" x14ac:dyDescent="0.25">
      <c r="A21" s="7">
        <v>2</v>
      </c>
      <c r="B21" s="1" t="s">
        <v>806</v>
      </c>
      <c r="C21" s="8">
        <v>5</v>
      </c>
      <c r="D21" s="9" t="s">
        <v>807</v>
      </c>
      <c r="E21" s="10">
        <v>7842</v>
      </c>
      <c r="F21" s="11" t="s">
        <v>953</v>
      </c>
      <c r="G21" s="1" t="s">
        <v>41</v>
      </c>
      <c r="H21" s="13" t="str">
        <f>VLOOKUP(AP21,[1]Listas!A:B,2,0)</f>
        <v xml:space="preserve">FESP </v>
      </c>
      <c r="I21" s="12" t="s">
        <v>38</v>
      </c>
      <c r="J21" s="12"/>
      <c r="K21" s="1" t="s">
        <v>32</v>
      </c>
      <c r="L21" s="1" t="s">
        <v>28</v>
      </c>
      <c r="M21" s="1" t="s">
        <v>75</v>
      </c>
      <c r="N21" s="14">
        <v>34396</v>
      </c>
      <c r="O21" s="1" t="s">
        <v>855</v>
      </c>
      <c r="P21" s="1" t="s">
        <v>856</v>
      </c>
      <c r="Q21" s="15" t="s">
        <v>807</v>
      </c>
      <c r="R21" s="1" t="s">
        <v>857</v>
      </c>
      <c r="S21" s="1" t="s">
        <v>868</v>
      </c>
      <c r="T21" s="1" t="s">
        <v>869</v>
      </c>
      <c r="U21" s="9" t="s">
        <v>814</v>
      </c>
      <c r="V21" s="1" t="s">
        <v>815</v>
      </c>
      <c r="W21" s="1" t="s">
        <v>871</v>
      </c>
      <c r="X21" s="1" t="s">
        <v>34</v>
      </c>
      <c r="Y21" s="14">
        <v>45538</v>
      </c>
      <c r="Z21" s="9" t="s">
        <v>817</v>
      </c>
      <c r="AB21" s="14">
        <v>43272</v>
      </c>
      <c r="AC21" s="9" t="s">
        <v>817</v>
      </c>
      <c r="AD21" s="9" t="s">
        <v>818</v>
      </c>
      <c r="AE21" s="1" t="s">
        <v>819</v>
      </c>
      <c r="AF21" s="14" t="s">
        <v>820</v>
      </c>
      <c r="AG21" s="9" t="s">
        <v>835</v>
      </c>
      <c r="AH21" s="1" t="s">
        <v>17</v>
      </c>
      <c r="AI21" s="9" t="s">
        <v>10</v>
      </c>
      <c r="AJ21" s="1" t="s">
        <v>11</v>
      </c>
      <c r="AK21" s="1" t="s">
        <v>921</v>
      </c>
      <c r="AL21" s="1" t="s">
        <v>922</v>
      </c>
      <c r="AM21" s="9">
        <v>11382</v>
      </c>
      <c r="AN21" s="1" t="s">
        <v>58</v>
      </c>
      <c r="AO21" s="1" t="s">
        <v>36</v>
      </c>
      <c r="AP21" s="1" t="s">
        <v>874</v>
      </c>
      <c r="AQ21" s="14">
        <v>45658</v>
      </c>
      <c r="AU21" s="14">
        <v>45798</v>
      </c>
      <c r="AV21" s="16">
        <v>0</v>
      </c>
      <c r="AW21" s="16">
        <v>0</v>
      </c>
      <c r="BA21" s="1" t="s">
        <v>825</v>
      </c>
      <c r="BB21" s="9">
        <v>7</v>
      </c>
      <c r="BC21" s="1" t="s">
        <v>826</v>
      </c>
      <c r="BD21" s="9" t="s">
        <v>807</v>
      </c>
      <c r="BE21" s="1" t="s">
        <v>863</v>
      </c>
      <c r="BF21" s="1" t="s">
        <v>32</v>
      </c>
      <c r="BG21" s="1" t="s">
        <v>864</v>
      </c>
      <c r="BH21" s="1" t="s">
        <v>865</v>
      </c>
      <c r="BI21" s="1" t="s">
        <v>866</v>
      </c>
      <c r="BJ21" s="21" t="str">
        <f t="shared" si="0"/>
        <v>FIXO</v>
      </c>
    </row>
    <row r="22" spans="1:62" x14ac:dyDescent="0.25">
      <c r="A22" s="7">
        <v>2</v>
      </c>
      <c r="B22" s="1" t="s">
        <v>806</v>
      </c>
      <c r="C22" s="8">
        <v>5</v>
      </c>
      <c r="D22" s="9" t="s">
        <v>807</v>
      </c>
      <c r="E22" s="10">
        <v>8113</v>
      </c>
      <c r="F22" s="11" t="s">
        <v>954</v>
      </c>
      <c r="G22" s="1" t="s">
        <v>41</v>
      </c>
      <c r="H22" s="13" t="str">
        <f>VLOOKUP(AP22,[1]Listas!A:B,2,0)</f>
        <v xml:space="preserve">FESP </v>
      </c>
      <c r="I22" s="1" t="s">
        <v>38</v>
      </c>
      <c r="J22" s="1" t="s">
        <v>37</v>
      </c>
      <c r="K22" s="12" t="s">
        <v>207</v>
      </c>
      <c r="L22" s="1"/>
      <c r="M22" s="1" t="s">
        <v>76</v>
      </c>
      <c r="N22" s="14">
        <v>32368</v>
      </c>
      <c r="O22" s="1" t="s">
        <v>855</v>
      </c>
      <c r="P22" s="1" t="s">
        <v>856</v>
      </c>
      <c r="Q22" s="15" t="s">
        <v>807</v>
      </c>
      <c r="R22" s="1" t="s">
        <v>857</v>
      </c>
      <c r="S22" s="1" t="s">
        <v>868</v>
      </c>
      <c r="T22" s="1" t="s">
        <v>869</v>
      </c>
      <c r="U22" s="9" t="s">
        <v>832</v>
      </c>
      <c r="V22" s="1" t="s">
        <v>833</v>
      </c>
      <c r="W22" s="1" t="s">
        <v>955</v>
      </c>
      <c r="X22" s="1" t="s">
        <v>77</v>
      </c>
      <c r="Y22" s="14">
        <v>44582</v>
      </c>
      <c r="Z22" s="9" t="s">
        <v>817</v>
      </c>
      <c r="AB22" s="14">
        <v>43313</v>
      </c>
      <c r="AC22" s="9" t="s">
        <v>817</v>
      </c>
      <c r="AD22" s="9" t="s">
        <v>818</v>
      </c>
      <c r="AE22" s="1" t="s">
        <v>819</v>
      </c>
      <c r="AF22" s="14" t="s">
        <v>820</v>
      </c>
      <c r="AG22" s="9" t="s">
        <v>835</v>
      </c>
      <c r="AH22" s="1" t="s">
        <v>17</v>
      </c>
      <c r="AI22" s="9" t="s">
        <v>10</v>
      </c>
      <c r="AJ22" s="1" t="s">
        <v>11</v>
      </c>
      <c r="AK22" s="1" t="s">
        <v>956</v>
      </c>
      <c r="AL22" s="1" t="s">
        <v>957</v>
      </c>
      <c r="AM22" s="9">
        <v>11351</v>
      </c>
      <c r="AN22" s="1" t="s">
        <v>78</v>
      </c>
      <c r="AO22" s="1" t="s">
        <v>36</v>
      </c>
      <c r="AP22" s="1" t="s">
        <v>874</v>
      </c>
      <c r="AQ22" s="14">
        <v>45658</v>
      </c>
      <c r="AU22" s="14">
        <v>45799</v>
      </c>
      <c r="AV22" s="16">
        <v>30</v>
      </c>
      <c r="AW22" s="16">
        <v>0</v>
      </c>
      <c r="BA22" s="1" t="s">
        <v>825</v>
      </c>
      <c r="BB22" s="9">
        <v>1</v>
      </c>
      <c r="BC22" s="1" t="s">
        <v>862</v>
      </c>
      <c r="BD22" s="9" t="s">
        <v>807</v>
      </c>
      <c r="BE22" s="1" t="s">
        <v>875</v>
      </c>
      <c r="BF22" s="1" t="s">
        <v>37</v>
      </c>
      <c r="BG22" s="1" t="s">
        <v>876</v>
      </c>
      <c r="BH22" s="1" t="s">
        <v>877</v>
      </c>
      <c r="BI22" s="1" t="s">
        <v>878</v>
      </c>
      <c r="BJ22" s="21" t="str">
        <f t="shared" si="0"/>
        <v>FIXO</v>
      </c>
    </row>
    <row r="23" spans="1:62" x14ac:dyDescent="0.25">
      <c r="A23" s="7">
        <v>2</v>
      </c>
      <c r="B23" s="1" t="s">
        <v>806</v>
      </c>
      <c r="C23" s="8">
        <v>5</v>
      </c>
      <c r="D23" s="9" t="s">
        <v>807</v>
      </c>
      <c r="E23" s="10">
        <v>8859</v>
      </c>
      <c r="F23" s="11" t="s">
        <v>958</v>
      </c>
      <c r="G23" s="1" t="s">
        <v>41</v>
      </c>
      <c r="H23" s="13" t="str">
        <f>VLOOKUP(AP23,[1]Listas!A:B,2,0)</f>
        <v xml:space="preserve">FESP </v>
      </c>
      <c r="I23" s="12" t="s">
        <v>38</v>
      </c>
      <c r="J23" s="12"/>
      <c r="K23" s="1" t="s">
        <v>32</v>
      </c>
      <c r="L23" s="1"/>
      <c r="M23" s="1" t="s">
        <v>79</v>
      </c>
      <c r="N23" s="14">
        <v>33979</v>
      </c>
      <c r="O23" s="1" t="s">
        <v>855</v>
      </c>
      <c r="P23" s="1" t="s">
        <v>856</v>
      </c>
      <c r="Q23" s="15" t="s">
        <v>807</v>
      </c>
      <c r="R23" s="1" t="s">
        <v>857</v>
      </c>
      <c r="S23" s="1" t="s">
        <v>868</v>
      </c>
      <c r="T23" s="1" t="s">
        <v>869</v>
      </c>
      <c r="U23" s="9" t="s">
        <v>814</v>
      </c>
      <c r="V23" s="1" t="s">
        <v>815</v>
      </c>
      <c r="W23" s="1" t="s">
        <v>858</v>
      </c>
      <c r="X23" s="1" t="s">
        <v>29</v>
      </c>
      <c r="Y23" s="14">
        <v>45538</v>
      </c>
      <c r="Z23" s="9" t="s">
        <v>817</v>
      </c>
      <c r="AB23" s="14">
        <v>43467</v>
      </c>
      <c r="AC23" s="9" t="s">
        <v>817</v>
      </c>
      <c r="AD23" s="9" t="s">
        <v>818</v>
      </c>
      <c r="AE23" s="1" t="s">
        <v>819</v>
      </c>
      <c r="AF23" s="14" t="s">
        <v>820</v>
      </c>
      <c r="AG23" s="9" t="s">
        <v>835</v>
      </c>
      <c r="AH23" s="1" t="s">
        <v>17</v>
      </c>
      <c r="AI23" s="9" t="s">
        <v>10</v>
      </c>
      <c r="AJ23" s="1" t="s">
        <v>11</v>
      </c>
      <c r="AK23" s="1" t="s">
        <v>959</v>
      </c>
      <c r="AL23" s="1" t="s">
        <v>960</v>
      </c>
      <c r="AM23" s="9">
        <v>11374</v>
      </c>
      <c r="AN23" s="1" t="s">
        <v>80</v>
      </c>
      <c r="AO23" s="1" t="s">
        <v>31</v>
      </c>
      <c r="AP23" s="1" t="s">
        <v>861</v>
      </c>
      <c r="AQ23" s="14">
        <v>45658</v>
      </c>
      <c r="AU23" s="14">
        <v>45798</v>
      </c>
      <c r="AV23" s="16">
        <v>0</v>
      </c>
      <c r="AW23" s="16">
        <v>0</v>
      </c>
      <c r="BA23" s="1" t="s">
        <v>825</v>
      </c>
      <c r="BB23" s="9">
        <v>1</v>
      </c>
      <c r="BC23" s="1" t="s">
        <v>862</v>
      </c>
      <c r="BD23" s="9" t="s">
        <v>807</v>
      </c>
      <c r="BE23" s="1" t="s">
        <v>863</v>
      </c>
      <c r="BF23" s="1" t="s">
        <v>32</v>
      </c>
      <c r="BG23" s="1" t="s">
        <v>864</v>
      </c>
      <c r="BH23" s="1" t="s">
        <v>865</v>
      </c>
      <c r="BI23" s="1" t="s">
        <v>916</v>
      </c>
      <c r="BJ23" s="21" t="str">
        <f t="shared" si="0"/>
        <v>FIXO</v>
      </c>
    </row>
    <row r="24" spans="1:62" x14ac:dyDescent="0.25">
      <c r="A24" s="7">
        <v>2</v>
      </c>
      <c r="B24" s="1" t="s">
        <v>806</v>
      </c>
      <c r="C24" s="8">
        <v>3</v>
      </c>
      <c r="D24" s="9" t="s">
        <v>807</v>
      </c>
      <c r="E24" s="10">
        <v>8873</v>
      </c>
      <c r="F24" s="11" t="s">
        <v>961</v>
      </c>
      <c r="G24" s="12" t="s">
        <v>71</v>
      </c>
      <c r="H24" s="13" t="str">
        <f>VLOOKUP(AP24,[1]Listas!A:B,2,0)</f>
        <v xml:space="preserve">MTRZ </v>
      </c>
      <c r="I24" s="12"/>
      <c r="J24" s="12"/>
      <c r="K24" s="12"/>
      <c r="L24" s="12"/>
      <c r="M24" s="1" t="s">
        <v>81</v>
      </c>
      <c r="N24" s="14">
        <v>32064</v>
      </c>
      <c r="O24" s="1" t="s">
        <v>809</v>
      </c>
      <c r="P24" s="1" t="s">
        <v>810</v>
      </c>
      <c r="Q24" s="15" t="s">
        <v>807</v>
      </c>
      <c r="R24" s="1" t="s">
        <v>857</v>
      </c>
      <c r="S24" s="1" t="s">
        <v>807</v>
      </c>
      <c r="T24" s="1" t="s">
        <v>813</v>
      </c>
      <c r="U24" s="9" t="s">
        <v>832</v>
      </c>
      <c r="V24" s="1" t="s">
        <v>833</v>
      </c>
      <c r="W24" s="1" t="s">
        <v>962</v>
      </c>
      <c r="X24" s="1" t="s">
        <v>82</v>
      </c>
      <c r="Y24" s="14">
        <v>45069</v>
      </c>
      <c r="Z24" s="9" t="s">
        <v>817</v>
      </c>
      <c r="AB24" s="14">
        <v>44593</v>
      </c>
      <c r="AC24" s="9" t="s">
        <v>817</v>
      </c>
      <c r="AD24" s="9" t="s">
        <v>818</v>
      </c>
      <c r="AE24" s="1" t="s">
        <v>819</v>
      </c>
      <c r="AF24" s="14" t="s">
        <v>820</v>
      </c>
      <c r="AG24" s="9" t="s">
        <v>821</v>
      </c>
      <c r="AH24" s="1" t="s">
        <v>9</v>
      </c>
      <c r="AI24" s="9" t="s">
        <v>10</v>
      </c>
      <c r="AJ24" s="1" t="s">
        <v>11</v>
      </c>
      <c r="AK24" s="1" t="s">
        <v>963</v>
      </c>
      <c r="AL24" s="1" t="s">
        <v>964</v>
      </c>
      <c r="AM24" s="9">
        <v>10101</v>
      </c>
      <c r="AN24" s="1" t="s">
        <v>83</v>
      </c>
      <c r="AO24" s="1" t="s">
        <v>84</v>
      </c>
      <c r="AP24" s="1" t="s">
        <v>965</v>
      </c>
      <c r="AQ24" s="14">
        <v>45658</v>
      </c>
      <c r="AU24" s="14">
        <v>45799</v>
      </c>
      <c r="AV24" s="16">
        <v>0</v>
      </c>
      <c r="AW24" s="16">
        <v>0</v>
      </c>
      <c r="BA24" s="1" t="s">
        <v>825</v>
      </c>
      <c r="BB24" s="9">
        <v>10</v>
      </c>
      <c r="BC24" s="1" t="s">
        <v>839</v>
      </c>
      <c r="BD24" s="9" t="s">
        <v>807</v>
      </c>
      <c r="BE24" s="1" t="s">
        <v>940</v>
      </c>
      <c r="BF24" s="1" t="s">
        <v>71</v>
      </c>
      <c r="BG24" s="1" t="s">
        <v>941</v>
      </c>
      <c r="BH24" s="1" t="s">
        <v>942</v>
      </c>
      <c r="BI24" s="20" t="s">
        <v>966</v>
      </c>
      <c r="BJ24" s="21" t="str">
        <f t="shared" si="0"/>
        <v>FIXO</v>
      </c>
    </row>
    <row r="25" spans="1:62" x14ac:dyDescent="0.25">
      <c r="A25" s="7">
        <v>2</v>
      </c>
      <c r="B25" s="1" t="s">
        <v>806</v>
      </c>
      <c r="C25" s="8">
        <v>3</v>
      </c>
      <c r="D25" s="9" t="s">
        <v>807</v>
      </c>
      <c r="E25" s="10">
        <v>9533</v>
      </c>
      <c r="F25" s="11" t="s">
        <v>967</v>
      </c>
      <c r="G25" s="12" t="s">
        <v>71</v>
      </c>
      <c r="H25" s="13" t="str">
        <f>VLOOKUP(AP25,[1]Listas!A:B,2,0)</f>
        <v xml:space="preserve">MTRZ </v>
      </c>
      <c r="I25" s="1" t="s">
        <v>27</v>
      </c>
      <c r="J25" s="12"/>
      <c r="K25" s="12"/>
      <c r="L25" s="12"/>
      <c r="M25" s="1" t="s">
        <v>27</v>
      </c>
      <c r="N25" s="14">
        <v>31264</v>
      </c>
      <c r="O25" s="1" t="s">
        <v>855</v>
      </c>
      <c r="P25" s="1" t="s">
        <v>856</v>
      </c>
      <c r="Q25" s="15" t="s">
        <v>807</v>
      </c>
      <c r="R25" s="1" t="s">
        <v>857</v>
      </c>
      <c r="S25" s="1" t="s">
        <v>807</v>
      </c>
      <c r="T25" s="1" t="s">
        <v>813</v>
      </c>
      <c r="U25" s="9" t="s">
        <v>832</v>
      </c>
      <c r="V25" s="1" t="s">
        <v>833</v>
      </c>
      <c r="W25" s="1" t="s">
        <v>968</v>
      </c>
      <c r="X25" s="1" t="s">
        <v>969</v>
      </c>
      <c r="Y25" s="14">
        <v>45518</v>
      </c>
      <c r="Z25" s="9" t="s">
        <v>817</v>
      </c>
      <c r="AB25" s="14">
        <v>43577</v>
      </c>
      <c r="AC25" s="9" t="s">
        <v>817</v>
      </c>
      <c r="AD25" s="9" t="s">
        <v>818</v>
      </c>
      <c r="AE25" s="1" t="s">
        <v>819</v>
      </c>
      <c r="AF25" s="14" t="s">
        <v>820</v>
      </c>
      <c r="AG25" s="9" t="s">
        <v>835</v>
      </c>
      <c r="AH25" s="1" t="s">
        <v>17</v>
      </c>
      <c r="AI25" s="9" t="s">
        <v>10</v>
      </c>
      <c r="AJ25" s="1" t="s">
        <v>11</v>
      </c>
      <c r="AK25" s="1" t="s">
        <v>851</v>
      </c>
      <c r="AL25" s="1" t="s">
        <v>852</v>
      </c>
      <c r="AM25" s="9">
        <v>10126</v>
      </c>
      <c r="AN25" s="1" t="s">
        <v>86</v>
      </c>
      <c r="AO25" s="1" t="s">
        <v>87</v>
      </c>
      <c r="AP25" s="1" t="s">
        <v>970</v>
      </c>
      <c r="AQ25" s="14">
        <v>45778</v>
      </c>
      <c r="AU25" s="14">
        <v>45679</v>
      </c>
      <c r="AV25" s="16">
        <v>0</v>
      </c>
      <c r="AW25" s="16">
        <v>0</v>
      </c>
      <c r="BA25" s="1" t="s">
        <v>825</v>
      </c>
      <c r="BB25" s="9">
        <v>1</v>
      </c>
      <c r="BC25" s="1" t="s">
        <v>862</v>
      </c>
      <c r="BD25" s="9" t="s">
        <v>807</v>
      </c>
      <c r="BE25" s="1" t="s">
        <v>940</v>
      </c>
      <c r="BF25" s="1" t="s">
        <v>71</v>
      </c>
      <c r="BG25" s="1" t="s">
        <v>941</v>
      </c>
      <c r="BH25" s="1" t="s">
        <v>942</v>
      </c>
      <c r="BI25" s="20" t="s">
        <v>971</v>
      </c>
      <c r="BJ25" s="21" t="str">
        <f t="shared" si="0"/>
        <v>FIXO</v>
      </c>
    </row>
    <row r="26" spans="1:62" x14ac:dyDescent="0.25">
      <c r="A26" s="7">
        <v>2</v>
      </c>
      <c r="B26" s="1" t="s">
        <v>806</v>
      </c>
      <c r="C26" s="8">
        <v>5</v>
      </c>
      <c r="D26" s="9" t="s">
        <v>807</v>
      </c>
      <c r="E26" s="10">
        <v>10007</v>
      </c>
      <c r="F26" s="11" t="s">
        <v>972</v>
      </c>
      <c r="G26" s="12" t="s">
        <v>71</v>
      </c>
      <c r="H26" s="13" t="str">
        <f>VLOOKUP(AP26,[1]Listas!A:B,2,0)</f>
        <v xml:space="preserve">ECFO </v>
      </c>
      <c r="I26" s="12" t="s">
        <v>67</v>
      </c>
      <c r="J26" s="12"/>
      <c r="K26" s="12"/>
      <c r="L26" s="12"/>
      <c r="M26" s="1" t="s">
        <v>88</v>
      </c>
      <c r="N26" s="14">
        <v>35401</v>
      </c>
      <c r="O26" s="1" t="s">
        <v>809</v>
      </c>
      <c r="P26" s="1" t="s">
        <v>810</v>
      </c>
      <c r="Q26" s="15" t="s">
        <v>811</v>
      </c>
      <c r="R26" s="1" t="s">
        <v>812</v>
      </c>
      <c r="S26" s="1" t="s">
        <v>807</v>
      </c>
      <c r="T26" s="1" t="s">
        <v>813</v>
      </c>
      <c r="U26" s="9" t="s">
        <v>814</v>
      </c>
      <c r="V26" s="1" t="s">
        <v>815</v>
      </c>
      <c r="W26" s="1" t="s">
        <v>973</v>
      </c>
      <c r="X26" s="1" t="s">
        <v>89</v>
      </c>
      <c r="Y26" s="14">
        <v>45262</v>
      </c>
      <c r="Z26" s="9" t="s">
        <v>817</v>
      </c>
      <c r="AB26" s="14">
        <v>43668</v>
      </c>
      <c r="AC26" s="9" t="s">
        <v>817</v>
      </c>
      <c r="AD26" s="9" t="s">
        <v>818</v>
      </c>
      <c r="AE26" s="1" t="s">
        <v>819</v>
      </c>
      <c r="AF26" s="14" t="s">
        <v>820</v>
      </c>
      <c r="AG26" s="9" t="s">
        <v>835</v>
      </c>
      <c r="AH26" s="1" t="s">
        <v>17</v>
      </c>
      <c r="AI26" s="9" t="s">
        <v>10</v>
      </c>
      <c r="AJ26" s="1" t="s">
        <v>11</v>
      </c>
      <c r="AK26" s="1" t="s">
        <v>974</v>
      </c>
      <c r="AL26" s="1" t="s">
        <v>975</v>
      </c>
      <c r="AM26" s="9">
        <v>10213</v>
      </c>
      <c r="AN26" s="1" t="s">
        <v>69</v>
      </c>
      <c r="AO26" s="1" t="s">
        <v>90</v>
      </c>
      <c r="AP26" s="1" t="s">
        <v>976</v>
      </c>
      <c r="AQ26" s="14">
        <v>45658</v>
      </c>
      <c r="AU26" s="14">
        <v>45799</v>
      </c>
      <c r="AV26" s="16">
        <v>0</v>
      </c>
      <c r="AW26" s="16">
        <v>0</v>
      </c>
      <c r="BA26" s="1" t="s">
        <v>825</v>
      </c>
      <c r="BB26" s="9">
        <v>9</v>
      </c>
      <c r="BC26" s="1" t="s">
        <v>849</v>
      </c>
      <c r="BD26" s="9" t="s">
        <v>807</v>
      </c>
      <c r="BE26" s="1" t="s">
        <v>977</v>
      </c>
      <c r="BF26" s="1" t="s">
        <v>72</v>
      </c>
      <c r="BG26" s="1" t="s">
        <v>946</v>
      </c>
      <c r="BH26" s="1" t="s">
        <v>947</v>
      </c>
      <c r="BI26" s="20" t="s">
        <v>949</v>
      </c>
      <c r="BJ26" s="21" t="str">
        <f t="shared" si="0"/>
        <v>FIXO</v>
      </c>
    </row>
    <row r="27" spans="1:62" x14ac:dyDescent="0.25">
      <c r="A27" s="7">
        <v>2</v>
      </c>
      <c r="B27" s="1" t="s">
        <v>806</v>
      </c>
      <c r="C27" s="8">
        <v>5</v>
      </c>
      <c r="D27" s="9" t="s">
        <v>807</v>
      </c>
      <c r="E27" s="10">
        <v>10438</v>
      </c>
      <c r="F27" s="11" t="s">
        <v>978</v>
      </c>
      <c r="G27" s="1" t="s">
        <v>41</v>
      </c>
      <c r="H27" s="13" t="str">
        <f>VLOOKUP(AP27,[1]Listas!A:B,2,0)</f>
        <v xml:space="preserve">FESP </v>
      </c>
      <c r="I27" s="1" t="s">
        <v>38</v>
      </c>
      <c r="J27" s="12"/>
      <c r="K27" s="12"/>
      <c r="L27" s="1" t="s">
        <v>38</v>
      </c>
      <c r="M27" s="1" t="s">
        <v>91</v>
      </c>
      <c r="N27" s="14">
        <v>30310</v>
      </c>
      <c r="O27" s="1" t="s">
        <v>855</v>
      </c>
      <c r="P27" s="1" t="s">
        <v>856</v>
      </c>
      <c r="Q27" s="15" t="s">
        <v>807</v>
      </c>
      <c r="R27" s="1" t="s">
        <v>857</v>
      </c>
      <c r="S27" s="1" t="s">
        <v>868</v>
      </c>
      <c r="T27" s="1" t="s">
        <v>869</v>
      </c>
      <c r="U27" s="9" t="s">
        <v>814</v>
      </c>
      <c r="V27" s="1" t="s">
        <v>815</v>
      </c>
      <c r="W27" s="1" t="s">
        <v>979</v>
      </c>
      <c r="X27" s="1" t="s">
        <v>92</v>
      </c>
      <c r="Y27" s="14">
        <v>45329</v>
      </c>
      <c r="Z27" s="9" t="s">
        <v>817</v>
      </c>
      <c r="AB27" s="14">
        <v>45328</v>
      </c>
      <c r="AC27" s="9" t="s">
        <v>817</v>
      </c>
      <c r="AD27" s="9" t="s">
        <v>818</v>
      </c>
      <c r="AE27" s="1" t="s">
        <v>819</v>
      </c>
      <c r="AF27" s="14" t="s">
        <v>820</v>
      </c>
      <c r="AG27" s="9" t="s">
        <v>821</v>
      </c>
      <c r="AH27" s="1" t="s">
        <v>9</v>
      </c>
      <c r="AI27" s="9" t="s">
        <v>10</v>
      </c>
      <c r="AJ27" s="1" t="s">
        <v>11</v>
      </c>
      <c r="AK27" s="1" t="s">
        <v>980</v>
      </c>
      <c r="AL27" s="1" t="s">
        <v>981</v>
      </c>
      <c r="AM27" s="9">
        <v>11387</v>
      </c>
      <c r="AN27" s="1" t="s">
        <v>93</v>
      </c>
      <c r="AO27" s="1" t="s">
        <v>94</v>
      </c>
      <c r="AP27" s="1" t="s">
        <v>982</v>
      </c>
      <c r="AQ27" s="14">
        <v>45778</v>
      </c>
      <c r="AU27" s="14">
        <v>45799</v>
      </c>
      <c r="AV27" s="16">
        <v>0</v>
      </c>
      <c r="AW27" s="16">
        <v>0</v>
      </c>
      <c r="BA27" s="1" t="s">
        <v>825</v>
      </c>
      <c r="BB27" s="9">
        <v>1</v>
      </c>
      <c r="BC27" s="1" t="s">
        <v>862</v>
      </c>
      <c r="BD27" s="9" t="s">
        <v>807</v>
      </c>
      <c r="BE27" s="1" t="s">
        <v>893</v>
      </c>
      <c r="BF27" s="1" t="s">
        <v>38</v>
      </c>
      <c r="BG27" s="1" t="s">
        <v>883</v>
      </c>
      <c r="BH27" s="1" t="s">
        <v>884</v>
      </c>
      <c r="BI27" s="20" t="s">
        <v>983</v>
      </c>
      <c r="BJ27" s="21" t="str">
        <f t="shared" si="0"/>
        <v>FIXO</v>
      </c>
    </row>
    <row r="28" spans="1:62" x14ac:dyDescent="0.25">
      <c r="A28" s="7">
        <v>2</v>
      </c>
      <c r="B28" s="1" t="s">
        <v>806</v>
      </c>
      <c r="C28" s="8">
        <v>5</v>
      </c>
      <c r="D28" s="9" t="s">
        <v>807</v>
      </c>
      <c r="E28" s="10">
        <v>10501</v>
      </c>
      <c r="F28" s="11" t="s">
        <v>984</v>
      </c>
      <c r="G28" s="1" t="s">
        <v>71</v>
      </c>
      <c r="H28" s="22" t="str">
        <f>VLOOKUP(AP28,[1]Listas!A:B,2,0)</f>
        <v xml:space="preserve">FESP </v>
      </c>
      <c r="I28" s="12" t="s">
        <v>14</v>
      </c>
      <c r="J28" s="12"/>
      <c r="K28" s="12"/>
      <c r="L28" s="12"/>
      <c r="M28" s="1" t="s">
        <v>95</v>
      </c>
      <c r="N28" s="14">
        <v>34359</v>
      </c>
      <c r="O28" s="1" t="s">
        <v>855</v>
      </c>
      <c r="P28" s="1" t="s">
        <v>856</v>
      </c>
      <c r="Q28" s="15" t="s">
        <v>807</v>
      </c>
      <c r="R28" s="1" t="s">
        <v>857</v>
      </c>
      <c r="S28" s="1" t="s">
        <v>807</v>
      </c>
      <c r="T28" s="1" t="s">
        <v>813</v>
      </c>
      <c r="U28" s="9" t="s">
        <v>832</v>
      </c>
      <c r="V28" s="1" t="s">
        <v>833</v>
      </c>
      <c r="W28" s="1" t="s">
        <v>816</v>
      </c>
      <c r="X28" s="1" t="s">
        <v>8</v>
      </c>
      <c r="Y28" s="14">
        <v>44583</v>
      </c>
      <c r="Z28" s="9" t="s">
        <v>817</v>
      </c>
      <c r="AB28" s="14">
        <v>43788</v>
      </c>
      <c r="AC28" s="9" t="s">
        <v>817</v>
      </c>
      <c r="AD28" s="9" t="s">
        <v>818</v>
      </c>
      <c r="AE28" s="1" t="s">
        <v>819</v>
      </c>
      <c r="AF28" s="14" t="s">
        <v>820</v>
      </c>
      <c r="AG28" s="9" t="s">
        <v>835</v>
      </c>
      <c r="AH28" s="1" t="s">
        <v>17</v>
      </c>
      <c r="AI28" s="9" t="s">
        <v>10</v>
      </c>
      <c r="AJ28" s="1" t="s">
        <v>11</v>
      </c>
      <c r="AK28" s="1" t="s">
        <v>985</v>
      </c>
      <c r="AL28" s="1" t="s">
        <v>986</v>
      </c>
      <c r="AM28" s="9">
        <v>11367</v>
      </c>
      <c r="AN28" s="1" t="s">
        <v>12</v>
      </c>
      <c r="AO28" s="1" t="s">
        <v>96</v>
      </c>
      <c r="AP28" s="1" t="s">
        <v>987</v>
      </c>
      <c r="AQ28" s="14">
        <v>45658</v>
      </c>
      <c r="AU28" s="14">
        <v>45799</v>
      </c>
      <c r="AV28" s="16">
        <v>0</v>
      </c>
      <c r="AW28" s="16">
        <v>0</v>
      </c>
      <c r="BA28" s="1" t="s">
        <v>825</v>
      </c>
      <c r="BB28" s="9">
        <v>1</v>
      </c>
      <c r="BC28" s="1" t="s">
        <v>862</v>
      </c>
      <c r="BD28" s="9" t="s">
        <v>807</v>
      </c>
      <c r="BE28" s="1" t="s">
        <v>827</v>
      </c>
      <c r="BF28" s="1" t="s">
        <v>14</v>
      </c>
      <c r="BG28" s="1" t="s">
        <v>828</v>
      </c>
      <c r="BH28" s="1" t="s">
        <v>829</v>
      </c>
      <c r="BI28" s="23" t="s">
        <v>830</v>
      </c>
      <c r="BJ28" s="21" t="str">
        <f t="shared" si="0"/>
        <v>FIXO</v>
      </c>
    </row>
    <row r="29" spans="1:62" x14ac:dyDescent="0.25">
      <c r="A29" s="7">
        <v>2</v>
      </c>
      <c r="B29" s="1" t="s">
        <v>806</v>
      </c>
      <c r="C29" s="8">
        <v>3</v>
      </c>
      <c r="D29" s="9" t="s">
        <v>807</v>
      </c>
      <c r="E29" s="10">
        <v>10884</v>
      </c>
      <c r="F29" s="11" t="s">
        <v>988</v>
      </c>
      <c r="G29" s="12" t="s">
        <v>71</v>
      </c>
      <c r="H29" s="13" t="str">
        <f>VLOOKUP(AP29,[1]Listas!A:B,2,0)</f>
        <v xml:space="preserve">MTRZ </v>
      </c>
      <c r="I29" s="1" t="s">
        <v>14</v>
      </c>
      <c r="J29" s="12"/>
      <c r="K29" s="12"/>
      <c r="L29" s="12"/>
      <c r="M29" s="1" t="s">
        <v>97</v>
      </c>
      <c r="N29" s="14">
        <v>31994</v>
      </c>
      <c r="O29" s="1" t="s">
        <v>855</v>
      </c>
      <c r="P29" s="1" t="s">
        <v>856</v>
      </c>
      <c r="Q29" s="15" t="s">
        <v>807</v>
      </c>
      <c r="R29" s="1" t="s">
        <v>857</v>
      </c>
      <c r="S29" s="1" t="s">
        <v>807</v>
      </c>
      <c r="T29" s="1" t="s">
        <v>813</v>
      </c>
      <c r="U29" s="9" t="s">
        <v>832</v>
      </c>
      <c r="V29" s="1" t="s">
        <v>833</v>
      </c>
      <c r="W29" s="1" t="s">
        <v>989</v>
      </c>
      <c r="X29" s="1" t="s">
        <v>98</v>
      </c>
      <c r="Y29" s="14">
        <v>45084</v>
      </c>
      <c r="Z29" s="9" t="s">
        <v>817</v>
      </c>
      <c r="AB29" s="14">
        <v>45083</v>
      </c>
      <c r="AC29" s="9" t="s">
        <v>817</v>
      </c>
      <c r="AD29" s="9" t="s">
        <v>818</v>
      </c>
      <c r="AE29" s="1" t="s">
        <v>819</v>
      </c>
      <c r="AF29" s="14" t="s">
        <v>820</v>
      </c>
      <c r="AG29" s="9" t="s">
        <v>821</v>
      </c>
      <c r="AH29" s="1" t="s">
        <v>9</v>
      </c>
      <c r="AI29" s="9" t="s">
        <v>10</v>
      </c>
      <c r="AJ29" s="1" t="s">
        <v>11</v>
      </c>
      <c r="AK29" s="1" t="s">
        <v>990</v>
      </c>
      <c r="AL29" s="1" t="s">
        <v>991</v>
      </c>
      <c r="AM29" s="9">
        <v>10131</v>
      </c>
      <c r="AN29" s="1" t="s">
        <v>12</v>
      </c>
      <c r="AO29" s="1" t="s">
        <v>13</v>
      </c>
      <c r="AP29" s="1" t="s">
        <v>824</v>
      </c>
      <c r="AQ29" s="14">
        <v>45658</v>
      </c>
      <c r="AU29" s="14">
        <v>45799</v>
      </c>
      <c r="AV29" s="16">
        <v>0</v>
      </c>
      <c r="AW29" s="16">
        <v>0</v>
      </c>
      <c r="BA29" s="1" t="s">
        <v>911</v>
      </c>
      <c r="BB29" s="9">
        <v>9</v>
      </c>
      <c r="BC29" s="1" t="s">
        <v>849</v>
      </c>
      <c r="BD29" s="9" t="s">
        <v>807</v>
      </c>
      <c r="BE29" s="1" t="s">
        <v>827</v>
      </c>
      <c r="BF29" s="1" t="s">
        <v>14</v>
      </c>
      <c r="BG29" s="1" t="s">
        <v>828</v>
      </c>
      <c r="BH29" s="1" t="s">
        <v>829</v>
      </c>
      <c r="BI29" s="17" t="s">
        <v>830</v>
      </c>
      <c r="BJ29" s="21" t="str">
        <f t="shared" si="0"/>
        <v>FIXO</v>
      </c>
    </row>
    <row r="30" spans="1:62" x14ac:dyDescent="0.25">
      <c r="A30" s="7">
        <v>2</v>
      </c>
      <c r="B30" s="1" t="s">
        <v>806</v>
      </c>
      <c r="C30" s="8">
        <v>3</v>
      </c>
      <c r="D30" s="9" t="s">
        <v>807</v>
      </c>
      <c r="E30" s="10">
        <v>11520</v>
      </c>
      <c r="F30" s="11" t="s">
        <v>992</v>
      </c>
      <c r="G30" s="12" t="s">
        <v>71</v>
      </c>
      <c r="H30" s="13" t="str">
        <f>VLOOKUP(AP30,[1]Listas!A:B,2,0)</f>
        <v xml:space="preserve">MTRZ </v>
      </c>
      <c r="I30" s="1" t="s">
        <v>14</v>
      </c>
      <c r="J30" s="12"/>
      <c r="K30" s="12"/>
      <c r="L30" s="12"/>
      <c r="M30" s="1" t="s">
        <v>99</v>
      </c>
      <c r="N30" s="14">
        <v>31644</v>
      </c>
      <c r="O30" s="1" t="s">
        <v>855</v>
      </c>
      <c r="P30" s="1" t="s">
        <v>856</v>
      </c>
      <c r="Q30" s="15" t="s">
        <v>811</v>
      </c>
      <c r="R30" s="1" t="s">
        <v>812</v>
      </c>
      <c r="S30" s="1" t="s">
        <v>807</v>
      </c>
      <c r="T30" s="1" t="s">
        <v>813</v>
      </c>
      <c r="U30" s="9" t="s">
        <v>832</v>
      </c>
      <c r="V30" s="1" t="s">
        <v>833</v>
      </c>
      <c r="W30" s="1" t="s">
        <v>993</v>
      </c>
      <c r="X30" s="1" t="s">
        <v>100</v>
      </c>
      <c r="Y30" s="14">
        <v>45598</v>
      </c>
      <c r="Z30" s="9" t="s">
        <v>817</v>
      </c>
      <c r="AB30" s="14">
        <v>44062</v>
      </c>
      <c r="AC30" s="9" t="s">
        <v>817</v>
      </c>
      <c r="AD30" s="9" t="s">
        <v>818</v>
      </c>
      <c r="AE30" s="1" t="s">
        <v>819</v>
      </c>
      <c r="AF30" s="14" t="s">
        <v>820</v>
      </c>
      <c r="AG30" s="9" t="s">
        <v>835</v>
      </c>
      <c r="AH30" s="1" t="s">
        <v>17</v>
      </c>
      <c r="AI30" s="9" t="s">
        <v>10</v>
      </c>
      <c r="AJ30" s="1" t="s">
        <v>11</v>
      </c>
      <c r="AK30" s="1" t="s">
        <v>994</v>
      </c>
      <c r="AL30" s="1" t="s">
        <v>995</v>
      </c>
      <c r="AM30" s="9">
        <v>10105</v>
      </c>
      <c r="AN30" s="1" t="s">
        <v>101</v>
      </c>
      <c r="AO30" s="1" t="s">
        <v>102</v>
      </c>
      <c r="AP30" s="1" t="s">
        <v>996</v>
      </c>
      <c r="AQ30" s="14">
        <v>45658</v>
      </c>
      <c r="AU30" s="14">
        <v>45803</v>
      </c>
      <c r="AV30" s="16">
        <v>0</v>
      </c>
      <c r="AW30" s="16">
        <v>0</v>
      </c>
      <c r="BA30" s="1" t="s">
        <v>911</v>
      </c>
      <c r="BB30" s="9">
        <v>1</v>
      </c>
      <c r="BC30" s="1" t="s">
        <v>862</v>
      </c>
      <c r="BD30" s="9" t="s">
        <v>807</v>
      </c>
      <c r="BE30" s="1" t="s">
        <v>827</v>
      </c>
      <c r="BF30" s="1" t="s">
        <v>14</v>
      </c>
      <c r="BG30" s="1" t="s">
        <v>828</v>
      </c>
      <c r="BH30" s="1" t="s">
        <v>829</v>
      </c>
      <c r="BI30" s="20" t="s">
        <v>101</v>
      </c>
      <c r="BJ30" s="21" t="str">
        <f t="shared" si="0"/>
        <v>FIXO</v>
      </c>
    </row>
    <row r="31" spans="1:62" x14ac:dyDescent="0.25">
      <c r="A31" s="7">
        <v>2</v>
      </c>
      <c r="B31" s="1" t="s">
        <v>806</v>
      </c>
      <c r="C31" s="8">
        <v>3</v>
      </c>
      <c r="D31" s="9" t="s">
        <v>807</v>
      </c>
      <c r="E31" s="10">
        <v>11585</v>
      </c>
      <c r="F31" s="11" t="s">
        <v>997</v>
      </c>
      <c r="G31" s="12" t="s">
        <v>71</v>
      </c>
      <c r="H31" s="13" t="str">
        <f>VLOOKUP(AP31,[1]Listas!A:B,2,0)</f>
        <v xml:space="preserve">MTRZ </v>
      </c>
      <c r="I31" s="1" t="s">
        <v>27</v>
      </c>
      <c r="J31" s="12"/>
      <c r="K31" s="12"/>
      <c r="L31" s="12"/>
      <c r="M31" s="1" t="s">
        <v>103</v>
      </c>
      <c r="N31" s="14">
        <v>38121</v>
      </c>
      <c r="O31" s="1" t="s">
        <v>855</v>
      </c>
      <c r="P31" s="1" t="s">
        <v>856</v>
      </c>
      <c r="Q31" s="15" t="s">
        <v>807</v>
      </c>
      <c r="R31" s="1" t="s">
        <v>857</v>
      </c>
      <c r="S31" s="1" t="s">
        <v>868</v>
      </c>
      <c r="T31" s="1" t="s">
        <v>869</v>
      </c>
      <c r="U31" s="9" t="s">
        <v>951</v>
      </c>
      <c r="V31" s="1" t="s">
        <v>952</v>
      </c>
      <c r="W31" s="1" t="s">
        <v>998</v>
      </c>
      <c r="X31" s="1" t="s">
        <v>104</v>
      </c>
      <c r="Y31" s="14">
        <v>45262</v>
      </c>
      <c r="Z31" s="9" t="s">
        <v>817</v>
      </c>
      <c r="AB31" s="14">
        <v>44075</v>
      </c>
      <c r="AC31" s="9" t="s">
        <v>817</v>
      </c>
      <c r="AD31" s="9" t="s">
        <v>818</v>
      </c>
      <c r="AE31" s="1" t="s">
        <v>819</v>
      </c>
      <c r="AF31" s="14" t="s">
        <v>820</v>
      </c>
      <c r="AG31" s="9" t="s">
        <v>999</v>
      </c>
      <c r="AH31" s="1" t="s">
        <v>105</v>
      </c>
      <c r="AI31" s="9" t="s">
        <v>10</v>
      </c>
      <c r="AJ31" s="1" t="s">
        <v>11</v>
      </c>
      <c r="AK31" s="1" t="s">
        <v>1000</v>
      </c>
      <c r="AL31" s="1" t="s">
        <v>1001</v>
      </c>
      <c r="AM31" s="9">
        <v>10134</v>
      </c>
      <c r="AN31" s="1" t="s">
        <v>106</v>
      </c>
      <c r="AO31" s="1" t="s">
        <v>87</v>
      </c>
      <c r="AP31" s="1" t="s">
        <v>970</v>
      </c>
      <c r="AQ31" s="14">
        <v>45778</v>
      </c>
      <c r="AU31" s="14">
        <v>45799</v>
      </c>
      <c r="AV31" s="16">
        <v>0</v>
      </c>
      <c r="AW31" s="16">
        <v>0</v>
      </c>
      <c r="BA31" s="1" t="s">
        <v>911</v>
      </c>
      <c r="BB31" s="9">
        <v>7</v>
      </c>
      <c r="BC31" s="1" t="s">
        <v>826</v>
      </c>
      <c r="BD31" s="9" t="s">
        <v>807</v>
      </c>
      <c r="BE31" s="1" t="s">
        <v>850</v>
      </c>
      <c r="BF31" s="1" t="s">
        <v>27</v>
      </c>
      <c r="BG31" s="1" t="s">
        <v>851</v>
      </c>
      <c r="BH31" s="1" t="s">
        <v>852</v>
      </c>
      <c r="BI31" s="20" t="s">
        <v>1002</v>
      </c>
      <c r="BJ31" s="21" t="str">
        <f t="shared" si="0"/>
        <v>FIXO</v>
      </c>
    </row>
    <row r="32" spans="1:62" x14ac:dyDescent="0.25">
      <c r="A32" s="7">
        <v>2</v>
      </c>
      <c r="B32" s="1" t="s">
        <v>806</v>
      </c>
      <c r="C32" s="8">
        <v>5</v>
      </c>
      <c r="D32" s="9" t="s">
        <v>807</v>
      </c>
      <c r="E32" s="10">
        <v>11633</v>
      </c>
      <c r="F32" s="11" t="s">
        <v>1003</v>
      </c>
      <c r="G32" s="12" t="s">
        <v>71</v>
      </c>
      <c r="H32" s="13" t="str">
        <f>VLOOKUP(AP32,[1]Listas!A:B,2,0)</f>
        <v xml:space="preserve">FESP </v>
      </c>
      <c r="I32" s="1" t="s">
        <v>27</v>
      </c>
      <c r="J32" s="12"/>
      <c r="K32" s="1" t="s">
        <v>50</v>
      </c>
      <c r="L32" s="12"/>
      <c r="M32" s="1" t="s">
        <v>107</v>
      </c>
      <c r="N32" s="14">
        <v>37301</v>
      </c>
      <c r="O32" s="1" t="s">
        <v>855</v>
      </c>
      <c r="P32" s="1" t="s">
        <v>856</v>
      </c>
      <c r="Q32" s="15" t="s">
        <v>807</v>
      </c>
      <c r="R32" s="1" t="s">
        <v>857</v>
      </c>
      <c r="S32" s="1" t="s">
        <v>807</v>
      </c>
      <c r="T32" s="1" t="s">
        <v>813</v>
      </c>
      <c r="U32" s="9" t="s">
        <v>814</v>
      </c>
      <c r="V32" s="1" t="s">
        <v>815</v>
      </c>
      <c r="W32" s="1" t="s">
        <v>1004</v>
      </c>
      <c r="X32" s="1" t="s">
        <v>108</v>
      </c>
      <c r="Y32" s="14">
        <v>45309</v>
      </c>
      <c r="Z32" s="9" t="s">
        <v>817</v>
      </c>
      <c r="AB32" s="14">
        <v>44077</v>
      </c>
      <c r="AC32" s="9" t="s">
        <v>817</v>
      </c>
      <c r="AD32" s="9" t="s">
        <v>818</v>
      </c>
      <c r="AE32" s="1" t="s">
        <v>819</v>
      </c>
      <c r="AF32" s="14" t="s">
        <v>820</v>
      </c>
      <c r="AG32" s="9" t="s">
        <v>835</v>
      </c>
      <c r="AH32" s="1" t="s">
        <v>17</v>
      </c>
      <c r="AI32" s="9" t="s">
        <v>10</v>
      </c>
      <c r="AJ32" s="1" t="s">
        <v>11</v>
      </c>
      <c r="AK32" s="1" t="s">
        <v>1005</v>
      </c>
      <c r="AL32" s="1" t="s">
        <v>1006</v>
      </c>
      <c r="AM32" s="9">
        <v>11336</v>
      </c>
      <c r="AN32" s="1" t="s">
        <v>62</v>
      </c>
      <c r="AO32" s="1" t="s">
        <v>66</v>
      </c>
      <c r="AP32" s="1" t="s">
        <v>934</v>
      </c>
      <c r="AQ32" s="14">
        <v>45658</v>
      </c>
      <c r="AU32" s="14">
        <v>45799</v>
      </c>
      <c r="AV32" s="16">
        <v>0</v>
      </c>
      <c r="AW32" s="16">
        <v>0</v>
      </c>
      <c r="BA32" s="1" t="s">
        <v>911</v>
      </c>
      <c r="BB32" s="9">
        <v>1</v>
      </c>
      <c r="BC32" s="1" t="s">
        <v>862</v>
      </c>
      <c r="BD32" s="9" t="s">
        <v>807</v>
      </c>
      <c r="BE32" s="1" t="s">
        <v>850</v>
      </c>
      <c r="BF32" s="1" t="s">
        <v>27</v>
      </c>
      <c r="BG32" s="1" t="s">
        <v>851</v>
      </c>
      <c r="BH32" s="1" t="s">
        <v>852</v>
      </c>
      <c r="BI32" s="1" t="s">
        <v>853</v>
      </c>
      <c r="BJ32" s="21" t="str">
        <f t="shared" si="0"/>
        <v>FIXO</v>
      </c>
    </row>
    <row r="33" spans="1:62" x14ac:dyDescent="0.25">
      <c r="A33" s="7">
        <v>2</v>
      </c>
      <c r="B33" s="1" t="s">
        <v>806</v>
      </c>
      <c r="C33" s="8">
        <v>3</v>
      </c>
      <c r="D33" s="9" t="s">
        <v>807</v>
      </c>
      <c r="E33" s="10">
        <v>11930</v>
      </c>
      <c r="F33" s="11" t="s">
        <v>1007</v>
      </c>
      <c r="G33" s="12" t="s">
        <v>71</v>
      </c>
      <c r="H33" s="13" t="str">
        <f>VLOOKUP(AP33,[1]Listas!A:B,2,0)</f>
        <v xml:space="preserve">MTRZ </v>
      </c>
      <c r="I33" s="1" t="s">
        <v>141</v>
      </c>
      <c r="J33" s="1" t="s">
        <v>20</v>
      </c>
      <c r="K33" s="12"/>
      <c r="L33" s="12"/>
      <c r="M33" s="1" t="s">
        <v>109</v>
      </c>
      <c r="N33" s="14">
        <v>33300</v>
      </c>
      <c r="O33" s="1" t="s">
        <v>809</v>
      </c>
      <c r="P33" s="1" t="s">
        <v>810</v>
      </c>
      <c r="Q33" s="15" t="s">
        <v>807</v>
      </c>
      <c r="R33" s="1" t="s">
        <v>857</v>
      </c>
      <c r="S33" s="1" t="s">
        <v>811</v>
      </c>
      <c r="T33" s="1" t="s">
        <v>906</v>
      </c>
      <c r="U33" s="9" t="s">
        <v>832</v>
      </c>
      <c r="V33" s="1" t="s">
        <v>833</v>
      </c>
      <c r="W33" s="1" t="s">
        <v>1008</v>
      </c>
      <c r="X33" s="1" t="s">
        <v>110</v>
      </c>
      <c r="Y33" s="14">
        <v>45262</v>
      </c>
      <c r="Z33" s="9" t="s">
        <v>817</v>
      </c>
      <c r="AB33" s="14">
        <v>44138</v>
      </c>
      <c r="AC33" s="9" t="s">
        <v>817</v>
      </c>
      <c r="AD33" s="9" t="s">
        <v>818</v>
      </c>
      <c r="AE33" s="1" t="s">
        <v>819</v>
      </c>
      <c r="AF33" s="14" t="s">
        <v>820</v>
      </c>
      <c r="AG33" s="9" t="s">
        <v>835</v>
      </c>
      <c r="AH33" s="1" t="s">
        <v>17</v>
      </c>
      <c r="AI33" s="9" t="s">
        <v>10</v>
      </c>
      <c r="AJ33" s="1" t="s">
        <v>11</v>
      </c>
      <c r="AK33" s="1" t="s">
        <v>1009</v>
      </c>
      <c r="AL33" s="1" t="s">
        <v>1010</v>
      </c>
      <c r="AM33" s="9">
        <v>10108</v>
      </c>
      <c r="AN33" s="1" t="s">
        <v>18</v>
      </c>
      <c r="AO33" s="1" t="s">
        <v>19</v>
      </c>
      <c r="AP33" s="1" t="s">
        <v>838</v>
      </c>
      <c r="AQ33" s="14">
        <v>45748</v>
      </c>
      <c r="AU33" s="14">
        <v>45799</v>
      </c>
      <c r="AV33" s="16">
        <v>0</v>
      </c>
      <c r="AW33" s="16">
        <v>0</v>
      </c>
      <c r="BA33" s="1" t="s">
        <v>911</v>
      </c>
      <c r="BB33" s="9">
        <v>9</v>
      </c>
      <c r="BC33" s="1" t="s">
        <v>849</v>
      </c>
      <c r="BD33" s="9" t="s">
        <v>807</v>
      </c>
      <c r="BE33" s="1" t="s">
        <v>840</v>
      </c>
      <c r="BF33" s="1" t="s">
        <v>20</v>
      </c>
      <c r="BG33" s="1" t="s">
        <v>841</v>
      </c>
      <c r="BH33" s="1" t="s">
        <v>842</v>
      </c>
      <c r="BI33" s="20" t="s">
        <v>1011</v>
      </c>
      <c r="BJ33" s="21" t="str">
        <f t="shared" si="0"/>
        <v>FIXO</v>
      </c>
    </row>
    <row r="34" spans="1:62" x14ac:dyDescent="0.25">
      <c r="A34" s="7">
        <v>2</v>
      </c>
      <c r="B34" s="1" t="s">
        <v>806</v>
      </c>
      <c r="C34" s="8">
        <v>3</v>
      </c>
      <c r="D34" s="9" t="s">
        <v>807</v>
      </c>
      <c r="E34" s="10">
        <v>11989</v>
      </c>
      <c r="F34" s="11" t="s">
        <v>1012</v>
      </c>
      <c r="G34" s="12" t="s">
        <v>71</v>
      </c>
      <c r="H34" s="13" t="str">
        <f>VLOOKUP(AP34,[1]Listas!A:B,2,0)</f>
        <v xml:space="preserve">MTRZ </v>
      </c>
      <c r="I34" s="1" t="s">
        <v>27</v>
      </c>
      <c r="J34" s="12"/>
      <c r="K34" s="12"/>
      <c r="L34" s="12"/>
      <c r="M34" s="1" t="s">
        <v>111</v>
      </c>
      <c r="N34" s="14">
        <v>31825</v>
      </c>
      <c r="O34" s="1" t="s">
        <v>855</v>
      </c>
      <c r="P34" s="1" t="s">
        <v>856</v>
      </c>
      <c r="Q34" s="15" t="s">
        <v>807</v>
      </c>
      <c r="R34" s="1" t="s">
        <v>857</v>
      </c>
      <c r="S34" s="1" t="s">
        <v>868</v>
      </c>
      <c r="T34" s="1" t="s">
        <v>869</v>
      </c>
      <c r="U34" s="9" t="s">
        <v>832</v>
      </c>
      <c r="V34" s="1" t="s">
        <v>833</v>
      </c>
      <c r="W34" s="1" t="s">
        <v>1013</v>
      </c>
      <c r="X34" s="1" t="s">
        <v>112</v>
      </c>
      <c r="Y34" s="14">
        <v>45262</v>
      </c>
      <c r="Z34" s="9" t="s">
        <v>817</v>
      </c>
      <c r="AB34" s="14">
        <v>44172</v>
      </c>
      <c r="AC34" s="9" t="s">
        <v>817</v>
      </c>
      <c r="AD34" s="9" t="s">
        <v>818</v>
      </c>
      <c r="AE34" s="1" t="s">
        <v>819</v>
      </c>
      <c r="AF34" s="14" t="s">
        <v>820</v>
      </c>
      <c r="AG34" s="9" t="s">
        <v>835</v>
      </c>
      <c r="AH34" s="1" t="s">
        <v>17</v>
      </c>
      <c r="AI34" s="9" t="s">
        <v>10</v>
      </c>
      <c r="AJ34" s="1" t="s">
        <v>11</v>
      </c>
      <c r="AK34" s="1" t="s">
        <v>1014</v>
      </c>
      <c r="AL34" s="1" t="s">
        <v>1015</v>
      </c>
      <c r="AM34" s="9">
        <v>10126</v>
      </c>
      <c r="AN34" s="1" t="s">
        <v>86</v>
      </c>
      <c r="AO34" s="1" t="s">
        <v>87</v>
      </c>
      <c r="AP34" s="1" t="s">
        <v>970</v>
      </c>
      <c r="AQ34" s="14">
        <v>45658</v>
      </c>
      <c r="AU34" s="14">
        <v>45799</v>
      </c>
      <c r="AV34" s="16">
        <v>0</v>
      </c>
      <c r="AW34" s="16">
        <v>0</v>
      </c>
      <c r="BA34" s="1" t="s">
        <v>911</v>
      </c>
      <c r="BB34" s="9">
        <v>9</v>
      </c>
      <c r="BC34" s="1" t="s">
        <v>849</v>
      </c>
      <c r="BD34" s="9" t="s">
        <v>807</v>
      </c>
      <c r="BE34" s="1" t="s">
        <v>850</v>
      </c>
      <c r="BF34" s="1" t="s">
        <v>27</v>
      </c>
      <c r="BG34" s="1" t="s">
        <v>851</v>
      </c>
      <c r="BH34" s="1" t="s">
        <v>852</v>
      </c>
      <c r="BI34" s="20" t="s">
        <v>1002</v>
      </c>
      <c r="BJ34" s="21" t="str">
        <f t="shared" si="0"/>
        <v>FIXO</v>
      </c>
    </row>
    <row r="35" spans="1:62" x14ac:dyDescent="0.25">
      <c r="A35" s="7">
        <v>2</v>
      </c>
      <c r="B35" s="1" t="s">
        <v>806</v>
      </c>
      <c r="C35" s="8">
        <v>2</v>
      </c>
      <c r="D35" s="9" t="s">
        <v>807</v>
      </c>
      <c r="E35" s="10">
        <v>12685</v>
      </c>
      <c r="F35" s="11" t="s">
        <v>1016</v>
      </c>
      <c r="G35" s="12" t="s">
        <v>71</v>
      </c>
      <c r="H35" s="13" t="str">
        <f>VLOOKUP(AP35,[1]Listas!A:B,2,0)</f>
        <v xml:space="preserve">FEAR </v>
      </c>
      <c r="I35" s="1" t="s">
        <v>116</v>
      </c>
      <c r="J35" s="12"/>
      <c r="K35" s="12"/>
      <c r="L35" s="12"/>
      <c r="M35" s="1" t="s">
        <v>113</v>
      </c>
      <c r="N35" s="14">
        <v>30138</v>
      </c>
      <c r="O35" s="1" t="s">
        <v>855</v>
      </c>
      <c r="P35" s="1" t="s">
        <v>856</v>
      </c>
      <c r="Q35" s="15" t="s">
        <v>807</v>
      </c>
      <c r="R35" s="1" t="s">
        <v>857</v>
      </c>
      <c r="S35" s="1" t="s">
        <v>1017</v>
      </c>
      <c r="U35" s="9" t="s">
        <v>814</v>
      </c>
      <c r="V35" s="1" t="s">
        <v>815</v>
      </c>
      <c r="W35" s="1" t="s">
        <v>871</v>
      </c>
      <c r="X35" s="1" t="s">
        <v>34</v>
      </c>
      <c r="Y35" s="14">
        <v>44341</v>
      </c>
      <c r="Z35" s="9" t="s">
        <v>817</v>
      </c>
      <c r="AB35" s="14">
        <v>44340</v>
      </c>
      <c r="AC35" s="9" t="s">
        <v>817</v>
      </c>
      <c r="AD35" s="9" t="s">
        <v>818</v>
      </c>
      <c r="AE35" s="1" t="s">
        <v>819</v>
      </c>
      <c r="AF35" s="14" t="s">
        <v>820</v>
      </c>
      <c r="AG35" s="9" t="s">
        <v>821</v>
      </c>
      <c r="AH35" s="1" t="s">
        <v>9</v>
      </c>
      <c r="AI35" s="9" t="s">
        <v>10</v>
      </c>
      <c r="AJ35" s="1" t="s">
        <v>11</v>
      </c>
      <c r="AK35" s="1" t="s">
        <v>1018</v>
      </c>
      <c r="AL35" s="1" t="s">
        <v>1019</v>
      </c>
      <c r="AM35" s="9">
        <v>11043</v>
      </c>
      <c r="AN35" s="1" t="s">
        <v>114</v>
      </c>
      <c r="AO35" s="1" t="s">
        <v>115</v>
      </c>
      <c r="AP35" s="1" t="s">
        <v>1020</v>
      </c>
      <c r="AQ35" s="14">
        <v>45658</v>
      </c>
      <c r="AU35" s="14">
        <v>45799</v>
      </c>
      <c r="AV35" s="16">
        <v>0</v>
      </c>
      <c r="AW35" s="16">
        <v>0</v>
      </c>
      <c r="BA35" s="1" t="s">
        <v>911</v>
      </c>
      <c r="BB35" s="9">
        <v>7</v>
      </c>
      <c r="BC35" s="1" t="s">
        <v>826</v>
      </c>
      <c r="BD35" s="9" t="s">
        <v>807</v>
      </c>
      <c r="BE35" s="1" t="s">
        <v>1021</v>
      </c>
      <c r="BF35" s="1" t="s">
        <v>116</v>
      </c>
      <c r="BG35" s="1" t="s">
        <v>1022</v>
      </c>
      <c r="BH35" s="1" t="s">
        <v>1023</v>
      </c>
      <c r="BI35" s="1" t="s">
        <v>878</v>
      </c>
      <c r="BJ35" s="21" t="str">
        <f t="shared" si="0"/>
        <v>FIXO</v>
      </c>
    </row>
    <row r="36" spans="1:62" x14ac:dyDescent="0.25">
      <c r="A36" s="7">
        <v>2</v>
      </c>
      <c r="B36" s="1" t="s">
        <v>806</v>
      </c>
      <c r="C36" s="8">
        <v>3</v>
      </c>
      <c r="D36" s="9" t="s">
        <v>807</v>
      </c>
      <c r="E36" s="10">
        <v>12971</v>
      </c>
      <c r="F36" s="11" t="s">
        <v>1024</v>
      </c>
      <c r="G36" s="12" t="s">
        <v>71</v>
      </c>
      <c r="H36" s="13" t="str">
        <f>VLOOKUP(AP36,[1]Listas!A:B,2,0)</f>
        <v xml:space="preserve">MTRZ </v>
      </c>
      <c r="I36" s="1" t="s">
        <v>67</v>
      </c>
      <c r="J36" s="12"/>
      <c r="K36" s="12"/>
      <c r="L36" s="12"/>
      <c r="M36" s="1" t="s">
        <v>117</v>
      </c>
      <c r="N36" s="14">
        <v>38366</v>
      </c>
      <c r="O36" s="1" t="s">
        <v>855</v>
      </c>
      <c r="P36" s="1" t="s">
        <v>856</v>
      </c>
      <c r="Q36" s="15" t="s">
        <v>807</v>
      </c>
      <c r="R36" s="1" t="s">
        <v>857</v>
      </c>
      <c r="S36" s="1" t="s">
        <v>807</v>
      </c>
      <c r="T36" s="1" t="s">
        <v>813</v>
      </c>
      <c r="U36" s="9" t="s">
        <v>951</v>
      </c>
      <c r="V36" s="1" t="s">
        <v>952</v>
      </c>
      <c r="W36" s="1" t="s">
        <v>998</v>
      </c>
      <c r="X36" s="1" t="s">
        <v>104</v>
      </c>
      <c r="Y36" s="14">
        <v>45262</v>
      </c>
      <c r="Z36" s="9" t="s">
        <v>817</v>
      </c>
      <c r="AB36" s="14">
        <v>44424</v>
      </c>
      <c r="AC36" s="9" t="s">
        <v>817</v>
      </c>
      <c r="AD36" s="9" t="s">
        <v>818</v>
      </c>
      <c r="AE36" s="1" t="s">
        <v>819</v>
      </c>
      <c r="AF36" s="14" t="s">
        <v>820</v>
      </c>
      <c r="AG36" s="9" t="s">
        <v>835</v>
      </c>
      <c r="AH36" s="1" t="s">
        <v>17</v>
      </c>
      <c r="AI36" s="9" t="s">
        <v>10</v>
      </c>
      <c r="AJ36" s="1" t="s">
        <v>11</v>
      </c>
      <c r="AK36" s="1" t="s">
        <v>1025</v>
      </c>
      <c r="AL36" s="1" t="s">
        <v>1026</v>
      </c>
      <c r="AM36" s="9">
        <v>10106</v>
      </c>
      <c r="AN36" s="1" t="s">
        <v>118</v>
      </c>
      <c r="AO36" s="1" t="s">
        <v>119</v>
      </c>
      <c r="AP36" s="1" t="s">
        <v>1027</v>
      </c>
      <c r="AQ36" s="14">
        <v>45658</v>
      </c>
      <c r="AU36" s="14">
        <v>45799</v>
      </c>
      <c r="AV36" s="16">
        <v>0</v>
      </c>
      <c r="AW36" s="16">
        <v>0</v>
      </c>
      <c r="BA36" s="1" t="s">
        <v>911</v>
      </c>
      <c r="BB36" s="9">
        <v>9</v>
      </c>
      <c r="BC36" s="1" t="s">
        <v>849</v>
      </c>
      <c r="BD36" s="9" t="s">
        <v>807</v>
      </c>
      <c r="BE36" s="1" t="s">
        <v>948</v>
      </c>
      <c r="BF36" s="1" t="s">
        <v>67</v>
      </c>
      <c r="BG36" s="1" t="s">
        <v>937</v>
      </c>
      <c r="BH36" s="1" t="s">
        <v>938</v>
      </c>
      <c r="BI36" s="20" t="s">
        <v>1028</v>
      </c>
      <c r="BJ36" s="21" t="str">
        <f t="shared" si="0"/>
        <v>FIXO</v>
      </c>
    </row>
    <row r="37" spans="1:62" x14ac:dyDescent="0.25">
      <c r="A37" s="7">
        <v>2</v>
      </c>
      <c r="B37" s="1" t="s">
        <v>806</v>
      </c>
      <c r="C37" s="8">
        <v>3</v>
      </c>
      <c r="D37" s="9" t="s">
        <v>807</v>
      </c>
      <c r="E37" s="10">
        <v>12988</v>
      </c>
      <c r="F37" s="11" t="s">
        <v>1029</v>
      </c>
      <c r="G37" s="12" t="s">
        <v>71</v>
      </c>
      <c r="H37" s="13" t="str">
        <f>VLOOKUP(AP37,[1]Listas!A:B,2,0)</f>
        <v xml:space="preserve">MTRZ </v>
      </c>
      <c r="I37" s="12" t="s">
        <v>236</v>
      </c>
      <c r="J37" s="12"/>
      <c r="K37" s="12"/>
      <c r="L37" s="12"/>
      <c r="M37" s="1" t="s">
        <v>1030</v>
      </c>
      <c r="N37" s="14">
        <v>27780</v>
      </c>
      <c r="O37" s="1" t="s">
        <v>809</v>
      </c>
      <c r="P37" s="1" t="s">
        <v>810</v>
      </c>
      <c r="Q37" s="15" t="s">
        <v>1031</v>
      </c>
      <c r="R37" s="1" t="s">
        <v>1032</v>
      </c>
      <c r="S37" s="1" t="s">
        <v>807</v>
      </c>
      <c r="T37" s="1" t="s">
        <v>813</v>
      </c>
      <c r="U37" s="9" t="s">
        <v>951</v>
      </c>
      <c r="V37" s="1" t="s">
        <v>952</v>
      </c>
      <c r="W37" s="1" t="s">
        <v>1033</v>
      </c>
      <c r="X37" s="1" t="s">
        <v>1034</v>
      </c>
      <c r="Y37" s="14">
        <v>45262</v>
      </c>
      <c r="Z37" s="9" t="s">
        <v>817</v>
      </c>
      <c r="AB37" s="14">
        <v>44432</v>
      </c>
      <c r="AC37" s="9" t="s">
        <v>817</v>
      </c>
      <c r="AD37" s="9" t="s">
        <v>818</v>
      </c>
      <c r="AE37" s="1" t="s">
        <v>819</v>
      </c>
      <c r="AF37" s="14">
        <v>45911</v>
      </c>
      <c r="AG37" s="9" t="s">
        <v>835</v>
      </c>
      <c r="AH37" s="1" t="s">
        <v>17</v>
      </c>
      <c r="AI37" s="9" t="s">
        <v>120</v>
      </c>
      <c r="AJ37" s="1" t="s">
        <v>121</v>
      </c>
      <c r="AK37" s="1" t="s">
        <v>1035</v>
      </c>
      <c r="AL37" s="1" t="s">
        <v>1036</v>
      </c>
      <c r="AM37" s="9">
        <v>10112</v>
      </c>
      <c r="AN37" s="1" t="s">
        <v>122</v>
      </c>
      <c r="AO37" s="1" t="s">
        <v>1037</v>
      </c>
      <c r="AP37" s="1" t="s">
        <v>1038</v>
      </c>
      <c r="AQ37" s="14">
        <v>45658</v>
      </c>
      <c r="AU37" s="14">
        <v>45799</v>
      </c>
      <c r="AV37" s="16">
        <v>0</v>
      </c>
      <c r="AW37" s="16">
        <v>0</v>
      </c>
      <c r="BA37" s="1" t="s">
        <v>911</v>
      </c>
      <c r="BB37" s="9">
        <v>13</v>
      </c>
      <c r="BC37" s="1" t="s">
        <v>1039</v>
      </c>
      <c r="BD37" s="9" t="s">
        <v>807</v>
      </c>
      <c r="BE37" s="1" t="s">
        <v>1017</v>
      </c>
      <c r="BI37" s="20" t="s">
        <v>1040</v>
      </c>
      <c r="BJ37" s="21" t="str">
        <f t="shared" si="0"/>
        <v>FIXO</v>
      </c>
    </row>
    <row r="38" spans="1:62" x14ac:dyDescent="0.25">
      <c r="A38" s="7">
        <v>2</v>
      </c>
      <c r="B38" s="1" t="s">
        <v>806</v>
      </c>
      <c r="C38" s="8">
        <v>5</v>
      </c>
      <c r="D38" s="9" t="s">
        <v>807</v>
      </c>
      <c r="E38" s="10">
        <v>12998</v>
      </c>
      <c r="F38" s="11" t="s">
        <v>1041</v>
      </c>
      <c r="G38" s="1" t="s">
        <v>41</v>
      </c>
      <c r="H38" s="13" t="str">
        <f>VLOOKUP(AP38,[1]Listas!A:B,2,0)</f>
        <v xml:space="preserve">FESP </v>
      </c>
      <c r="I38" s="1" t="s">
        <v>38</v>
      </c>
      <c r="J38" s="1"/>
      <c r="K38" s="12"/>
      <c r="L38" s="12"/>
      <c r="M38" s="1" t="s">
        <v>37</v>
      </c>
      <c r="N38" s="14">
        <v>35500</v>
      </c>
      <c r="O38" s="1" t="s">
        <v>855</v>
      </c>
      <c r="P38" s="1" t="s">
        <v>856</v>
      </c>
      <c r="Q38" s="15" t="s">
        <v>807</v>
      </c>
      <c r="R38" s="1" t="s">
        <v>857</v>
      </c>
      <c r="S38" s="1" t="s">
        <v>807</v>
      </c>
      <c r="T38" s="1" t="s">
        <v>813</v>
      </c>
      <c r="U38" s="9" t="s">
        <v>832</v>
      </c>
      <c r="V38" s="1" t="s">
        <v>833</v>
      </c>
      <c r="W38" s="1" t="s">
        <v>1042</v>
      </c>
      <c r="X38" s="1" t="s">
        <v>123</v>
      </c>
      <c r="Y38" s="14">
        <v>45538</v>
      </c>
      <c r="Z38" s="9" t="s">
        <v>817</v>
      </c>
      <c r="AB38" s="14">
        <v>44440</v>
      </c>
      <c r="AC38" s="9" t="s">
        <v>817</v>
      </c>
      <c r="AD38" s="9" t="s">
        <v>818</v>
      </c>
      <c r="AE38" s="1" t="s">
        <v>819</v>
      </c>
      <c r="AF38" s="14" t="s">
        <v>820</v>
      </c>
      <c r="AG38" s="9" t="s">
        <v>821</v>
      </c>
      <c r="AH38" s="1" t="s">
        <v>9</v>
      </c>
      <c r="AI38" s="9" t="s">
        <v>10</v>
      </c>
      <c r="AJ38" s="1" t="s">
        <v>11</v>
      </c>
      <c r="AK38" s="1" t="s">
        <v>876</v>
      </c>
      <c r="AL38" s="1" t="s">
        <v>877</v>
      </c>
      <c r="AM38" s="9">
        <v>11324</v>
      </c>
      <c r="AN38" s="1" t="s">
        <v>40</v>
      </c>
      <c r="AO38" s="1" t="s">
        <v>31</v>
      </c>
      <c r="AP38" s="1" t="s">
        <v>861</v>
      </c>
      <c r="AQ38" s="14">
        <v>45658</v>
      </c>
      <c r="AU38" s="14">
        <v>45901</v>
      </c>
      <c r="AV38" s="16">
        <v>0</v>
      </c>
      <c r="AW38" s="16">
        <v>0</v>
      </c>
      <c r="BA38" s="1" t="s">
        <v>911</v>
      </c>
      <c r="BB38" s="9">
        <v>1</v>
      </c>
      <c r="BC38" s="1" t="s">
        <v>862</v>
      </c>
      <c r="BD38" s="9" t="s">
        <v>807</v>
      </c>
      <c r="BE38" s="1" t="s">
        <v>893</v>
      </c>
      <c r="BF38" s="1" t="s">
        <v>38</v>
      </c>
      <c r="BG38" s="1" t="s">
        <v>883</v>
      </c>
      <c r="BH38" s="1" t="s">
        <v>1043</v>
      </c>
      <c r="BI38" s="20" t="s">
        <v>1044</v>
      </c>
      <c r="BJ38" s="21" t="str">
        <f t="shared" si="0"/>
        <v>FIXO</v>
      </c>
    </row>
    <row r="39" spans="1:62" x14ac:dyDescent="0.25">
      <c r="A39" s="7">
        <v>2</v>
      </c>
      <c r="B39" s="1" t="s">
        <v>806</v>
      </c>
      <c r="C39" s="8">
        <v>3</v>
      </c>
      <c r="D39" s="9" t="s">
        <v>807</v>
      </c>
      <c r="E39" s="10">
        <v>13086</v>
      </c>
      <c r="F39" s="11" t="s">
        <v>1045</v>
      </c>
      <c r="G39" s="12" t="s">
        <v>71</v>
      </c>
      <c r="H39" s="13" t="str">
        <f>VLOOKUP(AP39,[1]Listas!A:B,2,0)</f>
        <v xml:space="preserve">MTRZ </v>
      </c>
      <c r="I39" s="1" t="s">
        <v>67</v>
      </c>
      <c r="J39" s="12"/>
      <c r="K39" s="12"/>
      <c r="L39" s="12"/>
      <c r="M39" s="1" t="s">
        <v>124</v>
      </c>
      <c r="N39" s="14">
        <v>34873</v>
      </c>
      <c r="O39" s="1" t="s">
        <v>809</v>
      </c>
      <c r="P39" s="1" t="s">
        <v>810</v>
      </c>
      <c r="Q39" s="15" t="s">
        <v>807</v>
      </c>
      <c r="R39" s="1" t="s">
        <v>857</v>
      </c>
      <c r="S39" s="1" t="s">
        <v>807</v>
      </c>
      <c r="T39" s="1" t="s">
        <v>813</v>
      </c>
      <c r="U39" s="9" t="s">
        <v>1046</v>
      </c>
      <c r="V39" s="1" t="s">
        <v>1047</v>
      </c>
      <c r="W39" s="1" t="s">
        <v>973</v>
      </c>
      <c r="X39" s="1" t="s">
        <v>89</v>
      </c>
      <c r="Y39" s="14">
        <v>45262</v>
      </c>
      <c r="Z39" s="9" t="s">
        <v>817</v>
      </c>
      <c r="AB39" s="14">
        <v>44473</v>
      </c>
      <c r="AC39" s="9" t="s">
        <v>817</v>
      </c>
      <c r="AD39" s="9" t="s">
        <v>818</v>
      </c>
      <c r="AE39" s="1" t="s">
        <v>819</v>
      </c>
      <c r="AF39" s="14" t="s">
        <v>820</v>
      </c>
      <c r="AG39" s="9" t="s">
        <v>835</v>
      </c>
      <c r="AH39" s="1" t="s">
        <v>17</v>
      </c>
      <c r="AI39" s="9" t="s">
        <v>10</v>
      </c>
      <c r="AJ39" s="1" t="s">
        <v>11</v>
      </c>
      <c r="AK39" s="1" t="s">
        <v>1048</v>
      </c>
      <c r="AL39" s="1" t="s">
        <v>1049</v>
      </c>
      <c r="AM39" s="9">
        <v>10113</v>
      </c>
      <c r="AN39" s="1" t="s">
        <v>69</v>
      </c>
      <c r="AO39" s="1" t="s">
        <v>70</v>
      </c>
      <c r="AP39" s="1" t="s">
        <v>939</v>
      </c>
      <c r="AQ39" s="14">
        <v>45658</v>
      </c>
      <c r="AU39" s="14">
        <v>45799</v>
      </c>
      <c r="AV39" s="16">
        <v>0</v>
      </c>
      <c r="AW39" s="16">
        <v>0</v>
      </c>
      <c r="BA39" s="1" t="s">
        <v>911</v>
      </c>
      <c r="BB39" s="9">
        <v>9</v>
      </c>
      <c r="BC39" s="1" t="s">
        <v>849</v>
      </c>
      <c r="BD39" s="9" t="s">
        <v>807</v>
      </c>
      <c r="BE39" s="1" t="s">
        <v>977</v>
      </c>
      <c r="BF39" s="1" t="s">
        <v>72</v>
      </c>
      <c r="BG39" s="1" t="s">
        <v>946</v>
      </c>
      <c r="BH39" s="1" t="s">
        <v>947</v>
      </c>
      <c r="BI39" s="20" t="s">
        <v>949</v>
      </c>
      <c r="BJ39" s="21" t="str">
        <f t="shared" si="0"/>
        <v>FIXO</v>
      </c>
    </row>
    <row r="40" spans="1:62" x14ac:dyDescent="0.25">
      <c r="A40" s="7">
        <v>2</v>
      </c>
      <c r="B40" s="1" t="s">
        <v>806</v>
      </c>
      <c r="C40" s="8">
        <v>2</v>
      </c>
      <c r="D40" s="9" t="s">
        <v>807</v>
      </c>
      <c r="E40" s="10">
        <v>13108</v>
      </c>
      <c r="F40" s="11" t="s">
        <v>1050</v>
      </c>
      <c r="G40" s="12" t="s">
        <v>71</v>
      </c>
      <c r="H40" s="13" t="str">
        <f>VLOOKUP(AP40,[1]Listas!A:B,2,0)</f>
        <v xml:space="preserve">FEAR </v>
      </c>
      <c r="I40" s="1" t="s">
        <v>116</v>
      </c>
      <c r="J40" s="12"/>
      <c r="K40" s="12"/>
      <c r="L40" s="12"/>
      <c r="M40" s="1" t="s">
        <v>125</v>
      </c>
      <c r="N40" s="14">
        <v>28307</v>
      </c>
      <c r="O40" s="1" t="s">
        <v>809</v>
      </c>
      <c r="P40" s="1" t="s">
        <v>810</v>
      </c>
      <c r="Q40" s="15" t="s">
        <v>811</v>
      </c>
      <c r="R40" s="1" t="s">
        <v>812</v>
      </c>
      <c r="S40" s="1" t="s">
        <v>1017</v>
      </c>
      <c r="U40" s="9" t="s">
        <v>951</v>
      </c>
      <c r="V40" s="1" t="s">
        <v>952</v>
      </c>
      <c r="W40" s="1" t="s">
        <v>1051</v>
      </c>
      <c r="X40" s="1" t="s">
        <v>126</v>
      </c>
      <c r="Y40" s="14">
        <v>44728</v>
      </c>
      <c r="Z40" s="9" t="s">
        <v>817</v>
      </c>
      <c r="AB40" s="14">
        <v>44727</v>
      </c>
      <c r="AC40" s="9" t="s">
        <v>817</v>
      </c>
      <c r="AD40" s="9" t="s">
        <v>818</v>
      </c>
      <c r="AE40" s="1" t="s">
        <v>819</v>
      </c>
      <c r="AF40" s="14" t="s">
        <v>820</v>
      </c>
      <c r="AG40" s="9" t="s">
        <v>821</v>
      </c>
      <c r="AH40" s="1" t="s">
        <v>9</v>
      </c>
      <c r="AI40" s="9" t="s">
        <v>10</v>
      </c>
      <c r="AJ40" s="1" t="s">
        <v>11</v>
      </c>
      <c r="AK40" s="1" t="s">
        <v>1052</v>
      </c>
      <c r="AL40" s="1" t="s">
        <v>1053</v>
      </c>
      <c r="AM40" s="9">
        <v>11055</v>
      </c>
      <c r="AN40" s="1" t="s">
        <v>127</v>
      </c>
      <c r="AO40" s="1" t="s">
        <v>128</v>
      </c>
      <c r="AP40" s="1" t="s">
        <v>1054</v>
      </c>
      <c r="AQ40" s="14">
        <v>45658</v>
      </c>
      <c r="AU40" s="14">
        <v>45803</v>
      </c>
      <c r="AV40" s="16">
        <v>0</v>
      </c>
      <c r="AW40" s="16">
        <v>0</v>
      </c>
      <c r="BA40" s="1" t="s">
        <v>911</v>
      </c>
      <c r="BB40" s="9">
        <v>7</v>
      </c>
      <c r="BC40" s="1" t="s">
        <v>826</v>
      </c>
      <c r="BD40" s="9" t="s">
        <v>807</v>
      </c>
      <c r="BE40" s="1" t="s">
        <v>1021</v>
      </c>
      <c r="BF40" s="1" t="s">
        <v>116</v>
      </c>
      <c r="BG40" s="1" t="s">
        <v>1022</v>
      </c>
      <c r="BH40" s="1" t="s">
        <v>1023</v>
      </c>
      <c r="BI40" s="1" t="s">
        <v>1055</v>
      </c>
      <c r="BJ40" s="21" t="str">
        <f t="shared" si="0"/>
        <v>FIXO</v>
      </c>
    </row>
    <row r="41" spans="1:62" x14ac:dyDescent="0.25">
      <c r="A41" s="7">
        <v>2</v>
      </c>
      <c r="B41" s="1" t="s">
        <v>806</v>
      </c>
      <c r="C41" s="8">
        <v>5</v>
      </c>
      <c r="D41" s="9" t="s">
        <v>807</v>
      </c>
      <c r="E41" s="10">
        <v>13172</v>
      </c>
      <c r="F41" s="11" t="s">
        <v>1056</v>
      </c>
      <c r="G41" s="1" t="s">
        <v>41</v>
      </c>
      <c r="H41" s="13" t="str">
        <f>VLOOKUP(AP41,[1]Listas!A:B,2,0)</f>
        <v xml:space="preserve">FESP </v>
      </c>
      <c r="I41" s="12" t="s">
        <v>38</v>
      </c>
      <c r="J41" s="12"/>
      <c r="K41" s="1" t="s">
        <v>32</v>
      </c>
      <c r="L41" s="12"/>
      <c r="M41" s="1" t="s">
        <v>129</v>
      </c>
      <c r="N41" s="14">
        <v>23287</v>
      </c>
      <c r="O41" s="1" t="s">
        <v>855</v>
      </c>
      <c r="P41" s="1" t="s">
        <v>856</v>
      </c>
      <c r="Q41" s="15" t="s">
        <v>811</v>
      </c>
      <c r="R41" s="1" t="s">
        <v>812</v>
      </c>
      <c r="S41" s="1" t="s">
        <v>1017</v>
      </c>
      <c r="U41" s="9" t="s">
        <v>814</v>
      </c>
      <c r="V41" s="1" t="s">
        <v>815</v>
      </c>
      <c r="W41" s="1" t="s">
        <v>1057</v>
      </c>
      <c r="X41" s="1" t="s">
        <v>130</v>
      </c>
      <c r="Y41" s="14">
        <v>44583</v>
      </c>
      <c r="Z41" s="9" t="s">
        <v>817</v>
      </c>
      <c r="AB41" s="14">
        <v>44501</v>
      </c>
      <c r="AC41" s="9" t="s">
        <v>817</v>
      </c>
      <c r="AD41" s="9" t="s">
        <v>818</v>
      </c>
      <c r="AE41" s="1" t="s">
        <v>819</v>
      </c>
      <c r="AF41" s="14">
        <v>45200</v>
      </c>
      <c r="AG41" s="9" t="s">
        <v>835</v>
      </c>
      <c r="AH41" s="1" t="s">
        <v>17</v>
      </c>
      <c r="AI41" s="9" t="s">
        <v>120</v>
      </c>
      <c r="AJ41" s="1" t="s">
        <v>121</v>
      </c>
      <c r="AK41" s="1" t="s">
        <v>1058</v>
      </c>
      <c r="AL41" s="1" t="s">
        <v>1059</v>
      </c>
      <c r="AM41" s="9">
        <v>11336</v>
      </c>
      <c r="AN41" s="1" t="s">
        <v>62</v>
      </c>
      <c r="AO41" s="1" t="s">
        <v>63</v>
      </c>
      <c r="AP41" s="1" t="s">
        <v>928</v>
      </c>
      <c r="AQ41" s="14">
        <v>45658</v>
      </c>
      <c r="AU41" s="14">
        <v>45799</v>
      </c>
      <c r="AV41" s="16">
        <v>0</v>
      </c>
      <c r="AW41" s="16">
        <v>0</v>
      </c>
      <c r="BA41" s="1" t="s">
        <v>911</v>
      </c>
      <c r="BB41" s="9">
        <v>1</v>
      </c>
      <c r="BC41" s="1" t="s">
        <v>862</v>
      </c>
      <c r="BD41" s="9" t="s">
        <v>807</v>
      </c>
      <c r="BE41" s="1" t="s">
        <v>863</v>
      </c>
      <c r="BF41" s="1" t="s">
        <v>32</v>
      </c>
      <c r="BG41" s="1" t="s">
        <v>864</v>
      </c>
      <c r="BH41" s="1" t="s">
        <v>865</v>
      </c>
      <c r="BI41" s="1" t="s">
        <v>929</v>
      </c>
      <c r="BJ41" s="21" t="str">
        <f t="shared" si="0"/>
        <v>FIXO</v>
      </c>
    </row>
    <row r="42" spans="1:62" x14ac:dyDescent="0.25">
      <c r="A42" s="7">
        <v>2</v>
      </c>
      <c r="B42" s="1" t="s">
        <v>806</v>
      </c>
      <c r="C42" s="8">
        <v>3</v>
      </c>
      <c r="D42" s="9" t="s">
        <v>807</v>
      </c>
      <c r="E42" s="10">
        <v>13293</v>
      </c>
      <c r="F42" s="11" t="s">
        <v>1060</v>
      </c>
      <c r="G42" s="12" t="s">
        <v>1061</v>
      </c>
      <c r="H42" s="24" t="str">
        <f>VLOOKUP(AP42,[1]Listas!A:B,2,0)</f>
        <v>RESI</v>
      </c>
      <c r="I42" s="12"/>
      <c r="J42" s="12"/>
      <c r="K42" s="12"/>
      <c r="L42" s="12"/>
      <c r="M42" s="1" t="s">
        <v>131</v>
      </c>
      <c r="N42" s="14">
        <v>25470</v>
      </c>
      <c r="O42" s="1" t="s">
        <v>809</v>
      </c>
      <c r="P42" s="1" t="s">
        <v>810</v>
      </c>
      <c r="Q42" s="15" t="s">
        <v>1031</v>
      </c>
      <c r="R42" s="1" t="s">
        <v>1032</v>
      </c>
      <c r="S42" s="1" t="s">
        <v>807</v>
      </c>
      <c r="T42" s="1" t="s">
        <v>813</v>
      </c>
      <c r="U42" s="9" t="s">
        <v>832</v>
      </c>
      <c r="V42" s="1" t="s">
        <v>833</v>
      </c>
      <c r="W42" s="1" t="s">
        <v>1062</v>
      </c>
      <c r="X42" s="1" t="s">
        <v>132</v>
      </c>
      <c r="Y42" s="14">
        <v>44806</v>
      </c>
      <c r="Z42" s="9" t="s">
        <v>817</v>
      </c>
      <c r="AB42" s="14">
        <v>44805</v>
      </c>
      <c r="AC42" s="9" t="s">
        <v>817</v>
      </c>
      <c r="AD42" s="9" t="s">
        <v>818</v>
      </c>
      <c r="AE42" s="1" t="s">
        <v>819</v>
      </c>
      <c r="AF42" s="14" t="s">
        <v>820</v>
      </c>
      <c r="AG42" s="9" t="s">
        <v>821</v>
      </c>
      <c r="AH42" s="1" t="s">
        <v>9</v>
      </c>
      <c r="AI42" s="9" t="s">
        <v>10</v>
      </c>
      <c r="AJ42" s="1" t="s">
        <v>11</v>
      </c>
      <c r="AK42" s="1" t="s">
        <v>1063</v>
      </c>
      <c r="AL42" s="1" t="s">
        <v>1064</v>
      </c>
      <c r="AM42" s="9">
        <v>19903</v>
      </c>
      <c r="AN42" s="1" t="s">
        <v>133</v>
      </c>
      <c r="AO42" s="1" t="s">
        <v>134</v>
      </c>
      <c r="AP42" s="1" t="s">
        <v>1065</v>
      </c>
      <c r="AQ42" s="14">
        <v>45901</v>
      </c>
      <c r="AU42" s="14">
        <v>45818</v>
      </c>
      <c r="AV42" s="16">
        <v>0</v>
      </c>
      <c r="AW42" s="16">
        <v>0</v>
      </c>
      <c r="BA42" s="1" t="s">
        <v>911</v>
      </c>
      <c r="BB42" s="9">
        <v>7</v>
      </c>
      <c r="BC42" s="1" t="s">
        <v>826</v>
      </c>
      <c r="BD42" s="9" t="s">
        <v>807</v>
      </c>
      <c r="BE42" s="1" t="s">
        <v>940</v>
      </c>
      <c r="BF42" s="1" t="s">
        <v>71</v>
      </c>
      <c r="BG42" s="1" t="s">
        <v>941</v>
      </c>
      <c r="BH42" s="1" t="s">
        <v>942</v>
      </c>
      <c r="BI42" s="19" t="s">
        <v>1066</v>
      </c>
      <c r="BJ42" s="21" t="str">
        <f t="shared" si="0"/>
        <v>FIXO</v>
      </c>
    </row>
    <row r="43" spans="1:62" x14ac:dyDescent="0.25">
      <c r="A43" s="7">
        <v>2</v>
      </c>
      <c r="B43" s="1" t="s">
        <v>806</v>
      </c>
      <c r="C43" s="8">
        <v>2</v>
      </c>
      <c r="D43" s="9" t="s">
        <v>807</v>
      </c>
      <c r="E43" s="10">
        <v>13308</v>
      </c>
      <c r="F43" s="11" t="s">
        <v>1067</v>
      </c>
      <c r="G43" s="12" t="s">
        <v>71</v>
      </c>
      <c r="H43" s="13" t="str">
        <f>VLOOKUP(AP43,[1]Listas!A:B,2,0)</f>
        <v xml:space="preserve">FEAR </v>
      </c>
      <c r="I43" s="1" t="s">
        <v>116</v>
      </c>
      <c r="J43" s="12"/>
      <c r="K43" s="12"/>
      <c r="L43" s="12"/>
      <c r="M43" s="1" t="s">
        <v>135</v>
      </c>
      <c r="N43" s="14">
        <v>32620</v>
      </c>
      <c r="O43" s="1" t="s">
        <v>855</v>
      </c>
      <c r="P43" s="1" t="s">
        <v>856</v>
      </c>
      <c r="Q43" s="15" t="s">
        <v>807</v>
      </c>
      <c r="R43" s="1" t="s">
        <v>857</v>
      </c>
      <c r="S43" s="1" t="s">
        <v>1017</v>
      </c>
      <c r="U43" s="9" t="s">
        <v>811</v>
      </c>
      <c r="V43" s="1" t="s">
        <v>870</v>
      </c>
      <c r="W43" s="1" t="s">
        <v>871</v>
      </c>
      <c r="X43" s="1" t="s">
        <v>34</v>
      </c>
      <c r="Y43" s="14">
        <v>45374</v>
      </c>
      <c r="Z43" s="9" t="s">
        <v>817</v>
      </c>
      <c r="AB43" s="14">
        <v>44551</v>
      </c>
      <c r="AC43" s="9" t="s">
        <v>817</v>
      </c>
      <c r="AD43" s="9" t="s">
        <v>818</v>
      </c>
      <c r="AE43" s="1" t="s">
        <v>819</v>
      </c>
      <c r="AF43" s="14" t="s">
        <v>820</v>
      </c>
      <c r="AG43" s="9" t="s">
        <v>821</v>
      </c>
      <c r="AH43" s="1" t="s">
        <v>9</v>
      </c>
      <c r="AI43" s="9" t="s">
        <v>10</v>
      </c>
      <c r="AJ43" s="1" t="s">
        <v>11</v>
      </c>
      <c r="AK43" s="1" t="s">
        <v>1018</v>
      </c>
      <c r="AL43" s="1" t="s">
        <v>1019</v>
      </c>
      <c r="AM43" s="9">
        <v>11043</v>
      </c>
      <c r="AN43" s="1" t="s">
        <v>114</v>
      </c>
      <c r="AO43" s="1" t="s">
        <v>115</v>
      </c>
      <c r="AP43" s="1" t="s">
        <v>1020</v>
      </c>
      <c r="AQ43" s="14">
        <v>45726</v>
      </c>
      <c r="AU43" s="14">
        <v>45799</v>
      </c>
      <c r="AV43" s="16">
        <v>0</v>
      </c>
      <c r="AW43" s="16">
        <v>0</v>
      </c>
      <c r="BA43" s="1" t="s">
        <v>911</v>
      </c>
      <c r="BB43" s="9">
        <v>1</v>
      </c>
      <c r="BC43" s="1" t="s">
        <v>862</v>
      </c>
      <c r="BD43" s="9" t="s">
        <v>807</v>
      </c>
      <c r="BE43" s="1" t="s">
        <v>1021</v>
      </c>
      <c r="BF43" s="1" t="s">
        <v>116</v>
      </c>
      <c r="BG43" s="1" t="s">
        <v>1022</v>
      </c>
      <c r="BH43" s="1" t="s">
        <v>1023</v>
      </c>
      <c r="BI43" s="1" t="s">
        <v>878</v>
      </c>
      <c r="BJ43" s="21" t="str">
        <f t="shared" si="0"/>
        <v>FIXO</v>
      </c>
    </row>
    <row r="44" spans="1:62" x14ac:dyDescent="0.25">
      <c r="A44" s="7">
        <v>2</v>
      </c>
      <c r="B44" s="1" t="s">
        <v>806</v>
      </c>
      <c r="C44" s="8">
        <v>5</v>
      </c>
      <c r="D44" s="9" t="s">
        <v>807</v>
      </c>
      <c r="E44" s="10">
        <v>13358</v>
      </c>
      <c r="F44" s="11" t="s">
        <v>1068</v>
      </c>
      <c r="G44" s="1" t="s">
        <v>41</v>
      </c>
      <c r="H44" s="13" t="str">
        <f>VLOOKUP(AP44,[1]Listas!A:B,2,0)</f>
        <v xml:space="preserve">FESP </v>
      </c>
      <c r="I44" s="1" t="s">
        <v>38</v>
      </c>
      <c r="J44" s="12"/>
      <c r="K44" s="1" t="s">
        <v>245</v>
      </c>
      <c r="L44" s="12"/>
      <c r="M44" s="1" t="s">
        <v>136</v>
      </c>
      <c r="N44" s="14">
        <v>31762</v>
      </c>
      <c r="O44" s="1" t="s">
        <v>855</v>
      </c>
      <c r="P44" s="1" t="s">
        <v>856</v>
      </c>
      <c r="Q44" s="15" t="s">
        <v>807</v>
      </c>
      <c r="R44" s="1" t="s">
        <v>857</v>
      </c>
      <c r="S44" s="1" t="s">
        <v>868</v>
      </c>
      <c r="T44" s="1" t="s">
        <v>869</v>
      </c>
      <c r="U44" s="9" t="s">
        <v>880</v>
      </c>
      <c r="V44" s="1" t="s">
        <v>881</v>
      </c>
      <c r="W44" s="1" t="s">
        <v>1069</v>
      </c>
      <c r="X44" s="1" t="s">
        <v>137</v>
      </c>
      <c r="Y44" s="14">
        <v>45679</v>
      </c>
      <c r="Z44" s="9" t="s">
        <v>817</v>
      </c>
      <c r="AB44" s="14">
        <v>45265</v>
      </c>
      <c r="AC44" s="9" t="s">
        <v>817</v>
      </c>
      <c r="AD44" s="9" t="s">
        <v>818</v>
      </c>
      <c r="AE44" s="1" t="s">
        <v>819</v>
      </c>
      <c r="AF44" s="14" t="s">
        <v>820</v>
      </c>
      <c r="AG44" s="9" t="s">
        <v>821</v>
      </c>
      <c r="AH44" s="1" t="s">
        <v>9</v>
      </c>
      <c r="AI44" s="9" t="s">
        <v>10</v>
      </c>
      <c r="AJ44" s="1" t="s">
        <v>11</v>
      </c>
      <c r="AK44" s="1" t="s">
        <v>1070</v>
      </c>
      <c r="AL44" s="1" t="s">
        <v>1071</v>
      </c>
      <c r="AM44" s="9">
        <v>11369</v>
      </c>
      <c r="AN44" s="1" t="s">
        <v>138</v>
      </c>
      <c r="AO44" s="1" t="s">
        <v>139</v>
      </c>
      <c r="AP44" s="1" t="s">
        <v>1072</v>
      </c>
      <c r="AQ44" s="14">
        <v>45679</v>
      </c>
      <c r="AU44" s="14">
        <v>45679</v>
      </c>
      <c r="AV44" s="16">
        <v>0</v>
      </c>
      <c r="AW44" s="16">
        <v>0</v>
      </c>
      <c r="BA44" s="1" t="s">
        <v>911</v>
      </c>
      <c r="BB44" s="9">
        <v>1</v>
      </c>
      <c r="BC44" s="1" t="s">
        <v>862</v>
      </c>
      <c r="BD44" s="9" t="s">
        <v>807</v>
      </c>
      <c r="BE44" s="1" t="s">
        <v>893</v>
      </c>
      <c r="BF44" s="1" t="s">
        <v>38</v>
      </c>
      <c r="BG44" s="1" t="s">
        <v>883</v>
      </c>
      <c r="BH44" s="1" t="s">
        <v>884</v>
      </c>
      <c r="BI44" s="20" t="s">
        <v>1073</v>
      </c>
      <c r="BJ44" s="21" t="str">
        <f t="shared" si="0"/>
        <v>FIXO</v>
      </c>
    </row>
    <row r="45" spans="1:62" x14ac:dyDescent="0.25">
      <c r="A45" s="7">
        <v>2</v>
      </c>
      <c r="B45" s="1" t="s">
        <v>806</v>
      </c>
      <c r="C45" s="8">
        <v>5</v>
      </c>
      <c r="D45" s="9" t="s">
        <v>807</v>
      </c>
      <c r="E45" s="10">
        <v>13382</v>
      </c>
      <c r="F45" s="11" t="s">
        <v>1074</v>
      </c>
      <c r="G45" s="1" t="s">
        <v>41</v>
      </c>
      <c r="H45" s="13" t="str">
        <f>VLOOKUP(AP45,[1]Listas!A:B,2,0)</f>
        <v xml:space="preserve">FESP </v>
      </c>
      <c r="I45" s="12" t="s">
        <v>38</v>
      </c>
      <c r="J45" s="12"/>
      <c r="K45" s="1" t="s">
        <v>32</v>
      </c>
      <c r="L45" s="1" t="s">
        <v>28</v>
      </c>
      <c r="M45" s="1" t="s">
        <v>140</v>
      </c>
      <c r="N45" s="14">
        <v>32740</v>
      </c>
      <c r="O45" s="1" t="s">
        <v>855</v>
      </c>
      <c r="P45" s="1" t="s">
        <v>856</v>
      </c>
      <c r="Q45" s="15" t="s">
        <v>814</v>
      </c>
      <c r="R45" s="1" t="s">
        <v>1075</v>
      </c>
      <c r="S45" s="1" t="s">
        <v>868</v>
      </c>
      <c r="T45" s="1" t="s">
        <v>869</v>
      </c>
      <c r="U45" s="9" t="s">
        <v>814</v>
      </c>
      <c r="V45" s="1" t="s">
        <v>815</v>
      </c>
      <c r="W45" s="1" t="s">
        <v>871</v>
      </c>
      <c r="X45" s="1" t="s">
        <v>34</v>
      </c>
      <c r="Y45" s="14">
        <v>45525</v>
      </c>
      <c r="Z45" s="9" t="s">
        <v>817</v>
      </c>
      <c r="AB45" s="14">
        <v>45524</v>
      </c>
      <c r="AC45" s="9" t="s">
        <v>817</v>
      </c>
      <c r="AD45" s="9" t="s">
        <v>818</v>
      </c>
      <c r="AE45" s="1" t="s">
        <v>819</v>
      </c>
      <c r="AF45" s="14" t="s">
        <v>820</v>
      </c>
      <c r="AG45" s="9" t="s">
        <v>821</v>
      </c>
      <c r="AH45" s="1" t="s">
        <v>9</v>
      </c>
      <c r="AI45" s="9" t="s">
        <v>10</v>
      </c>
      <c r="AJ45" s="1" t="s">
        <v>11</v>
      </c>
      <c r="AK45" s="1" t="s">
        <v>921</v>
      </c>
      <c r="AL45" s="1" t="s">
        <v>922</v>
      </c>
      <c r="AM45" s="9">
        <v>11382</v>
      </c>
      <c r="AN45" s="1" t="s">
        <v>58</v>
      </c>
      <c r="AO45" s="1" t="s">
        <v>36</v>
      </c>
      <c r="AP45" s="1" t="s">
        <v>874</v>
      </c>
      <c r="AQ45" s="14">
        <v>45658</v>
      </c>
      <c r="AU45" s="14">
        <v>45799</v>
      </c>
      <c r="AV45" s="16">
        <v>0</v>
      </c>
      <c r="AW45" s="16">
        <v>0</v>
      </c>
      <c r="BA45" s="1" t="s">
        <v>911</v>
      </c>
      <c r="BB45" s="9">
        <v>1</v>
      </c>
      <c r="BC45" s="1" t="s">
        <v>862</v>
      </c>
      <c r="BD45" s="9" t="s">
        <v>807</v>
      </c>
      <c r="BE45" s="1" t="s">
        <v>863</v>
      </c>
      <c r="BF45" s="1" t="s">
        <v>32</v>
      </c>
      <c r="BG45" s="1" t="s">
        <v>864</v>
      </c>
      <c r="BH45" s="1" t="s">
        <v>865</v>
      </c>
      <c r="BI45" s="1" t="s">
        <v>866</v>
      </c>
      <c r="BJ45" s="21" t="str">
        <f t="shared" si="0"/>
        <v>FIXO</v>
      </c>
    </row>
    <row r="46" spans="1:62" x14ac:dyDescent="0.25">
      <c r="A46" s="7">
        <v>2</v>
      </c>
      <c r="B46" s="1" t="s">
        <v>806</v>
      </c>
      <c r="C46" s="8">
        <v>3</v>
      </c>
      <c r="D46" s="9" t="s">
        <v>807</v>
      </c>
      <c r="E46" s="10">
        <v>13403</v>
      </c>
      <c r="F46" s="11" t="s">
        <v>1076</v>
      </c>
      <c r="G46" s="12" t="s">
        <v>71</v>
      </c>
      <c r="H46" s="13" t="str">
        <f>VLOOKUP(AP46,[1]Listas!A:B,2,0)</f>
        <v xml:space="preserve">MTRZ </v>
      </c>
      <c r="I46" s="1"/>
      <c r="J46" s="12"/>
      <c r="K46" s="12"/>
      <c r="L46" s="12"/>
      <c r="M46" s="1" t="s">
        <v>141</v>
      </c>
      <c r="N46" s="14">
        <v>31870</v>
      </c>
      <c r="O46" s="1" t="s">
        <v>855</v>
      </c>
      <c r="P46" s="1" t="s">
        <v>856</v>
      </c>
      <c r="Q46" s="15" t="s">
        <v>811</v>
      </c>
      <c r="R46" s="1" t="s">
        <v>812</v>
      </c>
      <c r="S46" s="1" t="s">
        <v>807</v>
      </c>
      <c r="T46" s="1" t="s">
        <v>813</v>
      </c>
      <c r="U46" s="9" t="s">
        <v>940</v>
      </c>
      <c r="V46" s="1" t="s">
        <v>1077</v>
      </c>
      <c r="W46" s="1" t="s">
        <v>1078</v>
      </c>
      <c r="X46" s="1" t="s">
        <v>142</v>
      </c>
      <c r="Y46" s="14">
        <v>45778</v>
      </c>
      <c r="Z46" s="9" t="s">
        <v>817</v>
      </c>
      <c r="AB46" s="14">
        <v>44595</v>
      </c>
      <c r="AC46" s="9" t="s">
        <v>817</v>
      </c>
      <c r="AD46" s="9" t="s">
        <v>818</v>
      </c>
      <c r="AE46" s="1" t="s">
        <v>819</v>
      </c>
      <c r="AF46" s="14" t="s">
        <v>820</v>
      </c>
      <c r="AG46" s="9" t="s">
        <v>821</v>
      </c>
      <c r="AH46" s="1" t="s">
        <v>9</v>
      </c>
      <c r="AI46" s="9" t="s">
        <v>10</v>
      </c>
      <c r="AJ46" s="1" t="s">
        <v>11</v>
      </c>
      <c r="AK46" s="1" t="s">
        <v>1079</v>
      </c>
      <c r="AL46" s="1" t="s">
        <v>1080</v>
      </c>
      <c r="AM46" s="9">
        <v>10108</v>
      </c>
      <c r="AN46" s="1" t="s">
        <v>18</v>
      </c>
      <c r="AO46" s="1" t="s">
        <v>19</v>
      </c>
      <c r="AP46" s="1" t="s">
        <v>838</v>
      </c>
      <c r="AQ46" s="14">
        <v>45658</v>
      </c>
      <c r="AU46" s="14">
        <v>45679</v>
      </c>
      <c r="AV46" s="16">
        <v>0</v>
      </c>
      <c r="AW46" s="16">
        <v>0</v>
      </c>
      <c r="BA46" s="1" t="s">
        <v>911</v>
      </c>
      <c r="BB46" s="9">
        <v>10</v>
      </c>
      <c r="BC46" s="1" t="s">
        <v>839</v>
      </c>
      <c r="BD46" s="9" t="s">
        <v>807</v>
      </c>
      <c r="BE46" s="1" t="s">
        <v>940</v>
      </c>
      <c r="BF46" s="1" t="s">
        <v>71</v>
      </c>
      <c r="BG46" s="1" t="s">
        <v>941</v>
      </c>
      <c r="BH46" s="1" t="s">
        <v>942</v>
      </c>
      <c r="BI46" s="20" t="s">
        <v>1081</v>
      </c>
      <c r="BJ46" s="21" t="str">
        <f t="shared" si="0"/>
        <v>FIXO</v>
      </c>
    </row>
    <row r="47" spans="1:62" x14ac:dyDescent="0.25">
      <c r="A47" s="7">
        <v>2</v>
      </c>
      <c r="B47" s="1" t="s">
        <v>806</v>
      </c>
      <c r="C47" s="8">
        <v>5</v>
      </c>
      <c r="D47" s="9" t="s">
        <v>807</v>
      </c>
      <c r="E47" s="10">
        <v>13421</v>
      </c>
      <c r="F47" s="11" t="s">
        <v>1082</v>
      </c>
      <c r="G47" s="1" t="s">
        <v>41</v>
      </c>
      <c r="H47" s="13" t="str">
        <f>VLOOKUP(AP47,[1]Listas!A:B,2,0)</f>
        <v xml:space="preserve">FESP </v>
      </c>
      <c r="I47" s="12" t="s">
        <v>38</v>
      </c>
      <c r="J47" s="12"/>
      <c r="K47" s="1" t="s">
        <v>32</v>
      </c>
      <c r="L47" s="1" t="s">
        <v>28</v>
      </c>
      <c r="M47" s="1" t="s">
        <v>143</v>
      </c>
      <c r="N47" s="14">
        <v>34309</v>
      </c>
      <c r="O47" s="1" t="s">
        <v>855</v>
      </c>
      <c r="P47" s="1" t="s">
        <v>856</v>
      </c>
      <c r="Q47" s="15" t="s">
        <v>807</v>
      </c>
      <c r="R47" s="1" t="s">
        <v>857</v>
      </c>
      <c r="S47" s="1" t="s">
        <v>868</v>
      </c>
      <c r="T47" s="1" t="s">
        <v>869</v>
      </c>
      <c r="U47" s="9" t="s">
        <v>868</v>
      </c>
      <c r="V47" s="1" t="s">
        <v>913</v>
      </c>
      <c r="W47" s="1" t="s">
        <v>871</v>
      </c>
      <c r="X47" s="1" t="s">
        <v>34</v>
      </c>
      <c r="Y47" s="14">
        <v>44827</v>
      </c>
      <c r="Z47" s="9" t="s">
        <v>817</v>
      </c>
      <c r="AB47" s="14">
        <v>44574</v>
      </c>
      <c r="AC47" s="9" t="s">
        <v>817</v>
      </c>
      <c r="AD47" s="9" t="s">
        <v>818</v>
      </c>
      <c r="AE47" s="1" t="s">
        <v>819</v>
      </c>
      <c r="AF47" s="14" t="s">
        <v>820</v>
      </c>
      <c r="AG47" s="9" t="s">
        <v>821</v>
      </c>
      <c r="AH47" s="1" t="s">
        <v>9</v>
      </c>
      <c r="AI47" s="9" t="s">
        <v>10</v>
      </c>
      <c r="AJ47" s="1" t="s">
        <v>11</v>
      </c>
      <c r="AK47" s="1" t="s">
        <v>921</v>
      </c>
      <c r="AL47" s="1" t="s">
        <v>922</v>
      </c>
      <c r="AM47" s="9">
        <v>11382</v>
      </c>
      <c r="AN47" s="1" t="s">
        <v>58</v>
      </c>
      <c r="AO47" s="1" t="s">
        <v>36</v>
      </c>
      <c r="AP47" s="1" t="s">
        <v>874</v>
      </c>
      <c r="AQ47" s="14">
        <v>45658</v>
      </c>
      <c r="AU47" s="14">
        <v>45799</v>
      </c>
      <c r="AV47" s="16">
        <v>0</v>
      </c>
      <c r="AW47" s="16">
        <v>0</v>
      </c>
      <c r="BA47" s="1" t="s">
        <v>911</v>
      </c>
      <c r="BB47" s="9">
        <v>7</v>
      </c>
      <c r="BC47" s="1" t="s">
        <v>826</v>
      </c>
      <c r="BD47" s="9" t="s">
        <v>807</v>
      </c>
      <c r="BE47" s="1" t="s">
        <v>863</v>
      </c>
      <c r="BF47" s="1" t="s">
        <v>32</v>
      </c>
      <c r="BG47" s="1" t="s">
        <v>864</v>
      </c>
      <c r="BH47" s="1" t="s">
        <v>865</v>
      </c>
      <c r="BI47" s="1" t="s">
        <v>866</v>
      </c>
      <c r="BJ47" s="21" t="str">
        <f t="shared" si="0"/>
        <v>FIXO</v>
      </c>
    </row>
    <row r="48" spans="1:62" x14ac:dyDescent="0.25">
      <c r="A48" s="7">
        <v>2</v>
      </c>
      <c r="B48" s="1" t="s">
        <v>806</v>
      </c>
      <c r="C48" s="8">
        <v>3</v>
      </c>
      <c r="D48" s="9" t="s">
        <v>807</v>
      </c>
      <c r="E48" s="10">
        <v>13599</v>
      </c>
      <c r="F48" s="11" t="s">
        <v>1083</v>
      </c>
      <c r="G48" s="12" t="s">
        <v>71</v>
      </c>
      <c r="H48" s="13" t="str">
        <f>VLOOKUP(AP48,[1]Listas!A:B,2,0)</f>
        <v xml:space="preserve">MTRZ </v>
      </c>
      <c r="I48" s="12" t="s">
        <v>236</v>
      </c>
      <c r="J48" s="12"/>
      <c r="K48" s="12"/>
      <c r="L48" s="12"/>
      <c r="M48" s="1" t="s">
        <v>144</v>
      </c>
      <c r="N48" s="14">
        <v>35394</v>
      </c>
      <c r="O48" s="1" t="s">
        <v>855</v>
      </c>
      <c r="P48" s="1" t="s">
        <v>856</v>
      </c>
      <c r="Q48" s="15" t="s">
        <v>807</v>
      </c>
      <c r="R48" s="1" t="s">
        <v>857</v>
      </c>
      <c r="S48" s="1" t="s">
        <v>868</v>
      </c>
      <c r="T48" s="1" t="s">
        <v>869</v>
      </c>
      <c r="U48" s="9" t="s">
        <v>814</v>
      </c>
      <c r="V48" s="1" t="s">
        <v>815</v>
      </c>
      <c r="W48" s="1" t="s">
        <v>1004</v>
      </c>
      <c r="X48" s="1" t="s">
        <v>108</v>
      </c>
      <c r="Y48" s="14">
        <v>45364</v>
      </c>
      <c r="Z48" s="9" t="s">
        <v>817</v>
      </c>
      <c r="AB48" s="14">
        <v>45363</v>
      </c>
      <c r="AC48" s="9" t="s">
        <v>817</v>
      </c>
      <c r="AD48" s="9" t="s">
        <v>818</v>
      </c>
      <c r="AE48" s="1" t="s">
        <v>819</v>
      </c>
      <c r="AF48" s="14" t="s">
        <v>820</v>
      </c>
      <c r="AG48" s="9" t="s">
        <v>821</v>
      </c>
      <c r="AH48" s="1" t="s">
        <v>9</v>
      </c>
      <c r="AI48" s="9" t="s">
        <v>10</v>
      </c>
      <c r="AJ48" s="1" t="s">
        <v>11</v>
      </c>
      <c r="AK48" s="1" t="s">
        <v>1084</v>
      </c>
      <c r="AL48" s="1" t="s">
        <v>1085</v>
      </c>
      <c r="AM48" s="9">
        <v>10130</v>
      </c>
      <c r="AN48" s="1" t="s">
        <v>145</v>
      </c>
      <c r="AO48" s="1" t="s">
        <v>146</v>
      </c>
      <c r="AP48" s="1" t="s">
        <v>1086</v>
      </c>
      <c r="AQ48" s="14">
        <v>45658</v>
      </c>
      <c r="AU48" s="14">
        <v>45799</v>
      </c>
      <c r="AV48" s="16">
        <v>0</v>
      </c>
      <c r="AW48" s="16">
        <v>0</v>
      </c>
      <c r="BA48" s="1" t="s">
        <v>911</v>
      </c>
      <c r="BB48" s="9">
        <v>19</v>
      </c>
      <c r="BC48" s="1" t="s">
        <v>1087</v>
      </c>
      <c r="BD48" s="9" t="s">
        <v>807</v>
      </c>
      <c r="BE48" s="1" t="s">
        <v>1088</v>
      </c>
      <c r="BF48" s="1" t="s">
        <v>141</v>
      </c>
      <c r="BG48" s="1" t="s">
        <v>1079</v>
      </c>
      <c r="BH48" s="1" t="s">
        <v>1080</v>
      </c>
      <c r="BI48" s="20" t="s">
        <v>1089</v>
      </c>
      <c r="BJ48" s="21" t="str">
        <f t="shared" si="0"/>
        <v>FIXO</v>
      </c>
    </row>
    <row r="49" spans="1:62" x14ac:dyDescent="0.25">
      <c r="A49" s="7">
        <v>2</v>
      </c>
      <c r="B49" s="1" t="s">
        <v>806</v>
      </c>
      <c r="C49" s="8">
        <v>3</v>
      </c>
      <c r="D49" s="9" t="s">
        <v>807</v>
      </c>
      <c r="E49" s="10">
        <v>13777</v>
      </c>
      <c r="F49" s="11" t="s">
        <v>1090</v>
      </c>
      <c r="G49" s="12" t="s">
        <v>71</v>
      </c>
      <c r="H49" s="13" t="str">
        <f>VLOOKUP(AP49,[1]Listas!A:B,2,0)</f>
        <v xml:space="preserve">MTRZ </v>
      </c>
      <c r="I49" s="12" t="s">
        <v>236</v>
      </c>
      <c r="J49" s="12"/>
      <c r="K49" s="1" t="s">
        <v>151</v>
      </c>
      <c r="L49" s="12"/>
      <c r="M49" s="1" t="s">
        <v>147</v>
      </c>
      <c r="N49" s="14">
        <v>37073</v>
      </c>
      <c r="O49" s="1" t="s">
        <v>809</v>
      </c>
      <c r="P49" s="1" t="s">
        <v>810</v>
      </c>
      <c r="Q49" s="15" t="s">
        <v>807</v>
      </c>
      <c r="R49" s="1" t="s">
        <v>857</v>
      </c>
      <c r="S49" s="1" t="s">
        <v>868</v>
      </c>
      <c r="T49" s="1" t="s">
        <v>869</v>
      </c>
      <c r="U49" s="9" t="s">
        <v>814</v>
      </c>
      <c r="V49" s="1" t="s">
        <v>815</v>
      </c>
      <c r="W49" s="1" t="s">
        <v>1091</v>
      </c>
      <c r="X49" s="1" t="s">
        <v>148</v>
      </c>
      <c r="Y49" s="14">
        <v>45262</v>
      </c>
      <c r="Z49" s="9" t="s">
        <v>817</v>
      </c>
      <c r="AB49" s="14">
        <v>44677</v>
      </c>
      <c r="AC49" s="9" t="s">
        <v>817</v>
      </c>
      <c r="AD49" s="9" t="s">
        <v>818</v>
      </c>
      <c r="AE49" s="1" t="s">
        <v>819</v>
      </c>
      <c r="AF49" s="14" t="s">
        <v>820</v>
      </c>
      <c r="AG49" s="9" t="s">
        <v>821</v>
      </c>
      <c r="AH49" s="1" t="s">
        <v>9</v>
      </c>
      <c r="AI49" s="9" t="s">
        <v>10</v>
      </c>
      <c r="AJ49" s="1" t="s">
        <v>11</v>
      </c>
      <c r="AK49" s="1" t="s">
        <v>1092</v>
      </c>
      <c r="AL49" s="1" t="s">
        <v>1093</v>
      </c>
      <c r="AM49" s="9">
        <v>10110</v>
      </c>
      <c r="AN49" s="1" t="s">
        <v>149</v>
      </c>
      <c r="AO49" s="1" t="s">
        <v>150</v>
      </c>
      <c r="AP49" s="1" t="s">
        <v>1094</v>
      </c>
      <c r="AQ49" s="14">
        <v>45658</v>
      </c>
      <c r="AU49" s="14">
        <v>45799</v>
      </c>
      <c r="AV49" s="16">
        <v>0</v>
      </c>
      <c r="AW49" s="16">
        <v>0</v>
      </c>
      <c r="BA49" s="1" t="s">
        <v>911</v>
      </c>
      <c r="BB49" s="9">
        <v>19</v>
      </c>
      <c r="BC49" s="1" t="s">
        <v>1087</v>
      </c>
      <c r="BD49" s="9" t="s">
        <v>807</v>
      </c>
      <c r="BE49" s="1" t="s">
        <v>1095</v>
      </c>
      <c r="BF49" s="1" t="s">
        <v>151</v>
      </c>
      <c r="BG49" s="1" t="s">
        <v>1096</v>
      </c>
      <c r="BH49" s="1" t="s">
        <v>1097</v>
      </c>
      <c r="BI49" s="20" t="s">
        <v>1098</v>
      </c>
      <c r="BJ49" s="21" t="str">
        <f t="shared" si="0"/>
        <v>FIXO</v>
      </c>
    </row>
    <row r="50" spans="1:62" x14ac:dyDescent="0.25">
      <c r="A50" s="7">
        <v>2</v>
      </c>
      <c r="B50" s="1" t="s">
        <v>806</v>
      </c>
      <c r="C50" s="8">
        <v>5</v>
      </c>
      <c r="D50" s="9" t="s">
        <v>807</v>
      </c>
      <c r="E50" s="10">
        <v>13869</v>
      </c>
      <c r="F50" s="11" t="s">
        <v>1099</v>
      </c>
      <c r="G50" s="1" t="s">
        <v>41</v>
      </c>
      <c r="H50" s="13" t="str">
        <f>VLOOKUP(AP50,[1]Listas!A:B,2,0)</f>
        <v xml:space="preserve">FESP </v>
      </c>
      <c r="I50" s="1" t="s">
        <v>38</v>
      </c>
      <c r="J50" s="12"/>
      <c r="K50" s="12"/>
      <c r="L50" s="1" t="s">
        <v>38</v>
      </c>
      <c r="M50" s="1" t="s">
        <v>152</v>
      </c>
      <c r="N50" s="14">
        <v>31174</v>
      </c>
      <c r="O50" s="1" t="s">
        <v>855</v>
      </c>
      <c r="P50" s="1" t="s">
        <v>856</v>
      </c>
      <c r="Q50" s="15" t="s">
        <v>807</v>
      </c>
      <c r="R50" s="1" t="s">
        <v>857</v>
      </c>
      <c r="S50" s="1" t="s">
        <v>868</v>
      </c>
      <c r="T50" s="1" t="s">
        <v>869</v>
      </c>
      <c r="U50" s="9" t="s">
        <v>1031</v>
      </c>
      <c r="V50" s="1" t="s">
        <v>1100</v>
      </c>
      <c r="W50" s="1" t="s">
        <v>1101</v>
      </c>
      <c r="X50" s="1" t="s">
        <v>153</v>
      </c>
      <c r="Y50" s="14">
        <v>44959</v>
      </c>
      <c r="Z50" s="9" t="s">
        <v>817</v>
      </c>
      <c r="AB50" s="14">
        <v>44701</v>
      </c>
      <c r="AC50" s="9" t="s">
        <v>817</v>
      </c>
      <c r="AD50" s="9" t="s">
        <v>818</v>
      </c>
      <c r="AE50" s="1" t="s">
        <v>819</v>
      </c>
      <c r="AF50" s="14" t="s">
        <v>820</v>
      </c>
      <c r="AG50" s="9" t="s">
        <v>835</v>
      </c>
      <c r="AH50" s="1" t="s">
        <v>17</v>
      </c>
      <c r="AI50" s="9" t="s">
        <v>10</v>
      </c>
      <c r="AJ50" s="1" t="s">
        <v>11</v>
      </c>
      <c r="AK50" s="1" t="s">
        <v>1102</v>
      </c>
      <c r="AL50" s="1" t="s">
        <v>1103</v>
      </c>
      <c r="AM50" s="9">
        <v>11340</v>
      </c>
      <c r="AN50" s="1" t="s">
        <v>154</v>
      </c>
      <c r="AO50" s="1" t="s">
        <v>155</v>
      </c>
      <c r="AP50" s="1" t="s">
        <v>1104</v>
      </c>
      <c r="AQ50" s="14">
        <v>45658</v>
      </c>
      <c r="AU50" s="14">
        <v>45679</v>
      </c>
      <c r="AV50" s="16">
        <v>30</v>
      </c>
      <c r="AW50" s="16">
        <v>0</v>
      </c>
      <c r="BA50" s="1" t="s">
        <v>911</v>
      </c>
      <c r="BB50" s="9">
        <v>1</v>
      </c>
      <c r="BC50" s="1" t="s">
        <v>862</v>
      </c>
      <c r="BD50" s="9" t="s">
        <v>807</v>
      </c>
      <c r="BE50" s="1" t="s">
        <v>893</v>
      </c>
      <c r="BF50" s="1" t="s">
        <v>38</v>
      </c>
      <c r="BG50" s="1" t="s">
        <v>883</v>
      </c>
      <c r="BH50" s="1" t="s">
        <v>884</v>
      </c>
      <c r="BI50" s="20" t="s">
        <v>983</v>
      </c>
      <c r="BJ50" s="21" t="str">
        <f t="shared" si="0"/>
        <v>FIXO</v>
      </c>
    </row>
    <row r="51" spans="1:62" x14ac:dyDescent="0.25">
      <c r="A51" s="7">
        <v>2</v>
      </c>
      <c r="B51" s="1" t="s">
        <v>806</v>
      </c>
      <c r="C51" s="8">
        <v>3</v>
      </c>
      <c r="D51" s="9" t="s">
        <v>807</v>
      </c>
      <c r="E51" s="10">
        <v>14182</v>
      </c>
      <c r="F51" s="11" t="s">
        <v>1105</v>
      </c>
      <c r="G51" s="12" t="s">
        <v>71</v>
      </c>
      <c r="H51" s="13" t="str">
        <f>VLOOKUP(AP51,[1]Listas!A:B,2,0)</f>
        <v xml:space="preserve">MTRZ </v>
      </c>
      <c r="I51" s="1" t="s">
        <v>14</v>
      </c>
      <c r="J51" s="12"/>
      <c r="K51" s="12"/>
      <c r="L51" s="12"/>
      <c r="M51" s="1" t="s">
        <v>156</v>
      </c>
      <c r="N51" s="14">
        <v>36707</v>
      </c>
      <c r="O51" s="1" t="s">
        <v>809</v>
      </c>
      <c r="P51" s="1" t="s">
        <v>810</v>
      </c>
      <c r="Q51" s="15" t="s">
        <v>807</v>
      </c>
      <c r="R51" s="1" t="s">
        <v>857</v>
      </c>
      <c r="S51" s="1" t="s">
        <v>807</v>
      </c>
      <c r="T51" s="1" t="s">
        <v>813</v>
      </c>
      <c r="U51" s="9" t="s">
        <v>832</v>
      </c>
      <c r="V51" s="1" t="s">
        <v>833</v>
      </c>
      <c r="W51" s="1" t="s">
        <v>998</v>
      </c>
      <c r="X51" s="1" t="s">
        <v>104</v>
      </c>
      <c r="Y51" s="14">
        <v>45262</v>
      </c>
      <c r="Z51" s="9" t="s">
        <v>817</v>
      </c>
      <c r="AB51" s="14">
        <v>44963</v>
      </c>
      <c r="AC51" s="9" t="s">
        <v>817</v>
      </c>
      <c r="AD51" s="9" t="s">
        <v>818</v>
      </c>
      <c r="AE51" s="1" t="s">
        <v>819</v>
      </c>
      <c r="AF51" s="14" t="s">
        <v>820</v>
      </c>
      <c r="AG51" s="9" t="s">
        <v>821</v>
      </c>
      <c r="AH51" s="1" t="s">
        <v>9</v>
      </c>
      <c r="AI51" s="9" t="s">
        <v>10</v>
      </c>
      <c r="AJ51" s="1" t="s">
        <v>11</v>
      </c>
      <c r="AK51" s="1" t="s">
        <v>1106</v>
      </c>
      <c r="AL51" s="1" t="s">
        <v>1107</v>
      </c>
      <c r="AM51" s="9">
        <v>10131</v>
      </c>
      <c r="AN51" s="1" t="s">
        <v>12</v>
      </c>
      <c r="AO51" s="1" t="s">
        <v>13</v>
      </c>
      <c r="AP51" s="1" t="s">
        <v>824</v>
      </c>
      <c r="AQ51" s="14">
        <v>45658</v>
      </c>
      <c r="AU51" s="14">
        <v>45799</v>
      </c>
      <c r="AV51" s="16">
        <v>0</v>
      </c>
      <c r="AW51" s="16">
        <v>0</v>
      </c>
      <c r="BA51" s="1" t="s">
        <v>911</v>
      </c>
      <c r="BB51" s="9">
        <v>9</v>
      </c>
      <c r="BC51" s="1" t="s">
        <v>849</v>
      </c>
      <c r="BD51" s="9" t="s">
        <v>807</v>
      </c>
      <c r="BE51" s="1" t="s">
        <v>827</v>
      </c>
      <c r="BF51" s="1" t="s">
        <v>14</v>
      </c>
      <c r="BG51" s="1" t="s">
        <v>828</v>
      </c>
      <c r="BH51" s="1" t="s">
        <v>829</v>
      </c>
      <c r="BI51" s="17" t="s">
        <v>830</v>
      </c>
      <c r="BJ51" s="21" t="str">
        <f t="shared" si="0"/>
        <v>FIXO</v>
      </c>
    </row>
    <row r="52" spans="1:62" x14ac:dyDescent="0.25">
      <c r="A52" s="7">
        <v>2</v>
      </c>
      <c r="B52" s="1" t="s">
        <v>806</v>
      </c>
      <c r="C52" s="8">
        <v>3</v>
      </c>
      <c r="D52" s="9" t="s">
        <v>807</v>
      </c>
      <c r="E52" s="10">
        <v>14232</v>
      </c>
      <c r="F52" s="11" t="s">
        <v>1108</v>
      </c>
      <c r="G52" s="12" t="s">
        <v>71</v>
      </c>
      <c r="H52" s="13" t="str">
        <f>VLOOKUP(AP52,[1]Listas!A:B,2,0)</f>
        <v xml:space="preserve">MTRZ </v>
      </c>
      <c r="I52" s="12" t="s">
        <v>236</v>
      </c>
      <c r="J52" s="12"/>
      <c r="K52" s="12"/>
      <c r="L52" s="12"/>
      <c r="M52" s="1" t="s">
        <v>1109</v>
      </c>
      <c r="N52" s="14">
        <v>30459</v>
      </c>
      <c r="O52" s="1" t="s">
        <v>809</v>
      </c>
      <c r="P52" s="1" t="s">
        <v>810</v>
      </c>
      <c r="Q52" s="15" t="s">
        <v>807</v>
      </c>
      <c r="R52" s="1" t="s">
        <v>857</v>
      </c>
      <c r="S52" s="1" t="s">
        <v>868</v>
      </c>
      <c r="T52" s="1" t="s">
        <v>869</v>
      </c>
      <c r="U52" s="9" t="s">
        <v>814</v>
      </c>
      <c r="V52" s="1" t="s">
        <v>815</v>
      </c>
      <c r="W52" s="1" t="s">
        <v>1033</v>
      </c>
      <c r="X52" s="1" t="s">
        <v>1034</v>
      </c>
      <c r="Y52" s="14">
        <v>45262</v>
      </c>
      <c r="Z52" s="9" t="s">
        <v>817</v>
      </c>
      <c r="AB52" s="14">
        <v>44790</v>
      </c>
      <c r="AC52" s="9" t="s">
        <v>817</v>
      </c>
      <c r="AD52" s="9" t="s">
        <v>818</v>
      </c>
      <c r="AE52" s="1" t="s">
        <v>819</v>
      </c>
      <c r="AF52" s="14">
        <v>45915</v>
      </c>
      <c r="AG52" s="9" t="s">
        <v>821</v>
      </c>
      <c r="AH52" s="1" t="s">
        <v>9</v>
      </c>
      <c r="AI52" s="9" t="s">
        <v>179</v>
      </c>
      <c r="AJ52" s="1" t="s">
        <v>180</v>
      </c>
      <c r="AK52" s="1" t="s">
        <v>1035</v>
      </c>
      <c r="AL52" s="1" t="s">
        <v>1036</v>
      </c>
      <c r="AM52" s="9">
        <v>10112</v>
      </c>
      <c r="AN52" s="1" t="s">
        <v>122</v>
      </c>
      <c r="AO52" s="1" t="s">
        <v>1037</v>
      </c>
      <c r="AP52" s="1" t="s">
        <v>1038</v>
      </c>
      <c r="AQ52" s="14">
        <v>45658</v>
      </c>
      <c r="AU52" s="14">
        <v>45799</v>
      </c>
      <c r="AV52" s="16">
        <v>0</v>
      </c>
      <c r="AW52" s="16">
        <v>0</v>
      </c>
      <c r="BA52" s="1" t="s">
        <v>911</v>
      </c>
      <c r="BB52" s="9">
        <v>13</v>
      </c>
      <c r="BC52" s="1" t="s">
        <v>1039</v>
      </c>
      <c r="BD52" s="9" t="s">
        <v>811</v>
      </c>
      <c r="BE52" s="1" t="s">
        <v>1017</v>
      </c>
      <c r="BI52" s="20" t="s">
        <v>1040</v>
      </c>
      <c r="BJ52" s="21" t="str">
        <f t="shared" si="0"/>
        <v>FIXO</v>
      </c>
    </row>
    <row r="53" spans="1:62" x14ac:dyDescent="0.25">
      <c r="A53" s="7">
        <v>2</v>
      </c>
      <c r="B53" s="1" t="s">
        <v>806</v>
      </c>
      <c r="C53" s="8">
        <v>5</v>
      </c>
      <c r="D53" s="9" t="s">
        <v>807</v>
      </c>
      <c r="E53" s="10">
        <v>14237</v>
      </c>
      <c r="F53" s="11" t="s">
        <v>1110</v>
      </c>
      <c r="G53" s="1" t="s">
        <v>41</v>
      </c>
      <c r="H53" s="13" t="str">
        <f>VLOOKUP(AP53,[1]Listas!A:B,2,0)</f>
        <v xml:space="preserve">FESP </v>
      </c>
      <c r="I53" s="12" t="s">
        <v>38</v>
      </c>
      <c r="J53" s="12"/>
      <c r="K53" s="1" t="s">
        <v>32</v>
      </c>
      <c r="L53" s="1" t="s">
        <v>28</v>
      </c>
      <c r="M53" s="1" t="s">
        <v>157</v>
      </c>
      <c r="N53" s="14">
        <v>35094</v>
      </c>
      <c r="O53" s="1" t="s">
        <v>855</v>
      </c>
      <c r="P53" s="1" t="s">
        <v>856</v>
      </c>
      <c r="Q53" s="15" t="s">
        <v>811</v>
      </c>
      <c r="R53" s="1" t="s">
        <v>812</v>
      </c>
      <c r="S53" s="1" t="s">
        <v>868</v>
      </c>
      <c r="T53" s="1" t="s">
        <v>869</v>
      </c>
      <c r="U53" s="9" t="s">
        <v>814</v>
      </c>
      <c r="V53" s="1" t="s">
        <v>815</v>
      </c>
      <c r="W53" s="1" t="s">
        <v>871</v>
      </c>
      <c r="X53" s="1" t="s">
        <v>34</v>
      </c>
      <c r="Y53" s="14">
        <v>44793</v>
      </c>
      <c r="Z53" s="9" t="s">
        <v>817</v>
      </c>
      <c r="AB53" s="14">
        <v>44792</v>
      </c>
      <c r="AC53" s="9" t="s">
        <v>817</v>
      </c>
      <c r="AD53" s="9" t="s">
        <v>818</v>
      </c>
      <c r="AE53" s="1" t="s">
        <v>819</v>
      </c>
      <c r="AF53" s="14" t="s">
        <v>820</v>
      </c>
      <c r="AG53" s="9" t="s">
        <v>821</v>
      </c>
      <c r="AH53" s="1" t="s">
        <v>9</v>
      </c>
      <c r="AI53" s="9" t="s">
        <v>10</v>
      </c>
      <c r="AJ53" s="1" t="s">
        <v>11</v>
      </c>
      <c r="AK53" s="1" t="s">
        <v>921</v>
      </c>
      <c r="AL53" s="1" t="s">
        <v>922</v>
      </c>
      <c r="AM53" s="9">
        <v>11382</v>
      </c>
      <c r="AN53" s="1" t="s">
        <v>58</v>
      </c>
      <c r="AO53" s="1" t="s">
        <v>36</v>
      </c>
      <c r="AP53" s="1" t="s">
        <v>874</v>
      </c>
      <c r="AQ53" s="14">
        <v>45658</v>
      </c>
      <c r="AU53" s="14">
        <v>45799</v>
      </c>
      <c r="AV53" s="16">
        <v>0</v>
      </c>
      <c r="AW53" s="16">
        <v>0</v>
      </c>
      <c r="BA53" s="1" t="s">
        <v>911</v>
      </c>
      <c r="BB53" s="9">
        <v>7</v>
      </c>
      <c r="BC53" s="1" t="s">
        <v>826</v>
      </c>
      <c r="BD53" s="9" t="s">
        <v>807</v>
      </c>
      <c r="BE53" s="1" t="s">
        <v>863</v>
      </c>
      <c r="BF53" s="1" t="s">
        <v>32</v>
      </c>
      <c r="BG53" s="1" t="s">
        <v>864</v>
      </c>
      <c r="BH53" s="1" t="s">
        <v>865</v>
      </c>
      <c r="BI53" s="1" t="s">
        <v>866</v>
      </c>
      <c r="BJ53" s="21" t="str">
        <f t="shared" si="0"/>
        <v>FIXO</v>
      </c>
    </row>
    <row r="54" spans="1:62" x14ac:dyDescent="0.25">
      <c r="A54" s="7">
        <v>2</v>
      </c>
      <c r="B54" s="1" t="s">
        <v>806</v>
      </c>
      <c r="C54" s="8">
        <v>3</v>
      </c>
      <c r="D54" s="9" t="s">
        <v>807</v>
      </c>
      <c r="E54" s="10">
        <v>14238</v>
      </c>
      <c r="F54" s="11" t="s">
        <v>1111</v>
      </c>
      <c r="G54" s="12" t="s">
        <v>71</v>
      </c>
      <c r="H54" s="13" t="str">
        <f>VLOOKUP(AP54,[1]Listas!A:B,2,0)</f>
        <v xml:space="preserve">MTRZ </v>
      </c>
      <c r="I54" s="12" t="s">
        <v>141</v>
      </c>
      <c r="J54" s="12"/>
      <c r="K54" s="12"/>
      <c r="L54" s="12"/>
      <c r="M54" s="1" t="s">
        <v>158</v>
      </c>
      <c r="N54" s="14">
        <v>31476</v>
      </c>
      <c r="O54" s="1" t="s">
        <v>855</v>
      </c>
      <c r="P54" s="1" t="s">
        <v>856</v>
      </c>
      <c r="Q54" s="15" t="s">
        <v>811</v>
      </c>
      <c r="R54" s="1" t="s">
        <v>812</v>
      </c>
      <c r="S54" s="1" t="s">
        <v>807</v>
      </c>
      <c r="T54" s="1" t="s">
        <v>813</v>
      </c>
      <c r="U54" s="9" t="s">
        <v>832</v>
      </c>
      <c r="V54" s="1" t="s">
        <v>833</v>
      </c>
      <c r="W54" s="1" t="s">
        <v>1112</v>
      </c>
      <c r="X54" s="1" t="s">
        <v>159</v>
      </c>
      <c r="Y54" s="14">
        <v>45262</v>
      </c>
      <c r="Z54" s="9" t="s">
        <v>817</v>
      </c>
      <c r="AB54" s="14">
        <v>44792</v>
      </c>
      <c r="AC54" s="9" t="s">
        <v>817</v>
      </c>
      <c r="AD54" s="9" t="s">
        <v>818</v>
      </c>
      <c r="AE54" s="1" t="s">
        <v>819</v>
      </c>
      <c r="AF54" s="14" t="s">
        <v>820</v>
      </c>
      <c r="AG54" s="9" t="s">
        <v>821</v>
      </c>
      <c r="AH54" s="1" t="s">
        <v>9</v>
      </c>
      <c r="AI54" s="9" t="s">
        <v>10</v>
      </c>
      <c r="AJ54" s="1" t="s">
        <v>11</v>
      </c>
      <c r="AK54" s="1" t="s">
        <v>1113</v>
      </c>
      <c r="AL54" s="1" t="s">
        <v>1114</v>
      </c>
      <c r="AM54" s="9">
        <v>10132</v>
      </c>
      <c r="AN54" s="1" t="s">
        <v>160</v>
      </c>
      <c r="AO54" s="1" t="s">
        <v>161</v>
      </c>
      <c r="AP54" s="1" t="s">
        <v>1115</v>
      </c>
      <c r="AQ54" s="14">
        <v>45658</v>
      </c>
      <c r="AU54" s="14">
        <v>45799</v>
      </c>
      <c r="AV54" s="16">
        <v>0</v>
      </c>
      <c r="AW54" s="16">
        <v>0</v>
      </c>
      <c r="BA54" s="1" t="s">
        <v>911</v>
      </c>
      <c r="BB54" s="9">
        <v>7</v>
      </c>
      <c r="BC54" s="1" t="s">
        <v>826</v>
      </c>
      <c r="BD54" s="9" t="s">
        <v>807</v>
      </c>
      <c r="BE54" s="1" t="s">
        <v>1088</v>
      </c>
      <c r="BF54" s="1" t="s">
        <v>141</v>
      </c>
      <c r="BG54" s="1" t="s">
        <v>1079</v>
      </c>
      <c r="BH54" s="1" t="s">
        <v>1080</v>
      </c>
      <c r="BI54" s="20" t="s">
        <v>160</v>
      </c>
      <c r="BJ54" s="21" t="str">
        <f t="shared" si="0"/>
        <v>FIXO</v>
      </c>
    </row>
    <row r="55" spans="1:62" x14ac:dyDescent="0.25">
      <c r="A55" s="7">
        <v>2</v>
      </c>
      <c r="B55" s="1" t="s">
        <v>806</v>
      </c>
      <c r="C55" s="8">
        <v>2</v>
      </c>
      <c r="D55" s="9" t="s">
        <v>807</v>
      </c>
      <c r="E55" s="10">
        <v>14652</v>
      </c>
      <c r="F55" s="11" t="s">
        <v>1116</v>
      </c>
      <c r="G55" s="12" t="s">
        <v>71</v>
      </c>
      <c r="H55" s="13" t="str">
        <f>VLOOKUP(AP55,[1]Listas!A:B,2,0)</f>
        <v xml:space="preserve">FEAR </v>
      </c>
      <c r="I55" s="1" t="s">
        <v>116</v>
      </c>
      <c r="J55" s="12"/>
      <c r="K55" s="12"/>
      <c r="L55" s="12"/>
      <c r="M55" s="1" t="s">
        <v>162</v>
      </c>
      <c r="N55" s="14">
        <v>32253</v>
      </c>
      <c r="O55" s="1" t="s">
        <v>855</v>
      </c>
      <c r="P55" s="1" t="s">
        <v>856</v>
      </c>
      <c r="Q55" s="15" t="s">
        <v>807</v>
      </c>
      <c r="R55" s="1" t="s">
        <v>857</v>
      </c>
      <c r="S55" s="1" t="s">
        <v>868</v>
      </c>
      <c r="T55" s="1" t="s">
        <v>869</v>
      </c>
      <c r="U55" s="9" t="s">
        <v>814</v>
      </c>
      <c r="V55" s="1" t="s">
        <v>815</v>
      </c>
      <c r="W55" s="1" t="s">
        <v>871</v>
      </c>
      <c r="X55" s="1" t="s">
        <v>34</v>
      </c>
      <c r="Y55" s="14">
        <v>45006</v>
      </c>
      <c r="Z55" s="9" t="s">
        <v>817</v>
      </c>
      <c r="AB55" s="14">
        <v>44908</v>
      </c>
      <c r="AC55" s="9" t="s">
        <v>817</v>
      </c>
      <c r="AD55" s="9" t="s">
        <v>818</v>
      </c>
      <c r="AE55" s="1" t="s">
        <v>819</v>
      </c>
      <c r="AF55" s="14" t="s">
        <v>820</v>
      </c>
      <c r="AG55" s="9" t="s">
        <v>835</v>
      </c>
      <c r="AH55" s="1" t="s">
        <v>17</v>
      </c>
      <c r="AI55" s="9" t="s">
        <v>10</v>
      </c>
      <c r="AJ55" s="1" t="s">
        <v>11</v>
      </c>
      <c r="AK55" s="1" t="s">
        <v>1018</v>
      </c>
      <c r="AL55" s="1" t="s">
        <v>1019</v>
      </c>
      <c r="AM55" s="9">
        <v>11043</v>
      </c>
      <c r="AN55" s="1" t="s">
        <v>114</v>
      </c>
      <c r="AO55" s="1" t="s">
        <v>115</v>
      </c>
      <c r="AP55" s="1" t="s">
        <v>1020</v>
      </c>
      <c r="AQ55" s="14">
        <v>45658</v>
      </c>
      <c r="AU55" s="14">
        <v>45799</v>
      </c>
      <c r="AV55" s="16">
        <v>0</v>
      </c>
      <c r="AW55" s="16">
        <v>0</v>
      </c>
      <c r="BA55" s="1" t="s">
        <v>911</v>
      </c>
      <c r="BB55" s="9">
        <v>1</v>
      </c>
      <c r="BC55" s="1" t="s">
        <v>862</v>
      </c>
      <c r="BD55" s="9" t="s">
        <v>807</v>
      </c>
      <c r="BE55" s="1" t="s">
        <v>1021</v>
      </c>
      <c r="BF55" s="1" t="s">
        <v>116</v>
      </c>
      <c r="BG55" s="1" t="s">
        <v>1022</v>
      </c>
      <c r="BH55" s="1" t="s">
        <v>1023</v>
      </c>
      <c r="BI55" s="1" t="s">
        <v>866</v>
      </c>
      <c r="BJ55" s="21" t="str">
        <f t="shared" si="0"/>
        <v>FIXO</v>
      </c>
    </row>
    <row r="56" spans="1:62" x14ac:dyDescent="0.25">
      <c r="A56" s="7">
        <v>2</v>
      </c>
      <c r="B56" s="1" t="s">
        <v>806</v>
      </c>
      <c r="C56" s="8">
        <v>5</v>
      </c>
      <c r="D56" s="9" t="s">
        <v>807</v>
      </c>
      <c r="E56" s="10">
        <v>14706</v>
      </c>
      <c r="F56" s="11" t="s">
        <v>1117</v>
      </c>
      <c r="G56" s="1" t="s">
        <v>41</v>
      </c>
      <c r="H56" s="13" t="str">
        <f>VLOOKUP(AP56,[1]Listas!A:B,2,0)</f>
        <v xml:space="preserve">FESP </v>
      </c>
      <c r="I56" s="1" t="s">
        <v>38</v>
      </c>
      <c r="J56" s="1" t="s">
        <v>37</v>
      </c>
      <c r="K56" s="12"/>
      <c r="L56" s="1" t="s">
        <v>259</v>
      </c>
      <c r="M56" s="1" t="s">
        <v>163</v>
      </c>
      <c r="N56" s="14">
        <v>37505</v>
      </c>
      <c r="O56" s="1" t="s">
        <v>855</v>
      </c>
      <c r="P56" s="1" t="s">
        <v>856</v>
      </c>
      <c r="Q56" s="15" t="s">
        <v>807</v>
      </c>
      <c r="R56" s="1" t="s">
        <v>857</v>
      </c>
      <c r="S56" s="1" t="s">
        <v>868</v>
      </c>
      <c r="T56" s="1" t="s">
        <v>869</v>
      </c>
      <c r="U56" s="9" t="s">
        <v>814</v>
      </c>
      <c r="V56" s="1" t="s">
        <v>815</v>
      </c>
      <c r="W56" s="1" t="s">
        <v>871</v>
      </c>
      <c r="X56" s="1" t="s">
        <v>34</v>
      </c>
      <c r="Y56" s="14">
        <v>45353</v>
      </c>
      <c r="Z56" s="9" t="s">
        <v>817</v>
      </c>
      <c r="AB56" s="14">
        <v>44929</v>
      </c>
      <c r="AC56" s="9" t="s">
        <v>817</v>
      </c>
      <c r="AD56" s="9" t="s">
        <v>818</v>
      </c>
      <c r="AE56" s="1" t="s">
        <v>819</v>
      </c>
      <c r="AF56" s="14" t="s">
        <v>820</v>
      </c>
      <c r="AG56" s="9" t="s">
        <v>835</v>
      </c>
      <c r="AH56" s="1" t="s">
        <v>17</v>
      </c>
      <c r="AI56" s="9" t="s">
        <v>10</v>
      </c>
      <c r="AJ56" s="1" t="s">
        <v>11</v>
      </c>
      <c r="AK56" s="1" t="s">
        <v>872</v>
      </c>
      <c r="AL56" s="1" t="s">
        <v>873</v>
      </c>
      <c r="AM56" s="9">
        <v>11383</v>
      </c>
      <c r="AN56" s="1" t="s">
        <v>35</v>
      </c>
      <c r="AO56" s="1" t="s">
        <v>36</v>
      </c>
      <c r="AP56" s="1" t="s">
        <v>874</v>
      </c>
      <c r="AQ56" s="14">
        <v>45658</v>
      </c>
      <c r="AU56" s="14">
        <v>45799</v>
      </c>
      <c r="AV56" s="16">
        <v>0</v>
      </c>
      <c r="AW56" s="16">
        <v>0</v>
      </c>
      <c r="BA56" s="1" t="s">
        <v>911</v>
      </c>
      <c r="BB56" s="9">
        <v>1</v>
      </c>
      <c r="BC56" s="1" t="s">
        <v>862</v>
      </c>
      <c r="BD56" s="9" t="s">
        <v>807</v>
      </c>
      <c r="BE56" s="1" t="s">
        <v>875</v>
      </c>
      <c r="BF56" s="1" t="s">
        <v>37</v>
      </c>
      <c r="BG56" s="1" t="s">
        <v>876</v>
      </c>
      <c r="BH56" s="1" t="s">
        <v>877</v>
      </c>
      <c r="BI56" s="1" t="s">
        <v>1118</v>
      </c>
      <c r="BJ56" s="21" t="str">
        <f t="shared" si="0"/>
        <v>FIXO</v>
      </c>
    </row>
    <row r="57" spans="1:62" x14ac:dyDescent="0.25">
      <c r="A57" s="7">
        <v>2</v>
      </c>
      <c r="B57" s="1" t="s">
        <v>806</v>
      </c>
      <c r="C57" s="8">
        <v>3</v>
      </c>
      <c r="D57" s="9" t="s">
        <v>807</v>
      </c>
      <c r="E57" s="10">
        <v>14943</v>
      </c>
      <c r="F57" s="11" t="s">
        <v>1119</v>
      </c>
      <c r="G57" s="12" t="s">
        <v>71</v>
      </c>
      <c r="H57" s="13" t="str">
        <f>VLOOKUP(AP57,[1]Listas!A:B,2,0)</f>
        <v xml:space="preserve">MTRZ </v>
      </c>
      <c r="I57" s="1" t="s">
        <v>141</v>
      </c>
      <c r="J57" s="12"/>
      <c r="K57" s="1" t="s">
        <v>49</v>
      </c>
      <c r="L57" s="12"/>
      <c r="M57" s="1" t="s">
        <v>164</v>
      </c>
      <c r="N57" s="14">
        <v>34046</v>
      </c>
      <c r="O57" s="1" t="s">
        <v>809</v>
      </c>
      <c r="P57" s="1" t="s">
        <v>810</v>
      </c>
      <c r="Q57" s="15" t="s">
        <v>807</v>
      </c>
      <c r="R57" s="1" t="s">
        <v>857</v>
      </c>
      <c r="S57" s="1" t="s">
        <v>1017</v>
      </c>
      <c r="U57" s="9" t="s">
        <v>832</v>
      </c>
      <c r="V57" s="1" t="s">
        <v>833</v>
      </c>
      <c r="W57" s="1" t="s">
        <v>896</v>
      </c>
      <c r="X57" s="1" t="s">
        <v>46</v>
      </c>
      <c r="Y57" s="14">
        <v>44992</v>
      </c>
      <c r="Z57" s="9" t="s">
        <v>817</v>
      </c>
      <c r="AB57" s="14">
        <v>44991</v>
      </c>
      <c r="AC57" s="9" t="s">
        <v>817</v>
      </c>
      <c r="AD57" s="9" t="s">
        <v>818</v>
      </c>
      <c r="AE57" s="1" t="s">
        <v>819</v>
      </c>
      <c r="AF57" s="14" t="s">
        <v>820</v>
      </c>
      <c r="AG57" s="9" t="s">
        <v>821</v>
      </c>
      <c r="AH57" s="1" t="s">
        <v>9</v>
      </c>
      <c r="AI57" s="9" t="s">
        <v>10</v>
      </c>
      <c r="AJ57" s="1" t="s">
        <v>11</v>
      </c>
      <c r="AK57" s="1" t="s">
        <v>897</v>
      </c>
      <c r="AL57" s="1" t="s">
        <v>898</v>
      </c>
      <c r="AM57" s="9">
        <v>10114</v>
      </c>
      <c r="AN57" s="1" t="s">
        <v>47</v>
      </c>
      <c r="AO57" s="1" t="s">
        <v>48</v>
      </c>
      <c r="AP57" s="1" t="s">
        <v>899</v>
      </c>
      <c r="AQ57" s="14">
        <v>45658</v>
      </c>
      <c r="AU57" s="14">
        <v>45799</v>
      </c>
      <c r="AV57" s="16">
        <v>0</v>
      </c>
      <c r="AW57" s="16">
        <v>0</v>
      </c>
      <c r="BA57" s="1" t="s">
        <v>911</v>
      </c>
      <c r="BB57" s="9">
        <v>9</v>
      </c>
      <c r="BC57" s="1" t="s">
        <v>849</v>
      </c>
      <c r="BD57" s="9" t="s">
        <v>807</v>
      </c>
      <c r="BE57" s="1" t="s">
        <v>901</v>
      </c>
      <c r="BF57" s="1" t="s">
        <v>49</v>
      </c>
      <c r="BG57" s="1" t="s">
        <v>902</v>
      </c>
      <c r="BH57" s="1" t="s">
        <v>903</v>
      </c>
      <c r="BI57" s="20" t="s">
        <v>904</v>
      </c>
      <c r="BJ57" s="21" t="str">
        <f t="shared" si="0"/>
        <v>FIXO</v>
      </c>
    </row>
    <row r="58" spans="1:62" x14ac:dyDescent="0.25">
      <c r="A58" s="7">
        <v>2</v>
      </c>
      <c r="B58" s="1" t="s">
        <v>806</v>
      </c>
      <c r="C58" s="8">
        <v>5</v>
      </c>
      <c r="D58" s="9" t="s">
        <v>807</v>
      </c>
      <c r="E58" s="10">
        <v>15042</v>
      </c>
      <c r="F58" s="11" t="s">
        <v>1120</v>
      </c>
      <c r="G58" s="1" t="s">
        <v>41</v>
      </c>
      <c r="H58" s="13" t="str">
        <f>VLOOKUP(AP58,[1]Listas!A:B,2,0)</f>
        <v xml:space="preserve">FESP </v>
      </c>
      <c r="I58" s="12" t="s">
        <v>38</v>
      </c>
      <c r="J58" s="12"/>
      <c r="K58" s="1" t="s">
        <v>32</v>
      </c>
      <c r="L58" s="1" t="s">
        <v>54</v>
      </c>
      <c r="M58" s="1" t="s">
        <v>165</v>
      </c>
      <c r="N58" s="14">
        <v>36988</v>
      </c>
      <c r="O58" s="1" t="s">
        <v>855</v>
      </c>
      <c r="P58" s="1" t="s">
        <v>856</v>
      </c>
      <c r="Q58" s="15" t="s">
        <v>807</v>
      </c>
      <c r="R58" s="1" t="s">
        <v>857</v>
      </c>
      <c r="S58" s="1" t="s">
        <v>868</v>
      </c>
      <c r="T58" s="1" t="s">
        <v>869</v>
      </c>
      <c r="U58" s="9" t="s">
        <v>814</v>
      </c>
      <c r="V58" s="1" t="s">
        <v>815</v>
      </c>
      <c r="W58" s="1" t="s">
        <v>871</v>
      </c>
      <c r="X58" s="1" t="s">
        <v>34</v>
      </c>
      <c r="Y58" s="14">
        <v>45538</v>
      </c>
      <c r="Z58" s="9" t="s">
        <v>817</v>
      </c>
      <c r="AB58" s="14">
        <v>45021</v>
      </c>
      <c r="AC58" s="9" t="s">
        <v>817</v>
      </c>
      <c r="AD58" s="9" t="s">
        <v>818</v>
      </c>
      <c r="AE58" s="1" t="s">
        <v>819</v>
      </c>
      <c r="AF58" s="14" t="s">
        <v>820</v>
      </c>
      <c r="AG58" s="9" t="s">
        <v>821</v>
      </c>
      <c r="AH58" s="1" t="s">
        <v>9</v>
      </c>
      <c r="AI58" s="9" t="s">
        <v>10</v>
      </c>
      <c r="AJ58" s="1" t="s">
        <v>11</v>
      </c>
      <c r="AK58" s="1" t="s">
        <v>918</v>
      </c>
      <c r="AL58" s="1" t="s">
        <v>919</v>
      </c>
      <c r="AM58" s="9">
        <v>11377</v>
      </c>
      <c r="AN58" s="1" t="s">
        <v>56</v>
      </c>
      <c r="AO58" s="1" t="s">
        <v>36</v>
      </c>
      <c r="AP58" s="1" t="s">
        <v>874</v>
      </c>
      <c r="AQ58" s="14">
        <v>45658</v>
      </c>
      <c r="AU58" s="14">
        <v>45799</v>
      </c>
      <c r="AV58" s="16">
        <v>0</v>
      </c>
      <c r="AW58" s="16">
        <v>0</v>
      </c>
      <c r="BA58" s="1" t="s">
        <v>911</v>
      </c>
      <c r="BB58" s="9">
        <v>1</v>
      </c>
      <c r="BC58" s="1" t="s">
        <v>862</v>
      </c>
      <c r="BD58" s="9" t="s">
        <v>807</v>
      </c>
      <c r="BE58" s="1" t="s">
        <v>863</v>
      </c>
      <c r="BF58" s="1" t="s">
        <v>32</v>
      </c>
      <c r="BG58" s="1" t="s">
        <v>864</v>
      </c>
      <c r="BH58" s="1" t="s">
        <v>865</v>
      </c>
      <c r="BI58" s="1" t="s">
        <v>916</v>
      </c>
      <c r="BJ58" s="21" t="str">
        <f t="shared" si="0"/>
        <v>FIXO</v>
      </c>
    </row>
    <row r="59" spans="1:62" x14ac:dyDescent="0.25">
      <c r="A59" s="7">
        <v>2</v>
      </c>
      <c r="B59" s="1" t="s">
        <v>806</v>
      </c>
      <c r="C59" s="8">
        <v>3</v>
      </c>
      <c r="D59" s="9" t="s">
        <v>807</v>
      </c>
      <c r="E59" s="10">
        <v>15189</v>
      </c>
      <c r="F59" s="11" t="s">
        <v>1121</v>
      </c>
      <c r="G59" s="12" t="s">
        <v>71</v>
      </c>
      <c r="H59" s="13" t="str">
        <f>VLOOKUP(AP59,[1]Listas!A:B,2,0)</f>
        <v xml:space="preserve">MTRZ </v>
      </c>
      <c r="I59" s="12" t="s">
        <v>141</v>
      </c>
      <c r="J59" s="12"/>
      <c r="K59" s="12"/>
      <c r="L59" s="12"/>
      <c r="M59" s="1" t="s">
        <v>166</v>
      </c>
      <c r="N59" s="14">
        <v>30078</v>
      </c>
      <c r="O59" s="1" t="s">
        <v>855</v>
      </c>
      <c r="P59" s="1" t="s">
        <v>856</v>
      </c>
      <c r="Q59" s="15" t="s">
        <v>811</v>
      </c>
      <c r="R59" s="1" t="s">
        <v>812</v>
      </c>
      <c r="S59" s="1" t="s">
        <v>1017</v>
      </c>
      <c r="U59" s="9" t="s">
        <v>832</v>
      </c>
      <c r="V59" s="1" t="s">
        <v>833</v>
      </c>
      <c r="W59" s="1" t="s">
        <v>1112</v>
      </c>
      <c r="X59" s="1" t="s">
        <v>159</v>
      </c>
      <c r="Y59" s="14">
        <v>45069</v>
      </c>
      <c r="Z59" s="9" t="s">
        <v>817</v>
      </c>
      <c r="AB59" s="14">
        <v>45068</v>
      </c>
      <c r="AC59" s="9" t="s">
        <v>817</v>
      </c>
      <c r="AD59" s="9" t="s">
        <v>818</v>
      </c>
      <c r="AE59" s="1" t="s">
        <v>819</v>
      </c>
      <c r="AF59" s="14" t="s">
        <v>820</v>
      </c>
      <c r="AG59" s="9" t="s">
        <v>821</v>
      </c>
      <c r="AH59" s="1" t="s">
        <v>9</v>
      </c>
      <c r="AI59" s="9" t="s">
        <v>10</v>
      </c>
      <c r="AJ59" s="1" t="s">
        <v>11</v>
      </c>
      <c r="AK59" s="1" t="s">
        <v>1113</v>
      </c>
      <c r="AL59" s="1" t="s">
        <v>1114</v>
      </c>
      <c r="AM59" s="9">
        <v>10132</v>
      </c>
      <c r="AN59" s="1" t="s">
        <v>160</v>
      </c>
      <c r="AO59" s="1" t="s">
        <v>161</v>
      </c>
      <c r="AP59" s="1" t="s">
        <v>1115</v>
      </c>
      <c r="AQ59" s="14">
        <v>45658</v>
      </c>
      <c r="AU59" s="14">
        <v>45799</v>
      </c>
      <c r="AV59" s="16">
        <v>0</v>
      </c>
      <c r="AW59" s="16">
        <v>0</v>
      </c>
      <c r="BA59" s="1" t="s">
        <v>911</v>
      </c>
      <c r="BB59" s="9">
        <v>10</v>
      </c>
      <c r="BC59" s="1" t="s">
        <v>839</v>
      </c>
      <c r="BD59" s="9" t="s">
        <v>807</v>
      </c>
      <c r="BE59" s="1" t="s">
        <v>1088</v>
      </c>
      <c r="BF59" s="1" t="s">
        <v>141</v>
      </c>
      <c r="BG59" s="1" t="s">
        <v>1079</v>
      </c>
      <c r="BH59" s="1" t="s">
        <v>1080</v>
      </c>
      <c r="BI59" s="20" t="s">
        <v>160</v>
      </c>
      <c r="BJ59" s="21" t="str">
        <f t="shared" si="0"/>
        <v>FIXO</v>
      </c>
    </row>
    <row r="60" spans="1:62" x14ac:dyDescent="0.25">
      <c r="A60" s="7">
        <v>2</v>
      </c>
      <c r="B60" s="1" t="s">
        <v>806</v>
      </c>
      <c r="C60" s="8">
        <v>5</v>
      </c>
      <c r="D60" s="9" t="s">
        <v>807</v>
      </c>
      <c r="E60" s="10">
        <v>15195</v>
      </c>
      <c r="F60" s="11" t="s">
        <v>1122</v>
      </c>
      <c r="G60" s="1" t="s">
        <v>41</v>
      </c>
      <c r="H60" s="13" t="str">
        <f>VLOOKUP(AP60,[1]Listas!A:B,2,0)</f>
        <v xml:space="preserve">FESP </v>
      </c>
      <c r="I60" s="1" t="s">
        <v>38</v>
      </c>
      <c r="J60" s="12"/>
      <c r="K60" s="12"/>
      <c r="L60" s="1" t="s">
        <v>38</v>
      </c>
      <c r="M60" s="1" t="s">
        <v>167</v>
      </c>
      <c r="N60" s="14">
        <v>25211</v>
      </c>
      <c r="O60" s="1" t="s">
        <v>855</v>
      </c>
      <c r="P60" s="1" t="s">
        <v>856</v>
      </c>
      <c r="Q60" s="15" t="s">
        <v>811</v>
      </c>
      <c r="R60" s="1" t="s">
        <v>812</v>
      </c>
      <c r="S60" s="1" t="s">
        <v>868</v>
      </c>
      <c r="T60" s="1" t="s">
        <v>869</v>
      </c>
      <c r="U60" s="9" t="s">
        <v>811</v>
      </c>
      <c r="V60" s="1" t="s">
        <v>870</v>
      </c>
      <c r="W60" s="1" t="s">
        <v>1123</v>
      </c>
      <c r="X60" s="1" t="s">
        <v>168</v>
      </c>
      <c r="Y60" s="14">
        <v>45702</v>
      </c>
      <c r="Z60" s="9" t="s">
        <v>817</v>
      </c>
      <c r="AB60" s="14">
        <v>45702</v>
      </c>
      <c r="AC60" s="9" t="s">
        <v>817</v>
      </c>
      <c r="AD60" s="9" t="s">
        <v>818</v>
      </c>
      <c r="AE60" s="1" t="s">
        <v>819</v>
      </c>
      <c r="AF60" s="14" t="s">
        <v>820</v>
      </c>
      <c r="AG60" s="9" t="s">
        <v>821</v>
      </c>
      <c r="AH60" s="1" t="s">
        <v>9</v>
      </c>
      <c r="AI60" s="9" t="s">
        <v>10</v>
      </c>
      <c r="AJ60" s="1" t="s">
        <v>11</v>
      </c>
      <c r="AK60" s="1" t="s">
        <v>1124</v>
      </c>
      <c r="AL60" s="1" t="s">
        <v>1125</v>
      </c>
      <c r="AM60" s="9">
        <v>11358</v>
      </c>
      <c r="AN60" s="1" t="s">
        <v>169</v>
      </c>
      <c r="AO60" s="1" t="s">
        <v>170</v>
      </c>
      <c r="AP60" s="1" t="s">
        <v>1126</v>
      </c>
      <c r="AQ60" s="14">
        <v>45702</v>
      </c>
      <c r="AU60" s="14">
        <v>45702</v>
      </c>
      <c r="AV60" s="16">
        <v>0</v>
      </c>
      <c r="AW60" s="16">
        <v>0</v>
      </c>
      <c r="BA60" s="1" t="s">
        <v>911</v>
      </c>
      <c r="BB60" s="9">
        <v>1</v>
      </c>
      <c r="BC60" s="1" t="s">
        <v>862</v>
      </c>
      <c r="BD60" s="9" t="s">
        <v>807</v>
      </c>
      <c r="BE60" s="1" t="s">
        <v>893</v>
      </c>
      <c r="BF60" s="1" t="s">
        <v>38</v>
      </c>
      <c r="BG60" s="1" t="s">
        <v>883</v>
      </c>
      <c r="BH60" s="1" t="s">
        <v>884</v>
      </c>
      <c r="BI60" s="20" t="s">
        <v>983</v>
      </c>
      <c r="BJ60" s="21" t="str">
        <f t="shared" si="0"/>
        <v>FIXO</v>
      </c>
    </row>
    <row r="61" spans="1:62" x14ac:dyDescent="0.25">
      <c r="A61" s="7">
        <v>2</v>
      </c>
      <c r="B61" s="1" t="s">
        <v>806</v>
      </c>
      <c r="C61" s="8">
        <v>5</v>
      </c>
      <c r="D61" s="9" t="s">
        <v>807</v>
      </c>
      <c r="E61" s="10">
        <v>15381</v>
      </c>
      <c r="F61" s="11" t="s">
        <v>1127</v>
      </c>
      <c r="G61" s="1" t="s">
        <v>41</v>
      </c>
      <c r="H61" s="13" t="str">
        <f>VLOOKUP(AP61,[1]Listas!A:B,2,0)</f>
        <v xml:space="preserve">FESP </v>
      </c>
      <c r="I61" s="1" t="s">
        <v>38</v>
      </c>
      <c r="J61" s="12"/>
      <c r="K61" s="12"/>
      <c r="L61" s="1" t="s">
        <v>38</v>
      </c>
      <c r="M61" s="1" t="s">
        <v>171</v>
      </c>
      <c r="N61" s="14">
        <v>27844</v>
      </c>
      <c r="O61" s="1" t="s">
        <v>855</v>
      </c>
      <c r="P61" s="1" t="s">
        <v>856</v>
      </c>
      <c r="Q61" s="15" t="s">
        <v>807</v>
      </c>
      <c r="R61" s="1" t="s">
        <v>857</v>
      </c>
      <c r="S61" s="1" t="s">
        <v>807</v>
      </c>
      <c r="T61" s="1" t="s">
        <v>813</v>
      </c>
      <c r="U61" s="9" t="s">
        <v>814</v>
      </c>
      <c r="V61" s="1" t="s">
        <v>815</v>
      </c>
      <c r="W61" s="1" t="s">
        <v>1128</v>
      </c>
      <c r="X61" s="1" t="s">
        <v>172</v>
      </c>
      <c r="Y61" s="14">
        <v>45094</v>
      </c>
      <c r="Z61" s="9" t="s">
        <v>817</v>
      </c>
      <c r="AB61" s="14">
        <v>45093</v>
      </c>
      <c r="AC61" s="9" t="s">
        <v>817</v>
      </c>
      <c r="AD61" s="9" t="s">
        <v>818</v>
      </c>
      <c r="AE61" s="1" t="s">
        <v>819</v>
      </c>
      <c r="AF61" s="14" t="s">
        <v>820</v>
      </c>
      <c r="AG61" s="9" t="s">
        <v>821</v>
      </c>
      <c r="AH61" s="1" t="s">
        <v>9</v>
      </c>
      <c r="AI61" s="9" t="s">
        <v>10</v>
      </c>
      <c r="AJ61" s="1" t="s">
        <v>11</v>
      </c>
      <c r="AK61" s="1" t="s">
        <v>1129</v>
      </c>
      <c r="AL61" s="1" t="s">
        <v>1130</v>
      </c>
      <c r="AM61" s="9">
        <v>11343</v>
      </c>
      <c r="AN61" s="1" t="s">
        <v>114</v>
      </c>
      <c r="AO61" s="1" t="s">
        <v>36</v>
      </c>
      <c r="AP61" s="1" t="s">
        <v>874</v>
      </c>
      <c r="AQ61" s="14">
        <v>45658</v>
      </c>
      <c r="AU61" s="14">
        <v>45799</v>
      </c>
      <c r="AV61" s="16">
        <v>0</v>
      </c>
      <c r="AW61" s="16">
        <v>0</v>
      </c>
      <c r="BA61" s="1" t="s">
        <v>911</v>
      </c>
      <c r="BB61" s="9">
        <v>1</v>
      </c>
      <c r="BC61" s="1" t="s">
        <v>862</v>
      </c>
      <c r="BD61" s="9" t="s">
        <v>807</v>
      </c>
      <c r="BE61" s="1" t="s">
        <v>893</v>
      </c>
      <c r="BF61" s="1" t="s">
        <v>38</v>
      </c>
      <c r="BG61" s="1" t="s">
        <v>883</v>
      </c>
      <c r="BH61" s="1" t="s">
        <v>884</v>
      </c>
      <c r="BI61" s="20" t="s">
        <v>983</v>
      </c>
      <c r="BJ61" s="21" t="str">
        <f t="shared" si="0"/>
        <v>FIXO</v>
      </c>
    </row>
    <row r="62" spans="1:62" x14ac:dyDescent="0.25">
      <c r="A62" s="7">
        <v>2</v>
      </c>
      <c r="B62" s="1" t="s">
        <v>806</v>
      </c>
      <c r="C62" s="8">
        <v>2</v>
      </c>
      <c r="D62" s="9" t="s">
        <v>807</v>
      </c>
      <c r="E62" s="10">
        <v>15430</v>
      </c>
      <c r="F62" s="11" t="s">
        <v>1131</v>
      </c>
      <c r="G62" s="12" t="s">
        <v>71</v>
      </c>
      <c r="H62" s="13" t="str">
        <f>VLOOKUP(AP62,[1]Listas!A:B,2,0)</f>
        <v xml:space="preserve">FEAR </v>
      </c>
      <c r="I62" s="1"/>
      <c r="J62" s="12"/>
      <c r="K62" s="12"/>
      <c r="L62" s="12"/>
      <c r="M62" s="1" t="s">
        <v>173</v>
      </c>
      <c r="N62" s="14">
        <v>33563</v>
      </c>
      <c r="O62" s="1" t="s">
        <v>855</v>
      </c>
      <c r="P62" s="1" t="s">
        <v>856</v>
      </c>
      <c r="Q62" s="15" t="s">
        <v>807</v>
      </c>
      <c r="R62" s="1" t="s">
        <v>857</v>
      </c>
      <c r="S62" s="1" t="s">
        <v>1017</v>
      </c>
      <c r="U62" s="9" t="s">
        <v>1046</v>
      </c>
      <c r="V62" s="1" t="s">
        <v>1047</v>
      </c>
      <c r="W62" s="1" t="s">
        <v>858</v>
      </c>
      <c r="X62" s="1" t="s">
        <v>29</v>
      </c>
      <c r="Y62" s="14">
        <v>45679</v>
      </c>
      <c r="Z62" s="9" t="s">
        <v>817</v>
      </c>
      <c r="AB62" s="14">
        <v>45110</v>
      </c>
      <c r="AC62" s="9" t="s">
        <v>817</v>
      </c>
      <c r="AD62" s="9" t="s">
        <v>818</v>
      </c>
      <c r="AE62" s="1" t="s">
        <v>819</v>
      </c>
      <c r="AF62" s="14" t="s">
        <v>820</v>
      </c>
      <c r="AG62" s="9" t="s">
        <v>821</v>
      </c>
      <c r="AH62" s="1" t="s">
        <v>9</v>
      </c>
      <c r="AI62" s="9" t="s">
        <v>10</v>
      </c>
      <c r="AJ62" s="1" t="s">
        <v>11</v>
      </c>
      <c r="AK62" s="1" t="s">
        <v>1132</v>
      </c>
      <c r="AL62" s="1" t="s">
        <v>1133</v>
      </c>
      <c r="AM62" s="9">
        <v>11034</v>
      </c>
      <c r="AN62" s="1" t="s">
        <v>174</v>
      </c>
      <c r="AO62" s="1" t="s">
        <v>175</v>
      </c>
      <c r="AP62" s="1" t="s">
        <v>1134</v>
      </c>
      <c r="AQ62" s="14">
        <v>45679</v>
      </c>
      <c r="AU62" s="14">
        <v>45679</v>
      </c>
      <c r="AV62" s="16">
        <v>0</v>
      </c>
      <c r="AW62" s="16">
        <v>0</v>
      </c>
      <c r="BA62" s="1" t="s">
        <v>911</v>
      </c>
      <c r="BB62" s="9">
        <v>15</v>
      </c>
      <c r="BC62" s="1" t="s">
        <v>826</v>
      </c>
      <c r="BD62" s="9" t="s">
        <v>807</v>
      </c>
      <c r="BE62" s="1" t="s">
        <v>940</v>
      </c>
      <c r="BF62" s="1" t="s">
        <v>71</v>
      </c>
      <c r="BG62" s="1" t="s">
        <v>941</v>
      </c>
      <c r="BH62" s="1" t="s">
        <v>942</v>
      </c>
      <c r="BI62" s="1" t="s">
        <v>1044</v>
      </c>
      <c r="BJ62" s="21" t="str">
        <f t="shared" si="0"/>
        <v>FIXO</v>
      </c>
    </row>
    <row r="63" spans="1:62" x14ac:dyDescent="0.25">
      <c r="A63" s="7">
        <v>2</v>
      </c>
      <c r="B63" s="1" t="s">
        <v>806</v>
      </c>
      <c r="C63" s="8">
        <v>5</v>
      </c>
      <c r="D63" s="9" t="s">
        <v>807</v>
      </c>
      <c r="E63" s="10">
        <v>15493</v>
      </c>
      <c r="F63" s="11" t="s">
        <v>1135</v>
      </c>
      <c r="G63" s="1" t="s">
        <v>41</v>
      </c>
      <c r="H63" s="13" t="str">
        <f>VLOOKUP(AP63,[1]Listas!A:B,2,0)</f>
        <v xml:space="preserve">FESP </v>
      </c>
      <c r="I63" s="1" t="s">
        <v>38</v>
      </c>
      <c r="J63" s="1" t="s">
        <v>37</v>
      </c>
      <c r="K63" s="1" t="s">
        <v>42</v>
      </c>
      <c r="L63" s="12"/>
      <c r="M63" s="1" t="s">
        <v>176</v>
      </c>
      <c r="N63" s="14">
        <v>35565</v>
      </c>
      <c r="O63" s="1" t="s">
        <v>855</v>
      </c>
      <c r="P63" s="1" t="s">
        <v>856</v>
      </c>
      <c r="Q63" s="15" t="s">
        <v>807</v>
      </c>
      <c r="R63" s="1" t="s">
        <v>857</v>
      </c>
      <c r="S63" s="1" t="s">
        <v>868</v>
      </c>
      <c r="T63" s="1" t="s">
        <v>869</v>
      </c>
      <c r="U63" s="9" t="s">
        <v>814</v>
      </c>
      <c r="V63" s="1" t="s">
        <v>815</v>
      </c>
      <c r="W63" s="1" t="s">
        <v>871</v>
      </c>
      <c r="X63" s="1" t="s">
        <v>34</v>
      </c>
      <c r="Y63" s="14">
        <v>45113</v>
      </c>
      <c r="Z63" s="9" t="s">
        <v>817</v>
      </c>
      <c r="AB63" s="14">
        <v>45112</v>
      </c>
      <c r="AC63" s="9" t="s">
        <v>817</v>
      </c>
      <c r="AD63" s="9" t="s">
        <v>818</v>
      </c>
      <c r="AE63" s="1" t="s">
        <v>819</v>
      </c>
      <c r="AF63" s="14" t="s">
        <v>820</v>
      </c>
      <c r="AG63" s="9" t="s">
        <v>821</v>
      </c>
      <c r="AH63" s="1" t="s">
        <v>9</v>
      </c>
      <c r="AI63" s="9" t="s">
        <v>10</v>
      </c>
      <c r="AJ63" s="1" t="s">
        <v>11</v>
      </c>
      <c r="AK63" s="1" t="s">
        <v>1136</v>
      </c>
      <c r="AL63" s="1" t="s">
        <v>1137</v>
      </c>
      <c r="AM63" s="9">
        <v>11384</v>
      </c>
      <c r="AN63" s="1" t="s">
        <v>177</v>
      </c>
      <c r="AO63" s="1" t="s">
        <v>36</v>
      </c>
      <c r="AP63" s="1" t="s">
        <v>874</v>
      </c>
      <c r="AQ63" s="14">
        <v>45658</v>
      </c>
      <c r="AU63" s="14">
        <v>45799</v>
      </c>
      <c r="AV63" s="16">
        <v>0</v>
      </c>
      <c r="AW63" s="16">
        <v>0</v>
      </c>
      <c r="BA63" s="1" t="s">
        <v>911</v>
      </c>
      <c r="BB63" s="9">
        <v>7</v>
      </c>
      <c r="BC63" s="1" t="s">
        <v>826</v>
      </c>
      <c r="BD63" s="9" t="s">
        <v>807</v>
      </c>
      <c r="BE63" s="1" t="s">
        <v>1138</v>
      </c>
      <c r="BF63" s="1" t="s">
        <v>42</v>
      </c>
      <c r="BG63" s="1" t="s">
        <v>891</v>
      </c>
      <c r="BH63" s="1" t="s">
        <v>892</v>
      </c>
      <c r="BI63" s="23" t="s">
        <v>878</v>
      </c>
      <c r="BJ63" s="21" t="str">
        <f t="shared" si="0"/>
        <v>FIXO</v>
      </c>
    </row>
    <row r="64" spans="1:62" x14ac:dyDescent="0.25">
      <c r="A64" s="7">
        <v>2</v>
      </c>
      <c r="B64" s="1" t="s">
        <v>806</v>
      </c>
      <c r="C64" s="8">
        <v>5</v>
      </c>
      <c r="D64" s="9" t="s">
        <v>807</v>
      </c>
      <c r="E64" s="10">
        <v>15587</v>
      </c>
      <c r="F64" s="11" t="s">
        <v>1139</v>
      </c>
      <c r="G64" s="12" t="s">
        <v>71</v>
      </c>
      <c r="H64" s="13" t="str">
        <f>VLOOKUP(AP64,[1]Listas!A:B,2,0)</f>
        <v xml:space="preserve">ECFO </v>
      </c>
      <c r="I64" s="12" t="s">
        <v>14</v>
      </c>
      <c r="J64" s="12"/>
      <c r="K64" s="12"/>
      <c r="L64" s="12"/>
      <c r="M64" s="1" t="s">
        <v>178</v>
      </c>
      <c r="N64" s="14">
        <v>36317</v>
      </c>
      <c r="O64" s="1" t="s">
        <v>855</v>
      </c>
      <c r="P64" s="1" t="s">
        <v>856</v>
      </c>
      <c r="Q64" s="15" t="s">
        <v>807</v>
      </c>
      <c r="R64" s="1" t="s">
        <v>857</v>
      </c>
      <c r="S64" s="1" t="s">
        <v>807</v>
      </c>
      <c r="T64" s="1" t="s">
        <v>813</v>
      </c>
      <c r="U64" s="9" t="s">
        <v>814</v>
      </c>
      <c r="V64" s="1" t="s">
        <v>815</v>
      </c>
      <c r="W64" s="1" t="s">
        <v>1004</v>
      </c>
      <c r="X64" s="1" t="s">
        <v>108</v>
      </c>
      <c r="Y64" s="14">
        <v>45128</v>
      </c>
      <c r="Z64" s="9" t="s">
        <v>817</v>
      </c>
      <c r="AB64" s="14">
        <v>45127</v>
      </c>
      <c r="AC64" s="9" t="s">
        <v>817</v>
      </c>
      <c r="AD64" s="9" t="s">
        <v>818</v>
      </c>
      <c r="AE64" s="1" t="s">
        <v>819</v>
      </c>
      <c r="AF64" s="14" t="s">
        <v>820</v>
      </c>
      <c r="AG64" s="9" t="s">
        <v>821</v>
      </c>
      <c r="AH64" s="1" t="s">
        <v>9</v>
      </c>
      <c r="AI64" s="9" t="s">
        <v>10</v>
      </c>
      <c r="AJ64" s="1" t="s">
        <v>11</v>
      </c>
      <c r="AK64" s="1" t="s">
        <v>1140</v>
      </c>
      <c r="AL64" s="1" t="s">
        <v>1141</v>
      </c>
      <c r="AM64" s="9">
        <v>10201</v>
      </c>
      <c r="AN64" s="1" t="s">
        <v>83</v>
      </c>
      <c r="AO64" s="1" t="s">
        <v>181</v>
      </c>
      <c r="AP64" s="1" t="s">
        <v>1142</v>
      </c>
      <c r="AQ64" s="14">
        <v>45658</v>
      </c>
      <c r="AU64" s="14">
        <v>45799</v>
      </c>
      <c r="AV64" s="16">
        <v>0</v>
      </c>
      <c r="AW64" s="16">
        <v>0</v>
      </c>
      <c r="BA64" s="1" t="s">
        <v>911</v>
      </c>
      <c r="BB64" s="9">
        <v>1</v>
      </c>
      <c r="BC64" s="1" t="s">
        <v>862</v>
      </c>
      <c r="BD64" s="9" t="s">
        <v>807</v>
      </c>
      <c r="BE64" s="1" t="s">
        <v>827</v>
      </c>
      <c r="BF64" s="1" t="s">
        <v>14</v>
      </c>
      <c r="BG64" s="1" t="s">
        <v>828</v>
      </c>
      <c r="BH64" s="1" t="s">
        <v>829</v>
      </c>
      <c r="BI64" s="20" t="s">
        <v>830</v>
      </c>
      <c r="BJ64" s="21" t="str">
        <f t="shared" si="0"/>
        <v>FIXO</v>
      </c>
    </row>
    <row r="65" spans="1:62" x14ac:dyDescent="0.25">
      <c r="A65" s="7">
        <v>2</v>
      </c>
      <c r="B65" s="1" t="s">
        <v>806</v>
      </c>
      <c r="C65" s="8">
        <v>3</v>
      </c>
      <c r="D65" s="9" t="s">
        <v>807</v>
      </c>
      <c r="E65" s="10">
        <v>15747</v>
      </c>
      <c r="F65" s="11" t="s">
        <v>1143</v>
      </c>
      <c r="G65" s="12" t="s">
        <v>71</v>
      </c>
      <c r="H65" s="13" t="str">
        <f>VLOOKUP(AP65,[1]Listas!A:B,2,0)</f>
        <v xml:space="preserve">MTRZ </v>
      </c>
      <c r="I65" s="1" t="s">
        <v>141</v>
      </c>
      <c r="J65" s="12"/>
      <c r="K65" s="1" t="s">
        <v>49</v>
      </c>
      <c r="L65" s="12"/>
      <c r="M65" s="1" t="s">
        <v>182</v>
      </c>
      <c r="N65" s="14">
        <v>30944</v>
      </c>
      <c r="O65" s="1" t="s">
        <v>809</v>
      </c>
      <c r="P65" s="1" t="s">
        <v>810</v>
      </c>
      <c r="Q65" s="15" t="s">
        <v>811</v>
      </c>
      <c r="R65" s="1" t="s">
        <v>812</v>
      </c>
      <c r="S65" s="1" t="s">
        <v>868</v>
      </c>
      <c r="T65" s="1" t="s">
        <v>869</v>
      </c>
      <c r="U65" s="9" t="s">
        <v>832</v>
      </c>
      <c r="V65" s="1" t="s">
        <v>833</v>
      </c>
      <c r="W65" s="1" t="s">
        <v>896</v>
      </c>
      <c r="X65" s="1" t="s">
        <v>46</v>
      </c>
      <c r="Y65" s="14">
        <v>45153</v>
      </c>
      <c r="Z65" s="9" t="s">
        <v>817</v>
      </c>
      <c r="AB65" s="14">
        <v>45152</v>
      </c>
      <c r="AC65" s="9" t="s">
        <v>817</v>
      </c>
      <c r="AD65" s="9" t="s">
        <v>818</v>
      </c>
      <c r="AE65" s="1" t="s">
        <v>819</v>
      </c>
      <c r="AF65" s="14" t="s">
        <v>820</v>
      </c>
      <c r="AG65" s="9" t="s">
        <v>821</v>
      </c>
      <c r="AH65" s="1" t="s">
        <v>9</v>
      </c>
      <c r="AI65" s="9" t="s">
        <v>10</v>
      </c>
      <c r="AJ65" s="1" t="s">
        <v>11</v>
      </c>
      <c r="AK65" s="1" t="s">
        <v>897</v>
      </c>
      <c r="AL65" s="1" t="s">
        <v>898</v>
      </c>
      <c r="AM65" s="9">
        <v>10114</v>
      </c>
      <c r="AN65" s="1" t="s">
        <v>47</v>
      </c>
      <c r="AO65" s="1" t="s">
        <v>48</v>
      </c>
      <c r="AP65" s="1" t="s">
        <v>899</v>
      </c>
      <c r="AQ65" s="14">
        <v>45658</v>
      </c>
      <c r="AU65" s="14">
        <v>45799</v>
      </c>
      <c r="AV65" s="16">
        <v>0</v>
      </c>
      <c r="AW65" s="16">
        <v>0</v>
      </c>
      <c r="BA65" s="1" t="s">
        <v>911</v>
      </c>
      <c r="BB65" s="9">
        <v>9</v>
      </c>
      <c r="BC65" s="1" t="s">
        <v>849</v>
      </c>
      <c r="BD65" s="9" t="s">
        <v>807</v>
      </c>
      <c r="BE65" s="1" t="s">
        <v>901</v>
      </c>
      <c r="BF65" s="1" t="s">
        <v>49</v>
      </c>
      <c r="BG65" s="1" t="s">
        <v>902</v>
      </c>
      <c r="BH65" s="1" t="s">
        <v>903</v>
      </c>
      <c r="BI65" s="20" t="s">
        <v>904</v>
      </c>
      <c r="BJ65" s="21" t="str">
        <f t="shared" si="0"/>
        <v>FIXO</v>
      </c>
    </row>
    <row r="66" spans="1:62" x14ac:dyDescent="0.25">
      <c r="A66" s="7">
        <v>2</v>
      </c>
      <c r="B66" s="1" t="s">
        <v>806</v>
      </c>
      <c r="C66" s="8">
        <v>2</v>
      </c>
      <c r="D66" s="9" t="s">
        <v>807</v>
      </c>
      <c r="E66" s="10">
        <v>15805</v>
      </c>
      <c r="F66" s="11" t="s">
        <v>1144</v>
      </c>
      <c r="G66" s="12" t="s">
        <v>71</v>
      </c>
      <c r="H66" s="13" t="str">
        <f>VLOOKUP(AP66,[1]Listas!A:B,2,0)</f>
        <v xml:space="preserve">FEAR </v>
      </c>
      <c r="I66" s="1" t="s">
        <v>27</v>
      </c>
      <c r="J66" s="12"/>
      <c r="K66" s="12"/>
      <c r="L66" s="12"/>
      <c r="M66" s="1" t="s">
        <v>183</v>
      </c>
      <c r="N66" s="14">
        <v>36467</v>
      </c>
      <c r="O66" s="1" t="s">
        <v>855</v>
      </c>
      <c r="P66" s="1" t="s">
        <v>856</v>
      </c>
      <c r="Q66" s="15" t="s">
        <v>807</v>
      </c>
      <c r="R66" s="1" t="s">
        <v>857</v>
      </c>
      <c r="S66" s="1" t="s">
        <v>868</v>
      </c>
      <c r="T66" s="1" t="s">
        <v>869</v>
      </c>
      <c r="U66" s="9" t="s">
        <v>814</v>
      </c>
      <c r="V66" s="1" t="s">
        <v>815</v>
      </c>
      <c r="W66" s="1" t="s">
        <v>1145</v>
      </c>
      <c r="X66" s="1" t="s">
        <v>184</v>
      </c>
      <c r="Y66" s="14">
        <v>45769</v>
      </c>
      <c r="Z66" s="9" t="s">
        <v>817</v>
      </c>
      <c r="AB66" s="14">
        <v>45769</v>
      </c>
      <c r="AC66" s="9" t="s">
        <v>817</v>
      </c>
      <c r="AD66" s="9" t="s">
        <v>818</v>
      </c>
      <c r="AE66" s="1" t="s">
        <v>819</v>
      </c>
      <c r="AF66" s="14" t="s">
        <v>820</v>
      </c>
      <c r="AG66" s="9" t="s">
        <v>821</v>
      </c>
      <c r="AH66" s="1" t="s">
        <v>9</v>
      </c>
      <c r="AI66" s="9" t="s">
        <v>10</v>
      </c>
      <c r="AJ66" s="1" t="s">
        <v>11</v>
      </c>
      <c r="AK66" s="1" t="s">
        <v>1146</v>
      </c>
      <c r="AL66" s="1" t="s">
        <v>1147</v>
      </c>
      <c r="AM66" s="9">
        <v>11037</v>
      </c>
      <c r="AN66" s="1" t="s">
        <v>185</v>
      </c>
      <c r="AO66" s="1" t="s">
        <v>186</v>
      </c>
      <c r="AP66" s="1" t="s">
        <v>1148</v>
      </c>
      <c r="AQ66" s="14">
        <v>45769</v>
      </c>
      <c r="AU66" s="14">
        <v>45769</v>
      </c>
      <c r="AV66" s="16">
        <v>0</v>
      </c>
      <c r="AW66" s="16">
        <v>0</v>
      </c>
      <c r="BA66" s="1" t="s">
        <v>911</v>
      </c>
      <c r="BB66" s="9">
        <v>9</v>
      </c>
      <c r="BC66" s="1" t="s">
        <v>849</v>
      </c>
      <c r="BD66" s="9" t="s">
        <v>807</v>
      </c>
      <c r="BE66" s="1" t="s">
        <v>850</v>
      </c>
      <c r="BF66" s="1" t="s">
        <v>27</v>
      </c>
      <c r="BG66" s="1" t="s">
        <v>851</v>
      </c>
      <c r="BH66" s="1" t="s">
        <v>852</v>
      </c>
      <c r="BI66" s="1" t="s">
        <v>1044</v>
      </c>
      <c r="BJ66" s="21" t="str">
        <f t="shared" ref="BJ66:BJ129" si="1">IF(NOT(ISERROR(SEARCH("SAFRISTA",X66))),"SAFRISTA","FIXO")</f>
        <v>FIXO</v>
      </c>
    </row>
    <row r="67" spans="1:62" x14ac:dyDescent="0.25">
      <c r="A67" s="7">
        <v>2</v>
      </c>
      <c r="B67" s="1" t="s">
        <v>806</v>
      </c>
      <c r="C67" s="8">
        <v>5</v>
      </c>
      <c r="D67" s="9" t="s">
        <v>807</v>
      </c>
      <c r="E67" s="10">
        <v>15968</v>
      </c>
      <c r="F67" s="11" t="s">
        <v>1149</v>
      </c>
      <c r="G67" s="1" t="s">
        <v>41</v>
      </c>
      <c r="H67" s="13" t="str">
        <f>VLOOKUP(AP67,[1]Listas!A:B,2,0)</f>
        <v xml:space="preserve">FESP </v>
      </c>
      <c r="I67" s="12" t="s">
        <v>38</v>
      </c>
      <c r="J67" s="12"/>
      <c r="K67" s="1" t="s">
        <v>32</v>
      </c>
      <c r="L67" s="1" t="s">
        <v>54</v>
      </c>
      <c r="M67" s="1" t="s">
        <v>187</v>
      </c>
      <c r="N67" s="14">
        <v>34680</v>
      </c>
      <c r="O67" s="1" t="s">
        <v>855</v>
      </c>
      <c r="P67" s="1" t="s">
        <v>856</v>
      </c>
      <c r="Q67" s="15" t="s">
        <v>807</v>
      </c>
      <c r="R67" s="1" t="s">
        <v>857</v>
      </c>
      <c r="S67" s="1" t="s">
        <v>868</v>
      </c>
      <c r="T67" s="1" t="s">
        <v>869</v>
      </c>
      <c r="U67" s="9" t="s">
        <v>880</v>
      </c>
      <c r="V67" s="1" t="s">
        <v>881</v>
      </c>
      <c r="W67" s="1" t="s">
        <v>871</v>
      </c>
      <c r="X67" s="1" t="s">
        <v>34</v>
      </c>
      <c r="Y67" s="14">
        <v>45178</v>
      </c>
      <c r="Z67" s="9" t="s">
        <v>817</v>
      </c>
      <c r="AB67" s="14">
        <v>45177</v>
      </c>
      <c r="AC67" s="9" t="s">
        <v>817</v>
      </c>
      <c r="AD67" s="9" t="s">
        <v>818</v>
      </c>
      <c r="AE67" s="1" t="s">
        <v>819</v>
      </c>
      <c r="AF67" s="14" t="s">
        <v>820</v>
      </c>
      <c r="AG67" s="9" t="s">
        <v>821</v>
      </c>
      <c r="AH67" s="1" t="s">
        <v>9</v>
      </c>
      <c r="AI67" s="9" t="s">
        <v>10</v>
      </c>
      <c r="AJ67" s="1" t="s">
        <v>11</v>
      </c>
      <c r="AK67" s="1" t="s">
        <v>918</v>
      </c>
      <c r="AL67" s="1" t="s">
        <v>919</v>
      </c>
      <c r="AM67" s="9">
        <v>11377</v>
      </c>
      <c r="AN67" s="1" t="s">
        <v>56</v>
      </c>
      <c r="AO67" s="1" t="s">
        <v>36</v>
      </c>
      <c r="AP67" s="1" t="s">
        <v>874</v>
      </c>
      <c r="AQ67" s="14">
        <v>45658</v>
      </c>
      <c r="AU67" s="14">
        <v>45799</v>
      </c>
      <c r="AV67" s="16">
        <v>0</v>
      </c>
      <c r="AW67" s="16">
        <v>0</v>
      </c>
      <c r="BA67" s="1" t="s">
        <v>911</v>
      </c>
      <c r="BB67" s="9">
        <v>1</v>
      </c>
      <c r="BC67" s="1" t="s">
        <v>862</v>
      </c>
      <c r="BD67" s="9" t="s">
        <v>807</v>
      </c>
      <c r="BE67" s="1" t="s">
        <v>863</v>
      </c>
      <c r="BF67" s="1" t="s">
        <v>32</v>
      </c>
      <c r="BG67" s="1" t="s">
        <v>864</v>
      </c>
      <c r="BH67" s="1" t="s">
        <v>865</v>
      </c>
      <c r="BI67" s="1" t="s">
        <v>916</v>
      </c>
      <c r="BJ67" s="21" t="str">
        <f t="shared" si="1"/>
        <v>FIXO</v>
      </c>
    </row>
    <row r="68" spans="1:62" x14ac:dyDescent="0.25">
      <c r="A68" s="7">
        <v>2</v>
      </c>
      <c r="B68" s="1" t="s">
        <v>806</v>
      </c>
      <c r="C68" s="8">
        <v>5</v>
      </c>
      <c r="D68" s="9" t="s">
        <v>807</v>
      </c>
      <c r="E68" s="10">
        <v>16001</v>
      </c>
      <c r="F68" s="11" t="s">
        <v>1150</v>
      </c>
      <c r="G68" s="1" t="s">
        <v>41</v>
      </c>
      <c r="H68" s="13" t="str">
        <f>VLOOKUP(AP68,[1]Listas!A:B,2,0)</f>
        <v xml:space="preserve">FESP </v>
      </c>
      <c r="I68" s="12" t="s">
        <v>38</v>
      </c>
      <c r="J68" s="12"/>
      <c r="K68" s="1" t="s">
        <v>32</v>
      </c>
      <c r="L68" s="1" t="s">
        <v>54</v>
      </c>
      <c r="M68" s="1" t="s">
        <v>188</v>
      </c>
      <c r="N68" s="14">
        <v>32692</v>
      </c>
      <c r="O68" s="1" t="s">
        <v>855</v>
      </c>
      <c r="P68" s="1" t="s">
        <v>856</v>
      </c>
      <c r="Q68" s="15" t="s">
        <v>807</v>
      </c>
      <c r="R68" s="1" t="s">
        <v>857</v>
      </c>
      <c r="S68" s="1" t="s">
        <v>868</v>
      </c>
      <c r="T68" s="1" t="s">
        <v>869</v>
      </c>
      <c r="U68" s="9" t="s">
        <v>814</v>
      </c>
      <c r="V68" s="1" t="s">
        <v>815</v>
      </c>
      <c r="W68" s="1" t="s">
        <v>871</v>
      </c>
      <c r="X68" s="1" t="s">
        <v>34</v>
      </c>
      <c r="Y68" s="14">
        <v>45414</v>
      </c>
      <c r="Z68" s="9" t="s">
        <v>817</v>
      </c>
      <c r="AB68" s="14">
        <v>45184</v>
      </c>
      <c r="AC68" s="9" t="s">
        <v>817</v>
      </c>
      <c r="AD68" s="9" t="s">
        <v>818</v>
      </c>
      <c r="AE68" s="1" t="s">
        <v>819</v>
      </c>
      <c r="AF68" s="14" t="s">
        <v>820</v>
      </c>
      <c r="AG68" s="9" t="s">
        <v>821</v>
      </c>
      <c r="AH68" s="1" t="s">
        <v>9</v>
      </c>
      <c r="AI68" s="9" t="s">
        <v>10</v>
      </c>
      <c r="AJ68" s="1" t="s">
        <v>11</v>
      </c>
      <c r="AK68" s="1" t="s">
        <v>918</v>
      </c>
      <c r="AL68" s="1" t="s">
        <v>919</v>
      </c>
      <c r="AM68" s="9">
        <v>11377</v>
      </c>
      <c r="AN68" s="1" t="s">
        <v>56</v>
      </c>
      <c r="AO68" s="1" t="s">
        <v>36</v>
      </c>
      <c r="AP68" s="1" t="s">
        <v>874</v>
      </c>
      <c r="AQ68" s="14">
        <v>45658</v>
      </c>
      <c r="AU68" s="14">
        <v>45799</v>
      </c>
      <c r="AV68" s="16">
        <v>0</v>
      </c>
      <c r="AW68" s="16">
        <v>0</v>
      </c>
      <c r="BA68" s="1" t="s">
        <v>911</v>
      </c>
      <c r="BB68" s="9">
        <v>1</v>
      </c>
      <c r="BC68" s="1" t="s">
        <v>862</v>
      </c>
      <c r="BD68" s="9" t="s">
        <v>807</v>
      </c>
      <c r="BE68" s="1" t="s">
        <v>863</v>
      </c>
      <c r="BF68" s="1" t="s">
        <v>32</v>
      </c>
      <c r="BG68" s="1" t="s">
        <v>864</v>
      </c>
      <c r="BH68" s="1" t="s">
        <v>865</v>
      </c>
      <c r="BI68" s="1" t="s">
        <v>916</v>
      </c>
      <c r="BJ68" s="21" t="str">
        <f t="shared" si="1"/>
        <v>FIXO</v>
      </c>
    </row>
    <row r="69" spans="1:62" x14ac:dyDescent="0.25">
      <c r="A69" s="7">
        <v>2</v>
      </c>
      <c r="B69" s="1" t="s">
        <v>806</v>
      </c>
      <c r="C69" s="8">
        <v>2</v>
      </c>
      <c r="D69" s="9" t="s">
        <v>807</v>
      </c>
      <c r="E69" s="10">
        <v>16035</v>
      </c>
      <c r="F69" s="11" t="s">
        <v>1151</v>
      </c>
      <c r="G69" s="12" t="s">
        <v>71</v>
      </c>
      <c r="H69" s="13" t="str">
        <f>VLOOKUP(AP69,[1]Listas!A:B,2,0)</f>
        <v xml:space="preserve">FEAR </v>
      </c>
      <c r="I69" s="1"/>
      <c r="J69" s="12"/>
      <c r="K69" s="12"/>
      <c r="L69" s="12"/>
      <c r="M69" s="1" t="s">
        <v>116</v>
      </c>
      <c r="N69" s="14">
        <v>31345</v>
      </c>
      <c r="O69" s="1" t="s">
        <v>855</v>
      </c>
      <c r="P69" s="1" t="s">
        <v>856</v>
      </c>
      <c r="Q69" s="15" t="s">
        <v>811</v>
      </c>
      <c r="R69" s="1" t="s">
        <v>812</v>
      </c>
      <c r="S69" s="1" t="s">
        <v>868</v>
      </c>
      <c r="T69" s="1" t="s">
        <v>869</v>
      </c>
      <c r="U69" s="9" t="s">
        <v>832</v>
      </c>
      <c r="V69" s="1" t="s">
        <v>833</v>
      </c>
      <c r="W69" s="1" t="s">
        <v>1152</v>
      </c>
      <c r="X69" s="1" t="s">
        <v>189</v>
      </c>
      <c r="Y69" s="14">
        <v>45185</v>
      </c>
      <c r="Z69" s="9" t="s">
        <v>817</v>
      </c>
      <c r="AB69" s="14">
        <v>45184</v>
      </c>
      <c r="AC69" s="9" t="s">
        <v>817</v>
      </c>
      <c r="AD69" s="9" t="s">
        <v>818</v>
      </c>
      <c r="AE69" s="1" t="s">
        <v>819</v>
      </c>
      <c r="AF69" s="14" t="s">
        <v>820</v>
      </c>
      <c r="AG69" s="9" t="s">
        <v>821</v>
      </c>
      <c r="AH69" s="1" t="s">
        <v>9</v>
      </c>
      <c r="AI69" s="9" t="s">
        <v>10</v>
      </c>
      <c r="AJ69" s="1" t="s">
        <v>11</v>
      </c>
      <c r="AK69" s="1" t="s">
        <v>1022</v>
      </c>
      <c r="AL69" s="1" t="s">
        <v>1023</v>
      </c>
      <c r="AM69" s="9">
        <v>11024</v>
      </c>
      <c r="AN69" s="1" t="s">
        <v>40</v>
      </c>
      <c r="AO69" s="1" t="s">
        <v>175</v>
      </c>
      <c r="AP69" s="1" t="s">
        <v>1134</v>
      </c>
      <c r="AQ69" s="14">
        <v>45658</v>
      </c>
      <c r="AU69" s="14">
        <v>45799</v>
      </c>
      <c r="AV69" s="16">
        <v>0</v>
      </c>
      <c r="AW69" s="16">
        <v>0</v>
      </c>
      <c r="BA69" s="1" t="s">
        <v>911</v>
      </c>
      <c r="BB69" s="9">
        <v>7</v>
      </c>
      <c r="BC69" s="1" t="s">
        <v>826</v>
      </c>
      <c r="BD69" s="9" t="s">
        <v>807</v>
      </c>
      <c r="BE69" s="1" t="s">
        <v>940</v>
      </c>
      <c r="BF69" s="1" t="s">
        <v>71</v>
      </c>
      <c r="BG69" s="1" t="s">
        <v>941</v>
      </c>
      <c r="BH69" s="1" t="s">
        <v>942</v>
      </c>
      <c r="BI69" s="1" t="s">
        <v>888</v>
      </c>
      <c r="BJ69" s="21" t="str">
        <f t="shared" si="1"/>
        <v>FIXO</v>
      </c>
    </row>
    <row r="70" spans="1:62" x14ac:dyDescent="0.25">
      <c r="A70" s="7">
        <v>2</v>
      </c>
      <c r="B70" s="1" t="s">
        <v>806</v>
      </c>
      <c r="C70" s="8">
        <v>5</v>
      </c>
      <c r="D70" s="9" t="s">
        <v>807</v>
      </c>
      <c r="E70" s="10">
        <v>16073</v>
      </c>
      <c r="F70" s="11" t="s">
        <v>1153</v>
      </c>
      <c r="G70" s="1" t="s">
        <v>41</v>
      </c>
      <c r="H70" s="13" t="str">
        <f>VLOOKUP(AP70,[1]Listas!A:B,2,0)</f>
        <v xml:space="preserve">FESP </v>
      </c>
      <c r="I70" s="1" t="s">
        <v>38</v>
      </c>
      <c r="J70" s="1" t="s">
        <v>37</v>
      </c>
      <c r="K70" s="12"/>
      <c r="L70" s="1" t="s">
        <v>490</v>
      </c>
      <c r="M70" s="1" t="s">
        <v>190</v>
      </c>
      <c r="N70" s="14">
        <v>30743</v>
      </c>
      <c r="O70" s="1" t="s">
        <v>855</v>
      </c>
      <c r="P70" s="1" t="s">
        <v>856</v>
      </c>
      <c r="Q70" s="15" t="s">
        <v>807</v>
      </c>
      <c r="R70" s="1" t="s">
        <v>857</v>
      </c>
      <c r="S70" s="1" t="s">
        <v>868</v>
      </c>
      <c r="T70" s="1" t="s">
        <v>869</v>
      </c>
      <c r="U70" s="9" t="s">
        <v>814</v>
      </c>
      <c r="V70" s="1" t="s">
        <v>815</v>
      </c>
      <c r="W70" s="1" t="s">
        <v>871</v>
      </c>
      <c r="X70" s="1" t="s">
        <v>34</v>
      </c>
      <c r="Y70" s="14">
        <v>45539</v>
      </c>
      <c r="Z70" s="9" t="s">
        <v>817</v>
      </c>
      <c r="AB70" s="14">
        <v>45189</v>
      </c>
      <c r="AC70" s="9" t="s">
        <v>817</v>
      </c>
      <c r="AD70" s="9" t="s">
        <v>818</v>
      </c>
      <c r="AE70" s="1" t="s">
        <v>819</v>
      </c>
      <c r="AF70" s="14" t="s">
        <v>820</v>
      </c>
      <c r="AG70" s="9" t="s">
        <v>821</v>
      </c>
      <c r="AH70" s="1" t="s">
        <v>9</v>
      </c>
      <c r="AI70" s="9" t="s">
        <v>10</v>
      </c>
      <c r="AJ70" s="1" t="s">
        <v>11</v>
      </c>
      <c r="AK70" s="1" t="s">
        <v>1154</v>
      </c>
      <c r="AL70" s="1" t="s">
        <v>1155</v>
      </c>
      <c r="AM70" s="9">
        <v>11385</v>
      </c>
      <c r="AN70" s="1" t="s">
        <v>191</v>
      </c>
      <c r="AO70" s="1" t="s">
        <v>36</v>
      </c>
      <c r="AP70" s="1" t="s">
        <v>874</v>
      </c>
      <c r="AQ70" s="14">
        <v>45658</v>
      </c>
      <c r="AU70" s="14">
        <v>45799</v>
      </c>
      <c r="AV70" s="16">
        <v>0</v>
      </c>
      <c r="AW70" s="16">
        <v>0</v>
      </c>
      <c r="BA70" s="1" t="s">
        <v>911</v>
      </c>
      <c r="BB70" s="9">
        <v>1</v>
      </c>
      <c r="BC70" s="1" t="s">
        <v>862</v>
      </c>
      <c r="BD70" s="9" t="s">
        <v>807</v>
      </c>
      <c r="BE70" s="1" t="s">
        <v>875</v>
      </c>
      <c r="BF70" s="1" t="s">
        <v>37</v>
      </c>
      <c r="BG70" s="1" t="s">
        <v>876</v>
      </c>
      <c r="BH70" s="1" t="s">
        <v>877</v>
      </c>
      <c r="BI70" s="1" t="s">
        <v>878</v>
      </c>
      <c r="BJ70" s="21" t="str">
        <f t="shared" si="1"/>
        <v>FIXO</v>
      </c>
    </row>
    <row r="71" spans="1:62" x14ac:dyDescent="0.25">
      <c r="A71" s="7">
        <v>2</v>
      </c>
      <c r="B71" s="1" t="s">
        <v>806</v>
      </c>
      <c r="C71" s="8">
        <v>5</v>
      </c>
      <c r="D71" s="9" t="s">
        <v>807</v>
      </c>
      <c r="E71" s="10">
        <v>16142</v>
      </c>
      <c r="F71" s="11" t="s">
        <v>1156</v>
      </c>
      <c r="G71" s="12" t="s">
        <v>71</v>
      </c>
      <c r="H71" s="13" t="str">
        <f>VLOOKUP(AP71,[1]Listas!A:B,2,0)</f>
        <v xml:space="preserve">FESP </v>
      </c>
      <c r="I71" s="1" t="s">
        <v>27</v>
      </c>
      <c r="J71" s="12"/>
      <c r="K71" s="1" t="s">
        <v>248</v>
      </c>
      <c r="L71" s="12"/>
      <c r="M71" s="1" t="s">
        <v>192</v>
      </c>
      <c r="N71" s="14">
        <v>25751</v>
      </c>
      <c r="O71" s="1" t="s">
        <v>855</v>
      </c>
      <c r="P71" s="1" t="s">
        <v>856</v>
      </c>
      <c r="Q71" s="15" t="s">
        <v>811</v>
      </c>
      <c r="R71" s="1" t="s">
        <v>812</v>
      </c>
      <c r="S71" s="1" t="s">
        <v>868</v>
      </c>
      <c r="T71" s="1" t="s">
        <v>869</v>
      </c>
      <c r="U71" s="9" t="s">
        <v>811</v>
      </c>
      <c r="V71" s="1" t="s">
        <v>870</v>
      </c>
      <c r="W71" s="1" t="s">
        <v>1157</v>
      </c>
      <c r="X71" s="1" t="s">
        <v>193</v>
      </c>
      <c r="Y71" s="14">
        <v>45204</v>
      </c>
      <c r="Z71" s="9" t="s">
        <v>817</v>
      </c>
      <c r="AB71" s="14">
        <v>45203</v>
      </c>
      <c r="AC71" s="9" t="s">
        <v>817</v>
      </c>
      <c r="AD71" s="9" t="s">
        <v>818</v>
      </c>
      <c r="AE71" s="1" t="s">
        <v>819</v>
      </c>
      <c r="AF71" s="14" t="s">
        <v>820</v>
      </c>
      <c r="AG71" s="9" t="s">
        <v>821</v>
      </c>
      <c r="AH71" s="1" t="s">
        <v>9</v>
      </c>
      <c r="AI71" s="9" t="s">
        <v>10</v>
      </c>
      <c r="AJ71" s="1" t="s">
        <v>11</v>
      </c>
      <c r="AK71" s="1" t="s">
        <v>1158</v>
      </c>
      <c r="AL71" s="1" t="s">
        <v>1159</v>
      </c>
      <c r="AM71" s="9">
        <v>11339</v>
      </c>
      <c r="AN71" s="1" t="s">
        <v>194</v>
      </c>
      <c r="AO71" s="1" t="s">
        <v>155</v>
      </c>
      <c r="AP71" s="1" t="s">
        <v>1104</v>
      </c>
      <c r="AQ71" s="14">
        <v>45658</v>
      </c>
      <c r="AU71" s="14">
        <v>45799</v>
      </c>
      <c r="AV71" s="16">
        <v>0</v>
      </c>
      <c r="AW71" s="16">
        <v>0</v>
      </c>
      <c r="BA71" s="1" t="s">
        <v>911</v>
      </c>
      <c r="BB71" s="9">
        <v>1</v>
      </c>
      <c r="BC71" s="1" t="s">
        <v>862</v>
      </c>
      <c r="BD71" s="9" t="s">
        <v>807</v>
      </c>
      <c r="BE71" s="1" t="s">
        <v>1160</v>
      </c>
      <c r="BF71" s="23" t="s">
        <v>21</v>
      </c>
      <c r="BG71" s="1" t="s">
        <v>846</v>
      </c>
      <c r="BH71" s="1" t="s">
        <v>847</v>
      </c>
      <c r="BI71" s="23" t="s">
        <v>853</v>
      </c>
      <c r="BJ71" s="21" t="str">
        <f t="shared" si="1"/>
        <v>FIXO</v>
      </c>
    </row>
    <row r="72" spans="1:62" x14ac:dyDescent="0.25">
      <c r="A72" s="7">
        <v>2</v>
      </c>
      <c r="B72" s="1" t="s">
        <v>806</v>
      </c>
      <c r="C72" s="8">
        <v>3</v>
      </c>
      <c r="D72" s="9" t="s">
        <v>807</v>
      </c>
      <c r="E72" s="10">
        <v>16383</v>
      </c>
      <c r="F72" s="11" t="s">
        <v>1161</v>
      </c>
      <c r="G72" s="12" t="s">
        <v>71</v>
      </c>
      <c r="H72" s="13" t="str">
        <f>VLOOKUP(AP72,[1]Listas!A:B,2,0)</f>
        <v xml:space="preserve">MTRZ </v>
      </c>
      <c r="I72" s="12" t="s">
        <v>236</v>
      </c>
      <c r="J72" s="12"/>
      <c r="K72" s="12"/>
      <c r="L72" s="12"/>
      <c r="M72" s="1" t="s">
        <v>1162</v>
      </c>
      <c r="N72" s="14">
        <v>35926</v>
      </c>
      <c r="O72" s="1" t="s">
        <v>809</v>
      </c>
      <c r="P72" s="1" t="s">
        <v>810</v>
      </c>
      <c r="Q72" s="15" t="s">
        <v>807</v>
      </c>
      <c r="R72" s="1" t="s">
        <v>857</v>
      </c>
      <c r="S72" s="1" t="s">
        <v>868</v>
      </c>
      <c r="T72" s="1" t="s">
        <v>869</v>
      </c>
      <c r="U72" s="9" t="s">
        <v>814</v>
      </c>
      <c r="V72" s="1" t="s">
        <v>815</v>
      </c>
      <c r="W72" s="1" t="s">
        <v>998</v>
      </c>
      <c r="X72" s="1" t="s">
        <v>104</v>
      </c>
      <c r="Y72" s="14">
        <v>45244</v>
      </c>
      <c r="Z72" s="9" t="s">
        <v>817</v>
      </c>
      <c r="AB72" s="14">
        <v>45236</v>
      </c>
      <c r="AC72" s="9" t="s">
        <v>817</v>
      </c>
      <c r="AD72" s="9" t="s">
        <v>818</v>
      </c>
      <c r="AE72" s="1" t="s">
        <v>819</v>
      </c>
      <c r="AF72" s="14" t="s">
        <v>820</v>
      </c>
      <c r="AG72" s="9" t="s">
        <v>821</v>
      </c>
      <c r="AH72" s="1" t="s">
        <v>9</v>
      </c>
      <c r="AI72" s="9" t="s">
        <v>10</v>
      </c>
      <c r="AJ72" s="1" t="s">
        <v>11</v>
      </c>
      <c r="AK72" s="1" t="s">
        <v>1163</v>
      </c>
      <c r="AL72" s="1" t="s">
        <v>1164</v>
      </c>
      <c r="AM72" s="9">
        <v>10112</v>
      </c>
      <c r="AN72" s="1" t="s">
        <v>122</v>
      </c>
      <c r="AO72" s="1" t="s">
        <v>1037</v>
      </c>
      <c r="AP72" s="1" t="s">
        <v>1038</v>
      </c>
      <c r="AQ72" s="14">
        <v>45658</v>
      </c>
      <c r="AU72" s="14">
        <v>45799</v>
      </c>
      <c r="AV72" s="16">
        <v>0</v>
      </c>
      <c r="AW72" s="16">
        <v>0</v>
      </c>
      <c r="BA72" s="1" t="s">
        <v>911</v>
      </c>
      <c r="BB72" s="9">
        <v>9</v>
      </c>
      <c r="BC72" s="1" t="s">
        <v>849</v>
      </c>
      <c r="BD72" s="9" t="s">
        <v>807</v>
      </c>
      <c r="BE72" s="1" t="s">
        <v>1017</v>
      </c>
      <c r="BI72" s="20" t="s">
        <v>1040</v>
      </c>
      <c r="BJ72" s="21" t="str">
        <f t="shared" si="1"/>
        <v>FIXO</v>
      </c>
    </row>
    <row r="73" spans="1:62" x14ac:dyDescent="0.25">
      <c r="A73" s="7">
        <v>2</v>
      </c>
      <c r="B73" s="1" t="s">
        <v>806</v>
      </c>
      <c r="C73" s="8">
        <v>5</v>
      </c>
      <c r="D73" s="9" t="s">
        <v>807</v>
      </c>
      <c r="E73" s="10">
        <v>16869</v>
      </c>
      <c r="F73" s="11" t="s">
        <v>1165</v>
      </c>
      <c r="G73" s="1" t="s">
        <v>41</v>
      </c>
      <c r="H73" s="13" t="str">
        <f>VLOOKUP(AP73,[1]Listas!A:B,2,0)</f>
        <v xml:space="preserve">FESP </v>
      </c>
      <c r="I73" s="12" t="s">
        <v>38</v>
      </c>
      <c r="J73" s="12"/>
      <c r="K73" s="1" t="s">
        <v>32</v>
      </c>
      <c r="L73" s="1" t="s">
        <v>54</v>
      </c>
      <c r="M73" s="1" t="s">
        <v>195</v>
      </c>
      <c r="N73" s="14">
        <v>34320</v>
      </c>
      <c r="O73" s="1" t="s">
        <v>855</v>
      </c>
      <c r="P73" s="1" t="s">
        <v>856</v>
      </c>
      <c r="Q73" s="15" t="s">
        <v>807</v>
      </c>
      <c r="R73" s="1" t="s">
        <v>857</v>
      </c>
      <c r="S73" s="1" t="s">
        <v>868</v>
      </c>
      <c r="T73" s="1" t="s">
        <v>869</v>
      </c>
      <c r="U73" s="9" t="s">
        <v>880</v>
      </c>
      <c r="V73" s="1" t="s">
        <v>881</v>
      </c>
      <c r="W73" s="1" t="s">
        <v>871</v>
      </c>
      <c r="X73" s="1" t="s">
        <v>34</v>
      </c>
      <c r="Y73" s="14">
        <v>45281</v>
      </c>
      <c r="Z73" s="9" t="s">
        <v>817</v>
      </c>
      <c r="AB73" s="14">
        <v>45280</v>
      </c>
      <c r="AC73" s="9" t="s">
        <v>817</v>
      </c>
      <c r="AD73" s="9" t="s">
        <v>818</v>
      </c>
      <c r="AE73" s="1" t="s">
        <v>819</v>
      </c>
      <c r="AF73" s="14" t="s">
        <v>820</v>
      </c>
      <c r="AG73" s="9" t="s">
        <v>821</v>
      </c>
      <c r="AH73" s="1" t="s">
        <v>9</v>
      </c>
      <c r="AI73" s="9" t="s">
        <v>10</v>
      </c>
      <c r="AJ73" s="1" t="s">
        <v>11</v>
      </c>
      <c r="AK73" s="1" t="s">
        <v>918</v>
      </c>
      <c r="AL73" s="1" t="s">
        <v>919</v>
      </c>
      <c r="AM73" s="9">
        <v>11377</v>
      </c>
      <c r="AN73" s="1" t="s">
        <v>56</v>
      </c>
      <c r="AO73" s="1" t="s">
        <v>36</v>
      </c>
      <c r="AP73" s="1" t="s">
        <v>874</v>
      </c>
      <c r="AQ73" s="14">
        <v>45658</v>
      </c>
      <c r="AU73" s="14">
        <v>45799</v>
      </c>
      <c r="AV73" s="16">
        <v>0</v>
      </c>
      <c r="AW73" s="16">
        <v>0</v>
      </c>
      <c r="BA73" s="1" t="s">
        <v>911</v>
      </c>
      <c r="BB73" s="9">
        <v>1</v>
      </c>
      <c r="BC73" s="1" t="s">
        <v>862</v>
      </c>
      <c r="BD73" s="9" t="s">
        <v>807</v>
      </c>
      <c r="BE73" s="1" t="s">
        <v>863</v>
      </c>
      <c r="BF73" s="1" t="s">
        <v>32</v>
      </c>
      <c r="BG73" s="1" t="s">
        <v>864</v>
      </c>
      <c r="BH73" s="1" t="s">
        <v>865</v>
      </c>
      <c r="BI73" s="1" t="s">
        <v>916</v>
      </c>
      <c r="BJ73" s="21" t="str">
        <f t="shared" si="1"/>
        <v>FIXO</v>
      </c>
    </row>
    <row r="74" spans="1:62" x14ac:dyDescent="0.25">
      <c r="A74" s="7">
        <v>2</v>
      </c>
      <c r="B74" s="1" t="s">
        <v>806</v>
      </c>
      <c r="C74" s="8">
        <v>5</v>
      </c>
      <c r="D74" s="9" t="s">
        <v>807</v>
      </c>
      <c r="E74" s="10">
        <v>17019</v>
      </c>
      <c r="F74" s="11" t="s">
        <v>1166</v>
      </c>
      <c r="G74" s="12" t="s">
        <v>71</v>
      </c>
      <c r="H74" s="13" t="str">
        <f>VLOOKUP(AP74,[1]Listas!A:B,2,0)</f>
        <v xml:space="preserve">FESP </v>
      </c>
      <c r="I74" s="1" t="s">
        <v>27</v>
      </c>
      <c r="J74" s="12"/>
      <c r="K74" s="1" t="s">
        <v>21</v>
      </c>
      <c r="L74" s="12"/>
      <c r="M74" s="1" t="s">
        <v>1167</v>
      </c>
      <c r="N74" s="14">
        <v>36442</v>
      </c>
      <c r="O74" s="1" t="s">
        <v>809</v>
      </c>
      <c r="P74" s="1" t="s">
        <v>810</v>
      </c>
      <c r="Q74" s="15" t="s">
        <v>807</v>
      </c>
      <c r="R74" s="1" t="s">
        <v>857</v>
      </c>
      <c r="S74" s="1" t="s">
        <v>868</v>
      </c>
      <c r="T74" s="1" t="s">
        <v>869</v>
      </c>
      <c r="U74" s="9" t="s">
        <v>814</v>
      </c>
      <c r="V74" s="1" t="s">
        <v>815</v>
      </c>
      <c r="W74" s="1" t="s">
        <v>1168</v>
      </c>
      <c r="X74" s="1" t="s">
        <v>1169</v>
      </c>
      <c r="Y74" s="14">
        <v>45910</v>
      </c>
      <c r="Z74" s="9" t="s">
        <v>817</v>
      </c>
      <c r="AB74" s="14">
        <v>45302</v>
      </c>
      <c r="AC74" s="9" t="s">
        <v>817</v>
      </c>
      <c r="AD74" s="9" t="s">
        <v>818</v>
      </c>
      <c r="AE74" s="1" t="s">
        <v>819</v>
      </c>
      <c r="AF74" s="14" t="s">
        <v>820</v>
      </c>
      <c r="AG74" s="9" t="s">
        <v>835</v>
      </c>
      <c r="AH74" s="1" t="s">
        <v>17</v>
      </c>
      <c r="AI74" s="9" t="s">
        <v>10</v>
      </c>
      <c r="AJ74" s="1" t="s">
        <v>11</v>
      </c>
      <c r="AK74" s="1" t="s">
        <v>1170</v>
      </c>
      <c r="AL74" s="1" t="s">
        <v>1171</v>
      </c>
      <c r="AM74" s="9">
        <v>11355</v>
      </c>
      <c r="AN74" s="1" t="s">
        <v>127</v>
      </c>
      <c r="AO74" s="1" t="s">
        <v>196</v>
      </c>
      <c r="AP74" s="1" t="s">
        <v>1172</v>
      </c>
      <c r="AQ74" s="14">
        <v>45658</v>
      </c>
      <c r="AU74" s="14">
        <v>45910</v>
      </c>
      <c r="AV74" s="16">
        <v>0</v>
      </c>
      <c r="AW74" s="16">
        <v>0</v>
      </c>
      <c r="BA74" s="1" t="s">
        <v>911</v>
      </c>
      <c r="BB74" s="9">
        <v>29</v>
      </c>
      <c r="BC74" s="1" t="s">
        <v>1173</v>
      </c>
      <c r="BD74" s="9" t="s">
        <v>807</v>
      </c>
      <c r="BE74" s="1" t="s">
        <v>1017</v>
      </c>
      <c r="BI74" s="20" t="s">
        <v>1055</v>
      </c>
      <c r="BJ74" s="21" t="str">
        <f t="shared" si="1"/>
        <v>FIXO</v>
      </c>
    </row>
    <row r="75" spans="1:62" x14ac:dyDescent="0.25">
      <c r="A75" s="7">
        <v>2</v>
      </c>
      <c r="B75" s="1" t="s">
        <v>806</v>
      </c>
      <c r="C75" s="8">
        <v>3</v>
      </c>
      <c r="D75" s="9" t="s">
        <v>807</v>
      </c>
      <c r="E75" s="10">
        <v>17274</v>
      </c>
      <c r="F75" s="11" t="s">
        <v>1174</v>
      </c>
      <c r="G75" s="12" t="s">
        <v>71</v>
      </c>
      <c r="H75" s="13" t="str">
        <f>VLOOKUP(AP75,[1]Listas!A:B,2,0)</f>
        <v xml:space="preserve">MTRZ </v>
      </c>
      <c r="I75" s="1" t="s">
        <v>67</v>
      </c>
      <c r="J75" s="12"/>
      <c r="K75" s="12"/>
      <c r="L75" s="12"/>
      <c r="M75" s="1" t="s">
        <v>197</v>
      </c>
      <c r="N75" s="14">
        <v>37062</v>
      </c>
      <c r="O75" s="1" t="s">
        <v>809</v>
      </c>
      <c r="P75" s="1" t="s">
        <v>810</v>
      </c>
      <c r="Q75" s="15" t="s">
        <v>807</v>
      </c>
      <c r="R75" s="1" t="s">
        <v>857</v>
      </c>
      <c r="S75" s="1" t="s">
        <v>807</v>
      </c>
      <c r="T75" s="1" t="s">
        <v>813</v>
      </c>
      <c r="U75" s="9" t="s">
        <v>814</v>
      </c>
      <c r="V75" s="1" t="s">
        <v>815</v>
      </c>
      <c r="W75" s="1" t="s">
        <v>973</v>
      </c>
      <c r="X75" s="1" t="s">
        <v>89</v>
      </c>
      <c r="Y75" s="14">
        <v>45674</v>
      </c>
      <c r="Z75" s="9" t="s">
        <v>817</v>
      </c>
      <c r="AB75" s="14">
        <v>45341</v>
      </c>
      <c r="AC75" s="9" t="s">
        <v>817</v>
      </c>
      <c r="AD75" s="9" t="s">
        <v>818</v>
      </c>
      <c r="AE75" s="1" t="s">
        <v>819</v>
      </c>
      <c r="AF75" s="14" t="s">
        <v>820</v>
      </c>
      <c r="AG75" s="9" t="s">
        <v>821</v>
      </c>
      <c r="AH75" s="1" t="s">
        <v>9</v>
      </c>
      <c r="AI75" s="9" t="s">
        <v>10</v>
      </c>
      <c r="AJ75" s="1" t="s">
        <v>11</v>
      </c>
      <c r="AK75" s="1" t="s">
        <v>1048</v>
      </c>
      <c r="AL75" s="1" t="s">
        <v>1049</v>
      </c>
      <c r="AM75" s="9">
        <v>10113</v>
      </c>
      <c r="AN75" s="1" t="s">
        <v>69</v>
      </c>
      <c r="AO75" s="1" t="s">
        <v>70</v>
      </c>
      <c r="AP75" s="1" t="s">
        <v>939</v>
      </c>
      <c r="AQ75" s="14">
        <v>45658</v>
      </c>
      <c r="AU75" s="14">
        <v>45799</v>
      </c>
      <c r="AV75" s="16">
        <v>0</v>
      </c>
      <c r="AW75" s="16">
        <v>0</v>
      </c>
      <c r="BA75" s="1" t="s">
        <v>911</v>
      </c>
      <c r="BB75" s="9">
        <v>9</v>
      </c>
      <c r="BC75" s="1" t="s">
        <v>849</v>
      </c>
      <c r="BD75" s="9" t="s">
        <v>807</v>
      </c>
      <c r="BE75" s="1" t="s">
        <v>977</v>
      </c>
      <c r="BF75" s="1" t="s">
        <v>72</v>
      </c>
      <c r="BG75" s="1" t="s">
        <v>946</v>
      </c>
      <c r="BH75" s="1" t="s">
        <v>947</v>
      </c>
      <c r="BI75" s="20" t="s">
        <v>949</v>
      </c>
      <c r="BJ75" s="21" t="str">
        <f t="shared" si="1"/>
        <v>FIXO</v>
      </c>
    </row>
    <row r="76" spans="1:62" x14ac:dyDescent="0.25">
      <c r="A76" s="7">
        <v>2</v>
      </c>
      <c r="B76" s="1" t="s">
        <v>806</v>
      </c>
      <c r="C76" s="8">
        <v>5</v>
      </c>
      <c r="D76" s="9" t="s">
        <v>807</v>
      </c>
      <c r="E76" s="10">
        <v>17634</v>
      </c>
      <c r="F76" s="11" t="s">
        <v>1175</v>
      </c>
      <c r="G76" s="1" t="s">
        <v>41</v>
      </c>
      <c r="H76" s="13" t="str">
        <f>VLOOKUP(AP76,[1]Listas!A:B,2,0)</f>
        <v xml:space="preserve">FESP </v>
      </c>
      <c r="I76" s="12" t="s">
        <v>38</v>
      </c>
      <c r="J76" s="12"/>
      <c r="K76" s="1" t="s">
        <v>32</v>
      </c>
      <c r="L76" s="1" t="s">
        <v>54</v>
      </c>
      <c r="M76" s="1" t="s">
        <v>198</v>
      </c>
      <c r="N76" s="14">
        <v>35540</v>
      </c>
      <c r="O76" s="1" t="s">
        <v>855</v>
      </c>
      <c r="P76" s="1" t="s">
        <v>856</v>
      </c>
      <c r="Q76" s="15" t="s">
        <v>807</v>
      </c>
      <c r="R76" s="1" t="s">
        <v>857</v>
      </c>
      <c r="S76" s="1" t="s">
        <v>868</v>
      </c>
      <c r="T76" s="1" t="s">
        <v>869</v>
      </c>
      <c r="U76" s="9" t="s">
        <v>951</v>
      </c>
      <c r="V76" s="1" t="s">
        <v>952</v>
      </c>
      <c r="W76" s="1" t="s">
        <v>871</v>
      </c>
      <c r="X76" s="1" t="s">
        <v>34</v>
      </c>
      <c r="Y76" s="14">
        <v>45416</v>
      </c>
      <c r="Z76" s="9" t="s">
        <v>817</v>
      </c>
      <c r="AB76" s="14">
        <v>45415</v>
      </c>
      <c r="AC76" s="9" t="s">
        <v>817</v>
      </c>
      <c r="AD76" s="9" t="s">
        <v>818</v>
      </c>
      <c r="AE76" s="1" t="s">
        <v>819</v>
      </c>
      <c r="AF76" s="14" t="s">
        <v>820</v>
      </c>
      <c r="AG76" s="9" t="s">
        <v>821</v>
      </c>
      <c r="AH76" s="1" t="s">
        <v>9</v>
      </c>
      <c r="AI76" s="9" t="s">
        <v>10</v>
      </c>
      <c r="AJ76" s="1" t="s">
        <v>11</v>
      </c>
      <c r="AK76" s="1" t="s">
        <v>918</v>
      </c>
      <c r="AL76" s="1" t="s">
        <v>919</v>
      </c>
      <c r="AM76" s="9">
        <v>11377</v>
      </c>
      <c r="AN76" s="1" t="s">
        <v>56</v>
      </c>
      <c r="AO76" s="1" t="s">
        <v>36</v>
      </c>
      <c r="AP76" s="1" t="s">
        <v>874</v>
      </c>
      <c r="AQ76" s="14">
        <v>45658</v>
      </c>
      <c r="AU76" s="14">
        <v>45799</v>
      </c>
      <c r="AV76" s="16">
        <v>0</v>
      </c>
      <c r="AW76" s="16">
        <v>0</v>
      </c>
      <c r="BA76" s="1" t="s">
        <v>911</v>
      </c>
      <c r="BB76" s="9">
        <v>1</v>
      </c>
      <c r="BC76" s="1" t="s">
        <v>862</v>
      </c>
      <c r="BD76" s="9" t="s">
        <v>807</v>
      </c>
      <c r="BE76" s="1" t="s">
        <v>863</v>
      </c>
      <c r="BF76" s="1" t="s">
        <v>32</v>
      </c>
      <c r="BG76" s="1" t="s">
        <v>864</v>
      </c>
      <c r="BH76" s="1" t="s">
        <v>865</v>
      </c>
      <c r="BI76" s="1" t="s">
        <v>916</v>
      </c>
      <c r="BJ76" s="21" t="str">
        <f t="shared" si="1"/>
        <v>FIXO</v>
      </c>
    </row>
    <row r="77" spans="1:62" x14ac:dyDescent="0.25">
      <c r="A77" s="7">
        <v>2</v>
      </c>
      <c r="B77" s="1" t="s">
        <v>806</v>
      </c>
      <c r="C77" s="8">
        <v>5</v>
      </c>
      <c r="D77" s="9" t="s">
        <v>807</v>
      </c>
      <c r="E77" s="10">
        <v>17638</v>
      </c>
      <c r="F77" s="11" t="s">
        <v>1176</v>
      </c>
      <c r="G77" s="1" t="s">
        <v>41</v>
      </c>
      <c r="H77" s="13" t="str">
        <f>VLOOKUP(AP77,[1]Listas!A:B,2,0)</f>
        <v xml:space="preserve">FESP </v>
      </c>
      <c r="I77" s="1" t="s">
        <v>38</v>
      </c>
      <c r="J77" s="1" t="s">
        <v>37</v>
      </c>
      <c r="K77" s="12"/>
      <c r="L77" s="1" t="s">
        <v>490</v>
      </c>
      <c r="M77" s="1" t="s">
        <v>199</v>
      </c>
      <c r="N77" s="14">
        <v>32506</v>
      </c>
      <c r="O77" s="1" t="s">
        <v>855</v>
      </c>
      <c r="P77" s="1" t="s">
        <v>856</v>
      </c>
      <c r="Q77" s="15" t="s">
        <v>807</v>
      </c>
      <c r="R77" s="1" t="s">
        <v>857</v>
      </c>
      <c r="S77" s="1" t="s">
        <v>868</v>
      </c>
      <c r="T77" s="1" t="s">
        <v>869</v>
      </c>
      <c r="U77" s="9" t="s">
        <v>880</v>
      </c>
      <c r="V77" s="1" t="s">
        <v>881</v>
      </c>
      <c r="W77" s="1" t="s">
        <v>871</v>
      </c>
      <c r="X77" s="1" t="s">
        <v>34</v>
      </c>
      <c r="Y77" s="14">
        <v>45799</v>
      </c>
      <c r="Z77" s="9" t="s">
        <v>817</v>
      </c>
      <c r="AB77" s="14">
        <v>45414</v>
      </c>
      <c r="AC77" s="9" t="s">
        <v>817</v>
      </c>
      <c r="AD77" s="9" t="s">
        <v>818</v>
      </c>
      <c r="AE77" s="1" t="s">
        <v>819</v>
      </c>
      <c r="AF77" s="14" t="s">
        <v>820</v>
      </c>
      <c r="AG77" s="9" t="s">
        <v>821</v>
      </c>
      <c r="AH77" s="1" t="s">
        <v>9</v>
      </c>
      <c r="AI77" s="9" t="s">
        <v>10</v>
      </c>
      <c r="AJ77" s="1" t="s">
        <v>11</v>
      </c>
      <c r="AK77" s="1" t="s">
        <v>1177</v>
      </c>
      <c r="AL77" s="1" t="s">
        <v>1178</v>
      </c>
      <c r="AM77" s="9">
        <v>11343</v>
      </c>
      <c r="AN77" s="1" t="s">
        <v>114</v>
      </c>
      <c r="AO77" s="1" t="s">
        <v>36</v>
      </c>
      <c r="AP77" s="1" t="s">
        <v>874</v>
      </c>
      <c r="AQ77" s="14">
        <v>45799</v>
      </c>
      <c r="AU77" s="14">
        <v>45799</v>
      </c>
      <c r="AV77" s="16">
        <v>0</v>
      </c>
      <c r="AW77" s="16">
        <v>0</v>
      </c>
      <c r="BA77" s="1" t="s">
        <v>911</v>
      </c>
      <c r="BB77" s="9">
        <v>1</v>
      </c>
      <c r="BC77" s="1" t="s">
        <v>862</v>
      </c>
      <c r="BD77" s="9" t="s">
        <v>807</v>
      </c>
      <c r="BE77" s="1" t="s">
        <v>893</v>
      </c>
      <c r="BF77" s="23" t="s">
        <v>38</v>
      </c>
      <c r="BG77" s="1" t="s">
        <v>883</v>
      </c>
      <c r="BH77" s="1" t="s">
        <v>884</v>
      </c>
      <c r="BI77" s="25" t="s">
        <v>878</v>
      </c>
      <c r="BJ77" s="21" t="str">
        <f t="shared" si="1"/>
        <v>FIXO</v>
      </c>
    </row>
    <row r="78" spans="1:62" x14ac:dyDescent="0.25">
      <c r="A78" s="7">
        <v>2</v>
      </c>
      <c r="B78" s="1" t="s">
        <v>806</v>
      </c>
      <c r="C78" s="8">
        <v>5</v>
      </c>
      <c r="D78" s="9" t="s">
        <v>807</v>
      </c>
      <c r="E78" s="10">
        <v>17800</v>
      </c>
      <c r="F78" s="11" t="s">
        <v>1179</v>
      </c>
      <c r="G78" s="1" t="s">
        <v>41</v>
      </c>
      <c r="H78" s="13" t="str">
        <f>VLOOKUP(AP78,[1]Listas!A:B,2,0)</f>
        <v xml:space="preserve">FESP </v>
      </c>
      <c r="I78" s="1" t="s">
        <v>38</v>
      </c>
      <c r="J78" s="1" t="s">
        <v>37</v>
      </c>
      <c r="K78" s="12"/>
      <c r="L78" s="1" t="s">
        <v>259</v>
      </c>
      <c r="M78" s="1" t="s">
        <v>200</v>
      </c>
      <c r="N78" s="14">
        <v>37111</v>
      </c>
      <c r="O78" s="1" t="s">
        <v>855</v>
      </c>
      <c r="P78" s="1" t="s">
        <v>856</v>
      </c>
      <c r="Q78" s="15" t="s">
        <v>807</v>
      </c>
      <c r="R78" s="1" t="s">
        <v>857</v>
      </c>
      <c r="S78" s="1" t="s">
        <v>868</v>
      </c>
      <c r="T78" s="1" t="s">
        <v>869</v>
      </c>
      <c r="U78" s="9" t="s">
        <v>814</v>
      </c>
      <c r="V78" s="1" t="s">
        <v>815</v>
      </c>
      <c r="W78" s="1" t="s">
        <v>871</v>
      </c>
      <c r="X78" s="1" t="s">
        <v>34</v>
      </c>
      <c r="Y78" s="14">
        <v>45434</v>
      </c>
      <c r="Z78" s="9" t="s">
        <v>817</v>
      </c>
      <c r="AB78" s="14">
        <v>45433</v>
      </c>
      <c r="AC78" s="9" t="s">
        <v>817</v>
      </c>
      <c r="AD78" s="9" t="s">
        <v>818</v>
      </c>
      <c r="AE78" s="1" t="s">
        <v>819</v>
      </c>
      <c r="AF78" s="14" t="s">
        <v>820</v>
      </c>
      <c r="AG78" s="9" t="s">
        <v>821</v>
      </c>
      <c r="AH78" s="1" t="s">
        <v>9</v>
      </c>
      <c r="AI78" s="9" t="s">
        <v>10</v>
      </c>
      <c r="AJ78" s="1" t="s">
        <v>11</v>
      </c>
      <c r="AK78" s="1" t="s">
        <v>872</v>
      </c>
      <c r="AL78" s="1" t="s">
        <v>873</v>
      </c>
      <c r="AM78" s="9">
        <v>11383</v>
      </c>
      <c r="AN78" s="1" t="s">
        <v>35</v>
      </c>
      <c r="AO78" s="1" t="s">
        <v>36</v>
      </c>
      <c r="AP78" s="1" t="s">
        <v>874</v>
      </c>
      <c r="AQ78" s="14">
        <v>45658</v>
      </c>
      <c r="AU78" s="14">
        <v>45799</v>
      </c>
      <c r="AV78" s="16">
        <v>0</v>
      </c>
      <c r="AW78" s="16">
        <v>0</v>
      </c>
      <c r="BA78" s="1" t="s">
        <v>911</v>
      </c>
      <c r="BB78" s="9">
        <v>1</v>
      </c>
      <c r="BC78" s="1" t="s">
        <v>862</v>
      </c>
      <c r="BD78" s="9" t="s">
        <v>807</v>
      </c>
      <c r="BE78" s="1" t="s">
        <v>875</v>
      </c>
      <c r="BF78" s="1" t="s">
        <v>37</v>
      </c>
      <c r="BG78" s="1" t="s">
        <v>876</v>
      </c>
      <c r="BH78" s="1" t="s">
        <v>877</v>
      </c>
      <c r="BI78" s="1" t="s">
        <v>1118</v>
      </c>
      <c r="BJ78" s="21" t="str">
        <f t="shared" si="1"/>
        <v>FIXO</v>
      </c>
    </row>
    <row r="79" spans="1:62" x14ac:dyDescent="0.25">
      <c r="A79" s="7">
        <v>2</v>
      </c>
      <c r="B79" s="1" t="s">
        <v>806</v>
      </c>
      <c r="C79" s="8">
        <v>5</v>
      </c>
      <c r="D79" s="9" t="s">
        <v>807</v>
      </c>
      <c r="E79" s="10">
        <v>17933</v>
      </c>
      <c r="F79" s="11" t="s">
        <v>1180</v>
      </c>
      <c r="G79" s="1" t="s">
        <v>41</v>
      </c>
      <c r="H79" s="13" t="str">
        <f>VLOOKUP(AP79,[1]Listas!A:B,2,0)</f>
        <v xml:space="preserve">FESP </v>
      </c>
      <c r="I79" s="12" t="s">
        <v>38</v>
      </c>
      <c r="J79" s="12"/>
      <c r="K79" s="1" t="s">
        <v>32</v>
      </c>
      <c r="L79" s="1" t="s">
        <v>54</v>
      </c>
      <c r="M79" s="1" t="s">
        <v>201</v>
      </c>
      <c r="N79" s="14">
        <v>34923</v>
      </c>
      <c r="O79" s="1" t="s">
        <v>855</v>
      </c>
      <c r="P79" s="1" t="s">
        <v>856</v>
      </c>
      <c r="Q79" s="15" t="s">
        <v>811</v>
      </c>
      <c r="R79" s="1" t="s">
        <v>812</v>
      </c>
      <c r="S79" s="1" t="s">
        <v>868</v>
      </c>
      <c r="T79" s="1" t="s">
        <v>869</v>
      </c>
      <c r="U79" s="9" t="s">
        <v>814</v>
      </c>
      <c r="V79" s="1" t="s">
        <v>815</v>
      </c>
      <c r="W79" s="1" t="s">
        <v>871</v>
      </c>
      <c r="X79" s="1" t="s">
        <v>34</v>
      </c>
      <c r="Y79" s="14">
        <v>45449</v>
      </c>
      <c r="Z79" s="9" t="s">
        <v>817</v>
      </c>
      <c r="AB79" s="14">
        <v>45448</v>
      </c>
      <c r="AC79" s="9" t="s">
        <v>817</v>
      </c>
      <c r="AD79" s="9" t="s">
        <v>818</v>
      </c>
      <c r="AE79" s="1" t="s">
        <v>819</v>
      </c>
      <c r="AF79" s="14" t="s">
        <v>820</v>
      </c>
      <c r="AG79" s="9" t="s">
        <v>821</v>
      </c>
      <c r="AH79" s="1" t="s">
        <v>9</v>
      </c>
      <c r="AI79" s="9" t="s">
        <v>10</v>
      </c>
      <c r="AJ79" s="1" t="s">
        <v>11</v>
      </c>
      <c r="AK79" s="1" t="s">
        <v>918</v>
      </c>
      <c r="AL79" s="1" t="s">
        <v>919</v>
      </c>
      <c r="AM79" s="9">
        <v>11377</v>
      </c>
      <c r="AN79" s="1" t="s">
        <v>56</v>
      </c>
      <c r="AO79" s="1" t="s">
        <v>36</v>
      </c>
      <c r="AP79" s="1" t="s">
        <v>874</v>
      </c>
      <c r="AQ79" s="14">
        <v>45658</v>
      </c>
      <c r="AU79" s="14">
        <v>45799</v>
      </c>
      <c r="AV79" s="16">
        <v>0</v>
      </c>
      <c r="AW79" s="16">
        <v>0</v>
      </c>
      <c r="BA79" s="1" t="s">
        <v>911</v>
      </c>
      <c r="BB79" s="9">
        <v>1</v>
      </c>
      <c r="BC79" s="1" t="s">
        <v>862</v>
      </c>
      <c r="BD79" s="9" t="s">
        <v>807</v>
      </c>
      <c r="BE79" s="1" t="s">
        <v>863</v>
      </c>
      <c r="BF79" s="1" t="s">
        <v>32</v>
      </c>
      <c r="BG79" s="1" t="s">
        <v>864</v>
      </c>
      <c r="BH79" s="1" t="s">
        <v>865</v>
      </c>
      <c r="BI79" s="1" t="s">
        <v>916</v>
      </c>
      <c r="BJ79" s="21" t="str">
        <f t="shared" si="1"/>
        <v>FIXO</v>
      </c>
    </row>
    <row r="80" spans="1:62" x14ac:dyDescent="0.25">
      <c r="A80" s="7">
        <v>2</v>
      </c>
      <c r="B80" s="1" t="s">
        <v>806</v>
      </c>
      <c r="C80" s="8">
        <v>3</v>
      </c>
      <c r="D80" s="9" t="s">
        <v>807</v>
      </c>
      <c r="E80" s="10">
        <v>18118</v>
      </c>
      <c r="F80" s="11" t="s">
        <v>1181</v>
      </c>
      <c r="G80" s="12" t="s">
        <v>71</v>
      </c>
      <c r="H80" s="13" t="str">
        <f>VLOOKUP(AP80,[1]Listas!A:B,2,0)</f>
        <v xml:space="preserve">MTRZ </v>
      </c>
      <c r="I80" s="1" t="s">
        <v>14</v>
      </c>
      <c r="J80" s="12"/>
      <c r="K80" s="12"/>
      <c r="L80" s="12"/>
      <c r="M80" s="1" t="s">
        <v>202</v>
      </c>
      <c r="N80" s="14">
        <v>31013</v>
      </c>
      <c r="O80" s="1" t="s">
        <v>855</v>
      </c>
      <c r="P80" s="1" t="s">
        <v>856</v>
      </c>
      <c r="Q80" s="15" t="s">
        <v>807</v>
      </c>
      <c r="R80" s="1" t="s">
        <v>857</v>
      </c>
      <c r="S80" s="1" t="s">
        <v>868</v>
      </c>
      <c r="T80" s="1" t="s">
        <v>869</v>
      </c>
      <c r="U80" s="9" t="s">
        <v>832</v>
      </c>
      <c r="V80" s="1" t="s">
        <v>833</v>
      </c>
      <c r="W80" s="1" t="s">
        <v>1182</v>
      </c>
      <c r="X80" s="1" t="s">
        <v>203</v>
      </c>
      <c r="Y80" s="14">
        <v>45456</v>
      </c>
      <c r="Z80" s="9" t="s">
        <v>817</v>
      </c>
      <c r="AB80" s="14">
        <v>45455</v>
      </c>
      <c r="AC80" s="9" t="s">
        <v>817</v>
      </c>
      <c r="AD80" s="9" t="s">
        <v>818</v>
      </c>
      <c r="AE80" s="1" t="s">
        <v>819</v>
      </c>
      <c r="AF80" s="14" t="s">
        <v>820</v>
      </c>
      <c r="AG80" s="9" t="s">
        <v>821</v>
      </c>
      <c r="AH80" s="1" t="s">
        <v>9</v>
      </c>
      <c r="AI80" s="9" t="s">
        <v>10</v>
      </c>
      <c r="AJ80" s="1" t="s">
        <v>11</v>
      </c>
      <c r="AK80" s="1" t="s">
        <v>1183</v>
      </c>
      <c r="AL80" s="1" t="s">
        <v>1184</v>
      </c>
      <c r="AM80" s="9">
        <v>10105</v>
      </c>
      <c r="AN80" s="1" t="s">
        <v>101</v>
      </c>
      <c r="AO80" s="1" t="s">
        <v>102</v>
      </c>
      <c r="AP80" s="1" t="s">
        <v>996</v>
      </c>
      <c r="AQ80" s="14">
        <v>45658</v>
      </c>
      <c r="AU80" s="14">
        <v>45799</v>
      </c>
      <c r="AV80" s="16">
        <v>0</v>
      </c>
      <c r="AW80" s="16">
        <v>0</v>
      </c>
      <c r="BA80" s="1" t="s">
        <v>911</v>
      </c>
      <c r="BB80" s="9">
        <v>10</v>
      </c>
      <c r="BC80" s="1" t="s">
        <v>839</v>
      </c>
      <c r="BD80" s="9" t="s">
        <v>807</v>
      </c>
      <c r="BE80" s="1" t="s">
        <v>827</v>
      </c>
      <c r="BF80" s="1" t="s">
        <v>14</v>
      </c>
      <c r="BG80" s="1" t="s">
        <v>828</v>
      </c>
      <c r="BH80" s="1" t="s">
        <v>829</v>
      </c>
      <c r="BI80" s="20" t="s">
        <v>101</v>
      </c>
      <c r="BJ80" s="21" t="str">
        <f t="shared" si="1"/>
        <v>FIXO</v>
      </c>
    </row>
    <row r="81" spans="1:62" x14ac:dyDescent="0.25">
      <c r="A81" s="7">
        <v>2</v>
      </c>
      <c r="B81" s="1" t="s">
        <v>806</v>
      </c>
      <c r="C81" s="8">
        <v>5</v>
      </c>
      <c r="D81" s="9" t="s">
        <v>807</v>
      </c>
      <c r="E81" s="10">
        <v>18149</v>
      </c>
      <c r="F81" s="11" t="s">
        <v>1185</v>
      </c>
      <c r="G81" s="1" t="s">
        <v>41</v>
      </c>
      <c r="H81" s="13" t="str">
        <f>VLOOKUP(AP81,[1]Listas!A:B,2,0)</f>
        <v xml:space="preserve">FESP </v>
      </c>
      <c r="I81" s="12" t="s">
        <v>38</v>
      </c>
      <c r="J81" s="12"/>
      <c r="K81" s="1" t="s">
        <v>32</v>
      </c>
      <c r="L81" s="1" t="s">
        <v>54</v>
      </c>
      <c r="M81" s="1" t="s">
        <v>204</v>
      </c>
      <c r="N81" s="14">
        <v>29871</v>
      </c>
      <c r="O81" s="1" t="s">
        <v>855</v>
      </c>
      <c r="P81" s="1" t="s">
        <v>856</v>
      </c>
      <c r="Q81" s="15" t="s">
        <v>814</v>
      </c>
      <c r="R81" s="1" t="s">
        <v>1075</v>
      </c>
      <c r="S81" s="1" t="s">
        <v>868</v>
      </c>
      <c r="T81" s="1" t="s">
        <v>869</v>
      </c>
      <c r="U81" s="9" t="s">
        <v>951</v>
      </c>
      <c r="V81" s="1" t="s">
        <v>952</v>
      </c>
      <c r="W81" s="1" t="s">
        <v>871</v>
      </c>
      <c r="X81" s="1" t="s">
        <v>34</v>
      </c>
      <c r="Y81" s="14">
        <v>45463</v>
      </c>
      <c r="Z81" s="9" t="s">
        <v>817</v>
      </c>
      <c r="AB81" s="14">
        <v>45462</v>
      </c>
      <c r="AC81" s="9" t="s">
        <v>817</v>
      </c>
      <c r="AD81" s="9" t="s">
        <v>818</v>
      </c>
      <c r="AE81" s="1" t="s">
        <v>819</v>
      </c>
      <c r="AF81" s="14" t="s">
        <v>820</v>
      </c>
      <c r="AG81" s="9" t="s">
        <v>821</v>
      </c>
      <c r="AH81" s="1" t="s">
        <v>9</v>
      </c>
      <c r="AI81" s="9" t="s">
        <v>10</v>
      </c>
      <c r="AJ81" s="1" t="s">
        <v>11</v>
      </c>
      <c r="AK81" s="1" t="s">
        <v>918</v>
      </c>
      <c r="AL81" s="1" t="s">
        <v>919</v>
      </c>
      <c r="AM81" s="9">
        <v>11377</v>
      </c>
      <c r="AN81" s="1" t="s">
        <v>56</v>
      </c>
      <c r="AO81" s="1" t="s">
        <v>36</v>
      </c>
      <c r="AP81" s="1" t="s">
        <v>874</v>
      </c>
      <c r="AQ81" s="14">
        <v>45658</v>
      </c>
      <c r="AU81" s="14">
        <v>45799</v>
      </c>
      <c r="AV81" s="16">
        <v>0</v>
      </c>
      <c r="AW81" s="16">
        <v>0</v>
      </c>
      <c r="BA81" s="1" t="s">
        <v>911</v>
      </c>
      <c r="BB81" s="9">
        <v>7</v>
      </c>
      <c r="BC81" s="1" t="s">
        <v>826</v>
      </c>
      <c r="BD81" s="9" t="s">
        <v>807</v>
      </c>
      <c r="BE81" s="1" t="s">
        <v>863</v>
      </c>
      <c r="BF81" s="1" t="s">
        <v>32</v>
      </c>
      <c r="BG81" s="1" t="s">
        <v>864</v>
      </c>
      <c r="BH81" s="1" t="s">
        <v>865</v>
      </c>
      <c r="BI81" s="1" t="s">
        <v>916</v>
      </c>
      <c r="BJ81" s="21" t="str">
        <f t="shared" si="1"/>
        <v>FIXO</v>
      </c>
    </row>
    <row r="82" spans="1:62" x14ac:dyDescent="0.25">
      <c r="A82" s="7">
        <v>2</v>
      </c>
      <c r="B82" s="1" t="s">
        <v>806</v>
      </c>
      <c r="C82" s="8">
        <v>5</v>
      </c>
      <c r="D82" s="9" t="s">
        <v>807</v>
      </c>
      <c r="E82" s="10">
        <v>18150</v>
      </c>
      <c r="F82" s="11" t="s">
        <v>1186</v>
      </c>
      <c r="G82" s="12" t="s">
        <v>71</v>
      </c>
      <c r="H82" s="13" t="str">
        <f>VLOOKUP(AP82,[1]Listas!A:B,2,0)</f>
        <v xml:space="preserve">FESP </v>
      </c>
      <c r="I82" s="1" t="s">
        <v>27</v>
      </c>
      <c r="J82" s="12"/>
      <c r="K82" s="1" t="s">
        <v>50</v>
      </c>
      <c r="L82" s="12"/>
      <c r="M82" s="1" t="s">
        <v>205</v>
      </c>
      <c r="N82" s="14">
        <v>31522</v>
      </c>
      <c r="O82" s="1" t="s">
        <v>809</v>
      </c>
      <c r="P82" s="1" t="s">
        <v>810</v>
      </c>
      <c r="Q82" s="15" t="s">
        <v>814</v>
      </c>
      <c r="R82" s="1" t="s">
        <v>1075</v>
      </c>
      <c r="S82" s="1" t="s">
        <v>868</v>
      </c>
      <c r="T82" s="1" t="s">
        <v>869</v>
      </c>
      <c r="U82" s="9" t="s">
        <v>814</v>
      </c>
      <c r="V82" s="1" t="s">
        <v>815</v>
      </c>
      <c r="W82" s="1" t="s">
        <v>998</v>
      </c>
      <c r="X82" s="1" t="s">
        <v>104</v>
      </c>
      <c r="Y82" s="14">
        <v>45463</v>
      </c>
      <c r="Z82" s="9" t="s">
        <v>817</v>
      </c>
      <c r="AB82" s="14">
        <v>45462</v>
      </c>
      <c r="AC82" s="9" t="s">
        <v>817</v>
      </c>
      <c r="AD82" s="9" t="s">
        <v>818</v>
      </c>
      <c r="AE82" s="1" t="s">
        <v>819</v>
      </c>
      <c r="AF82" s="14" t="s">
        <v>820</v>
      </c>
      <c r="AG82" s="9" t="s">
        <v>821</v>
      </c>
      <c r="AH82" s="1" t="s">
        <v>9</v>
      </c>
      <c r="AI82" s="9" t="s">
        <v>10</v>
      </c>
      <c r="AJ82" s="1" t="s">
        <v>11</v>
      </c>
      <c r="AK82" s="1" t="s">
        <v>1187</v>
      </c>
      <c r="AL82" s="1" t="s">
        <v>1188</v>
      </c>
      <c r="AM82" s="9">
        <v>11301</v>
      </c>
      <c r="AN82" s="1" t="s">
        <v>25</v>
      </c>
      <c r="AO82" s="1" t="s">
        <v>26</v>
      </c>
      <c r="AP82" s="1" t="s">
        <v>848</v>
      </c>
      <c r="AQ82" s="14">
        <v>45658</v>
      </c>
      <c r="AU82" s="14">
        <v>45799</v>
      </c>
      <c r="AV82" s="16">
        <v>0</v>
      </c>
      <c r="AW82" s="16">
        <v>0</v>
      </c>
      <c r="BA82" s="1" t="s">
        <v>911</v>
      </c>
      <c r="BB82" s="9">
        <v>1</v>
      </c>
      <c r="BC82" s="1" t="s">
        <v>862</v>
      </c>
      <c r="BD82" s="9" t="s">
        <v>807</v>
      </c>
      <c r="BE82" s="1" t="s">
        <v>850</v>
      </c>
      <c r="BF82" s="1" t="s">
        <v>27</v>
      </c>
      <c r="BG82" s="1" t="s">
        <v>851</v>
      </c>
      <c r="BH82" s="1" t="s">
        <v>852</v>
      </c>
      <c r="BI82" s="20" t="s">
        <v>853</v>
      </c>
      <c r="BJ82" s="21" t="str">
        <f t="shared" si="1"/>
        <v>FIXO</v>
      </c>
    </row>
    <row r="83" spans="1:62" x14ac:dyDescent="0.25">
      <c r="A83" s="7">
        <v>2</v>
      </c>
      <c r="B83" s="1" t="s">
        <v>806</v>
      </c>
      <c r="C83" s="8">
        <v>3</v>
      </c>
      <c r="D83" s="9" t="s">
        <v>807</v>
      </c>
      <c r="E83" s="10">
        <v>18280</v>
      </c>
      <c r="F83" s="11" t="s">
        <v>1189</v>
      </c>
      <c r="G83" s="12" t="s">
        <v>71</v>
      </c>
      <c r="H83" s="13" t="str">
        <f>VLOOKUP(AP83,[1]Listas!A:B,2,0)</f>
        <v xml:space="preserve">MTRZ </v>
      </c>
      <c r="I83" s="1" t="s">
        <v>141</v>
      </c>
      <c r="J83" s="12"/>
      <c r="K83" s="12"/>
      <c r="L83" s="12"/>
      <c r="M83" s="1" t="s">
        <v>20</v>
      </c>
      <c r="N83" s="14">
        <v>35066</v>
      </c>
      <c r="O83" s="1" t="s">
        <v>809</v>
      </c>
      <c r="P83" s="1" t="s">
        <v>810</v>
      </c>
      <c r="Q83" s="15" t="s">
        <v>811</v>
      </c>
      <c r="R83" s="1" t="s">
        <v>812</v>
      </c>
      <c r="S83" s="1" t="s">
        <v>807</v>
      </c>
      <c r="T83" s="1" t="s">
        <v>813</v>
      </c>
      <c r="U83" s="9" t="s">
        <v>832</v>
      </c>
      <c r="V83" s="1" t="s">
        <v>833</v>
      </c>
      <c r="W83" s="1" t="s">
        <v>1190</v>
      </c>
      <c r="X83" s="1" t="s">
        <v>206</v>
      </c>
      <c r="Y83" s="14">
        <v>45489</v>
      </c>
      <c r="Z83" s="9" t="s">
        <v>817</v>
      </c>
      <c r="AB83" s="14">
        <v>45488</v>
      </c>
      <c r="AC83" s="9" t="s">
        <v>817</v>
      </c>
      <c r="AD83" s="9" t="s">
        <v>818</v>
      </c>
      <c r="AE83" s="1" t="s">
        <v>819</v>
      </c>
      <c r="AF83" s="14" t="s">
        <v>820</v>
      </c>
      <c r="AG83" s="9" t="s">
        <v>821</v>
      </c>
      <c r="AH83" s="1" t="s">
        <v>9</v>
      </c>
      <c r="AI83" s="9" t="s">
        <v>10</v>
      </c>
      <c r="AJ83" s="1" t="s">
        <v>11</v>
      </c>
      <c r="AK83" s="1" t="s">
        <v>841</v>
      </c>
      <c r="AL83" s="1" t="s">
        <v>842</v>
      </c>
      <c r="AM83" s="9">
        <v>10108</v>
      </c>
      <c r="AN83" s="1" t="s">
        <v>18</v>
      </c>
      <c r="AO83" s="1" t="s">
        <v>19</v>
      </c>
      <c r="AP83" s="1" t="s">
        <v>838</v>
      </c>
      <c r="AQ83" s="14">
        <v>45658</v>
      </c>
      <c r="AU83" s="14">
        <v>45799</v>
      </c>
      <c r="AV83" s="16">
        <v>0</v>
      </c>
      <c r="AW83" s="16">
        <v>0</v>
      </c>
      <c r="BA83" s="1" t="s">
        <v>911</v>
      </c>
      <c r="BB83" s="9">
        <v>2</v>
      </c>
      <c r="BC83" s="1" t="s">
        <v>900</v>
      </c>
      <c r="BD83" s="9" t="s">
        <v>807</v>
      </c>
      <c r="BE83" s="1" t="s">
        <v>1088</v>
      </c>
      <c r="BF83" s="1" t="s">
        <v>141</v>
      </c>
      <c r="BG83" s="1" t="s">
        <v>1079</v>
      </c>
      <c r="BH83" s="1" t="s">
        <v>1080</v>
      </c>
      <c r="BI83" s="20" t="s">
        <v>1011</v>
      </c>
      <c r="BJ83" s="21" t="str">
        <f t="shared" si="1"/>
        <v>FIXO</v>
      </c>
    </row>
    <row r="84" spans="1:62" x14ac:dyDescent="0.25">
      <c r="A84" s="7">
        <v>2</v>
      </c>
      <c r="B84" s="1" t="s">
        <v>806</v>
      </c>
      <c r="C84" s="8">
        <v>5</v>
      </c>
      <c r="D84" s="9" t="s">
        <v>807</v>
      </c>
      <c r="E84" s="10">
        <v>18448</v>
      </c>
      <c r="F84" s="11" t="s">
        <v>1191</v>
      </c>
      <c r="G84" s="1" t="s">
        <v>41</v>
      </c>
      <c r="H84" s="13" t="str">
        <f>VLOOKUP(AP84,[1]Listas!A:B,2,0)</f>
        <v xml:space="preserve">FESP </v>
      </c>
      <c r="I84" s="1" t="s">
        <v>38</v>
      </c>
      <c r="J84" s="1" t="s">
        <v>37</v>
      </c>
      <c r="K84" s="12"/>
      <c r="L84" s="12"/>
      <c r="M84" s="1" t="s">
        <v>207</v>
      </c>
      <c r="N84" s="14">
        <v>34913</v>
      </c>
      <c r="O84" s="1" t="s">
        <v>855</v>
      </c>
      <c r="P84" s="1" t="s">
        <v>856</v>
      </c>
      <c r="Q84" s="15" t="s">
        <v>807</v>
      </c>
      <c r="R84" s="1" t="s">
        <v>857</v>
      </c>
      <c r="S84" s="1" t="s">
        <v>868</v>
      </c>
      <c r="T84" s="1" t="s">
        <v>869</v>
      </c>
      <c r="U84" s="9" t="s">
        <v>832</v>
      </c>
      <c r="V84" s="1" t="s">
        <v>833</v>
      </c>
      <c r="W84" s="1" t="s">
        <v>890</v>
      </c>
      <c r="X84" s="1" t="s">
        <v>43</v>
      </c>
      <c r="Y84" s="14">
        <v>45525</v>
      </c>
      <c r="Z84" s="9" t="s">
        <v>817</v>
      </c>
      <c r="AB84" s="14">
        <v>45524</v>
      </c>
      <c r="AC84" s="9" t="s">
        <v>817</v>
      </c>
      <c r="AD84" s="9" t="s">
        <v>818</v>
      </c>
      <c r="AE84" s="1" t="s">
        <v>819</v>
      </c>
      <c r="AF84" s="14" t="s">
        <v>820</v>
      </c>
      <c r="AG84" s="9" t="s">
        <v>821</v>
      </c>
      <c r="AH84" s="1" t="s">
        <v>9</v>
      </c>
      <c r="AI84" s="9" t="s">
        <v>10</v>
      </c>
      <c r="AJ84" s="1" t="s">
        <v>11</v>
      </c>
      <c r="AK84" s="1" t="s">
        <v>1192</v>
      </c>
      <c r="AL84" s="1" t="s">
        <v>1193</v>
      </c>
      <c r="AM84" s="9">
        <v>11380</v>
      </c>
      <c r="AN84" s="1" t="s">
        <v>208</v>
      </c>
      <c r="AO84" s="1" t="s">
        <v>31</v>
      </c>
      <c r="AP84" s="1" t="s">
        <v>861</v>
      </c>
      <c r="AQ84" s="14">
        <v>45658</v>
      </c>
      <c r="AU84" s="14">
        <v>45799</v>
      </c>
      <c r="AV84" s="16">
        <v>0</v>
      </c>
      <c r="AW84" s="16">
        <v>0</v>
      </c>
      <c r="BA84" s="1" t="s">
        <v>911</v>
      </c>
      <c r="BB84" s="9">
        <v>1</v>
      </c>
      <c r="BC84" s="1" t="s">
        <v>862</v>
      </c>
      <c r="BD84" s="9" t="s">
        <v>807</v>
      </c>
      <c r="BE84" s="1" t="s">
        <v>875</v>
      </c>
      <c r="BF84" s="1" t="s">
        <v>37</v>
      </c>
      <c r="BG84" s="1" t="s">
        <v>876</v>
      </c>
      <c r="BH84" s="1" t="s">
        <v>877</v>
      </c>
      <c r="BI84" s="1" t="s">
        <v>1044</v>
      </c>
      <c r="BJ84" s="21" t="str">
        <f t="shared" si="1"/>
        <v>FIXO</v>
      </c>
    </row>
    <row r="85" spans="1:62" x14ac:dyDescent="0.25">
      <c r="A85" s="7">
        <v>2</v>
      </c>
      <c r="B85" s="1" t="s">
        <v>806</v>
      </c>
      <c r="C85" s="8">
        <v>5</v>
      </c>
      <c r="D85" s="9" t="s">
        <v>807</v>
      </c>
      <c r="E85" s="10">
        <v>18717</v>
      </c>
      <c r="F85" s="11" t="s">
        <v>1194</v>
      </c>
      <c r="G85" s="1" t="s">
        <v>41</v>
      </c>
      <c r="H85" s="13" t="str">
        <f>VLOOKUP(AP85,[1]Listas!A:B,2,0)</f>
        <v xml:space="preserve">FESP </v>
      </c>
      <c r="I85" s="1" t="s">
        <v>38</v>
      </c>
      <c r="J85" s="1" t="s">
        <v>37</v>
      </c>
      <c r="K85" s="12"/>
      <c r="L85" s="1" t="s">
        <v>490</v>
      </c>
      <c r="M85" s="1" t="s">
        <v>209</v>
      </c>
      <c r="N85" s="14">
        <v>33594</v>
      </c>
      <c r="O85" s="1" t="s">
        <v>855</v>
      </c>
      <c r="P85" s="1" t="s">
        <v>856</v>
      </c>
      <c r="Q85" s="15" t="s">
        <v>807</v>
      </c>
      <c r="R85" s="1" t="s">
        <v>857</v>
      </c>
      <c r="S85" s="1" t="s">
        <v>868</v>
      </c>
      <c r="T85" s="1" t="s">
        <v>869</v>
      </c>
      <c r="U85" s="9" t="s">
        <v>880</v>
      </c>
      <c r="V85" s="1" t="s">
        <v>881</v>
      </c>
      <c r="W85" s="1" t="s">
        <v>871</v>
      </c>
      <c r="X85" s="1" t="s">
        <v>34</v>
      </c>
      <c r="Y85" s="14">
        <v>45538</v>
      </c>
      <c r="Z85" s="9" t="s">
        <v>817</v>
      </c>
      <c r="AB85" s="14">
        <v>45537</v>
      </c>
      <c r="AC85" s="9" t="s">
        <v>817</v>
      </c>
      <c r="AD85" s="9" t="s">
        <v>818</v>
      </c>
      <c r="AE85" s="1" t="s">
        <v>819</v>
      </c>
      <c r="AF85" s="14" t="s">
        <v>820</v>
      </c>
      <c r="AG85" s="9" t="s">
        <v>821</v>
      </c>
      <c r="AH85" s="1" t="s">
        <v>9</v>
      </c>
      <c r="AI85" s="9" t="s">
        <v>10</v>
      </c>
      <c r="AJ85" s="1" t="s">
        <v>11</v>
      </c>
      <c r="AK85" s="1" t="s">
        <v>872</v>
      </c>
      <c r="AL85" s="1" t="s">
        <v>873</v>
      </c>
      <c r="AM85" s="9">
        <v>11383</v>
      </c>
      <c r="AN85" s="1" t="s">
        <v>35</v>
      </c>
      <c r="AO85" s="1" t="s">
        <v>36</v>
      </c>
      <c r="AP85" s="1" t="s">
        <v>874</v>
      </c>
      <c r="AQ85" s="14">
        <v>45658</v>
      </c>
      <c r="AU85" s="14">
        <v>45799</v>
      </c>
      <c r="AV85" s="16">
        <v>0</v>
      </c>
      <c r="AW85" s="16">
        <v>0</v>
      </c>
      <c r="BA85" s="1" t="s">
        <v>911</v>
      </c>
      <c r="BB85" s="9">
        <v>7</v>
      </c>
      <c r="BC85" s="1" t="s">
        <v>826</v>
      </c>
      <c r="BD85" s="9" t="s">
        <v>807</v>
      </c>
      <c r="BE85" s="1" t="s">
        <v>875</v>
      </c>
      <c r="BF85" s="1" t="s">
        <v>37</v>
      </c>
      <c r="BG85" s="1" t="s">
        <v>876</v>
      </c>
      <c r="BH85" s="1" t="s">
        <v>877</v>
      </c>
      <c r="BI85" s="1" t="s">
        <v>878</v>
      </c>
      <c r="BJ85" s="21" t="str">
        <f t="shared" si="1"/>
        <v>FIXO</v>
      </c>
    </row>
    <row r="86" spans="1:62" x14ac:dyDescent="0.25">
      <c r="A86" s="7">
        <v>2</v>
      </c>
      <c r="B86" s="1" t="s">
        <v>806</v>
      </c>
      <c r="C86" s="8">
        <v>5</v>
      </c>
      <c r="D86" s="9" t="s">
        <v>807</v>
      </c>
      <c r="E86" s="10">
        <v>18759</v>
      </c>
      <c r="F86" s="11" t="s">
        <v>1195</v>
      </c>
      <c r="G86" s="1" t="s">
        <v>41</v>
      </c>
      <c r="H86" s="13" t="str">
        <f>VLOOKUP(AP86,[1]Listas!A:B,2,0)</f>
        <v xml:space="preserve">FESP </v>
      </c>
      <c r="I86" s="1" t="s">
        <v>38</v>
      </c>
      <c r="J86" s="1" t="s">
        <v>37</v>
      </c>
      <c r="K86" s="1" t="s">
        <v>207</v>
      </c>
      <c r="L86" s="12"/>
      <c r="M86" s="1" t="s">
        <v>210</v>
      </c>
      <c r="N86" s="14">
        <v>37742</v>
      </c>
      <c r="O86" s="1" t="s">
        <v>855</v>
      </c>
      <c r="P86" s="1" t="s">
        <v>856</v>
      </c>
      <c r="Q86" s="15" t="s">
        <v>807</v>
      </c>
      <c r="R86" s="1" t="s">
        <v>857</v>
      </c>
      <c r="S86" s="1" t="s">
        <v>868</v>
      </c>
      <c r="T86" s="1" t="s">
        <v>869</v>
      </c>
      <c r="U86" s="9" t="s">
        <v>814</v>
      </c>
      <c r="V86" s="1" t="s">
        <v>815</v>
      </c>
      <c r="W86" s="1" t="s">
        <v>1196</v>
      </c>
      <c r="X86" s="1" t="s">
        <v>211</v>
      </c>
      <c r="Y86" s="14">
        <v>45539</v>
      </c>
      <c r="Z86" s="9" t="s">
        <v>817</v>
      </c>
      <c r="AB86" s="14">
        <v>45538</v>
      </c>
      <c r="AC86" s="9" t="s">
        <v>817</v>
      </c>
      <c r="AD86" s="9" t="s">
        <v>818</v>
      </c>
      <c r="AE86" s="1" t="s">
        <v>819</v>
      </c>
      <c r="AF86" s="14" t="s">
        <v>820</v>
      </c>
      <c r="AG86" s="9" t="s">
        <v>821</v>
      </c>
      <c r="AH86" s="1" t="s">
        <v>9</v>
      </c>
      <c r="AI86" s="9" t="s">
        <v>10</v>
      </c>
      <c r="AJ86" s="1" t="s">
        <v>11</v>
      </c>
      <c r="AK86" s="1" t="s">
        <v>1197</v>
      </c>
      <c r="AL86" s="1" t="s">
        <v>1198</v>
      </c>
      <c r="AM86" s="9">
        <v>11337</v>
      </c>
      <c r="AN86" s="1" t="s">
        <v>185</v>
      </c>
      <c r="AO86" s="1" t="s">
        <v>212</v>
      </c>
      <c r="AP86" s="1" t="s">
        <v>1199</v>
      </c>
      <c r="AQ86" s="14">
        <v>45658</v>
      </c>
      <c r="AU86" s="14">
        <v>45799</v>
      </c>
      <c r="AV86" s="16">
        <v>0</v>
      </c>
      <c r="AW86" s="16">
        <v>0</v>
      </c>
      <c r="BA86" s="1" t="s">
        <v>911</v>
      </c>
      <c r="BB86" s="9">
        <v>1</v>
      </c>
      <c r="BC86" s="1" t="s">
        <v>862</v>
      </c>
      <c r="BD86" s="9" t="s">
        <v>807</v>
      </c>
      <c r="BE86" s="1" t="s">
        <v>875</v>
      </c>
      <c r="BF86" s="1" t="s">
        <v>37</v>
      </c>
      <c r="BG86" s="1" t="s">
        <v>876</v>
      </c>
      <c r="BH86" s="1" t="s">
        <v>877</v>
      </c>
      <c r="BI86" s="1" t="s">
        <v>1044</v>
      </c>
      <c r="BJ86" s="21" t="str">
        <f t="shared" si="1"/>
        <v>FIXO</v>
      </c>
    </row>
    <row r="87" spans="1:62" x14ac:dyDescent="0.25">
      <c r="A87" s="7">
        <v>2</v>
      </c>
      <c r="B87" s="1" t="s">
        <v>806</v>
      </c>
      <c r="C87" s="8">
        <v>5</v>
      </c>
      <c r="D87" s="9" t="s">
        <v>807</v>
      </c>
      <c r="E87" s="10">
        <v>18820</v>
      </c>
      <c r="F87" s="11" t="s">
        <v>1200</v>
      </c>
      <c r="G87" s="1" t="s">
        <v>41</v>
      </c>
      <c r="H87" s="13" t="str">
        <f>VLOOKUP(AP87,[1]Listas!A:B,2,0)</f>
        <v xml:space="preserve">FESP </v>
      </c>
      <c r="I87" s="12" t="s">
        <v>38</v>
      </c>
      <c r="J87" s="12"/>
      <c r="K87" s="1" t="s">
        <v>32</v>
      </c>
      <c r="L87" s="1" t="s">
        <v>54</v>
      </c>
      <c r="M87" s="1" t="s">
        <v>213</v>
      </c>
      <c r="N87" s="14">
        <v>33849</v>
      </c>
      <c r="O87" s="1" t="s">
        <v>855</v>
      </c>
      <c r="P87" s="1" t="s">
        <v>856</v>
      </c>
      <c r="Q87" s="15" t="s">
        <v>807</v>
      </c>
      <c r="R87" s="1" t="s">
        <v>857</v>
      </c>
      <c r="S87" s="1" t="s">
        <v>868</v>
      </c>
      <c r="T87" s="1" t="s">
        <v>869</v>
      </c>
      <c r="U87" s="9" t="s">
        <v>814</v>
      </c>
      <c r="V87" s="1" t="s">
        <v>815</v>
      </c>
      <c r="W87" s="1" t="s">
        <v>871</v>
      </c>
      <c r="X87" s="1" t="s">
        <v>34</v>
      </c>
      <c r="Y87" s="14">
        <v>45549</v>
      </c>
      <c r="Z87" s="9" t="s">
        <v>817</v>
      </c>
      <c r="AB87" s="14">
        <v>45548</v>
      </c>
      <c r="AC87" s="9" t="s">
        <v>817</v>
      </c>
      <c r="AD87" s="9" t="s">
        <v>818</v>
      </c>
      <c r="AE87" s="1" t="s">
        <v>819</v>
      </c>
      <c r="AF87" s="14" t="s">
        <v>820</v>
      </c>
      <c r="AG87" s="9" t="s">
        <v>821</v>
      </c>
      <c r="AH87" s="1" t="s">
        <v>9</v>
      </c>
      <c r="AI87" s="9" t="s">
        <v>10</v>
      </c>
      <c r="AJ87" s="1" t="s">
        <v>11</v>
      </c>
      <c r="AK87" s="1" t="s">
        <v>918</v>
      </c>
      <c r="AL87" s="1" t="s">
        <v>919</v>
      </c>
      <c r="AM87" s="9">
        <v>11377</v>
      </c>
      <c r="AN87" s="1" t="s">
        <v>56</v>
      </c>
      <c r="AO87" s="1" t="s">
        <v>36</v>
      </c>
      <c r="AP87" s="1" t="s">
        <v>874</v>
      </c>
      <c r="AQ87" s="14">
        <v>45658</v>
      </c>
      <c r="AU87" s="14">
        <v>45799</v>
      </c>
      <c r="AV87" s="16">
        <v>0</v>
      </c>
      <c r="AW87" s="16">
        <v>0</v>
      </c>
      <c r="BA87" s="1" t="s">
        <v>911</v>
      </c>
      <c r="BB87" s="9">
        <v>1</v>
      </c>
      <c r="BC87" s="1" t="s">
        <v>862</v>
      </c>
      <c r="BD87" s="9" t="s">
        <v>807</v>
      </c>
      <c r="BE87" s="1" t="s">
        <v>863</v>
      </c>
      <c r="BF87" s="1" t="s">
        <v>32</v>
      </c>
      <c r="BG87" s="1" t="s">
        <v>864</v>
      </c>
      <c r="BH87" s="1" t="s">
        <v>865</v>
      </c>
      <c r="BI87" s="1" t="s">
        <v>916</v>
      </c>
      <c r="BJ87" s="21" t="str">
        <f t="shared" si="1"/>
        <v>FIXO</v>
      </c>
    </row>
    <row r="88" spans="1:62" x14ac:dyDescent="0.25">
      <c r="A88" s="7">
        <v>2</v>
      </c>
      <c r="B88" s="1" t="s">
        <v>806</v>
      </c>
      <c r="C88" s="8">
        <v>5</v>
      </c>
      <c r="D88" s="9" t="s">
        <v>807</v>
      </c>
      <c r="E88" s="10">
        <v>18821</v>
      </c>
      <c r="F88" s="11" t="s">
        <v>1201</v>
      </c>
      <c r="G88" s="1" t="s">
        <v>41</v>
      </c>
      <c r="H88" s="13" t="str">
        <f>VLOOKUP(AP88,[1]Listas!A:B,2,0)</f>
        <v xml:space="preserve">FESP </v>
      </c>
      <c r="I88" s="12" t="s">
        <v>38</v>
      </c>
      <c r="J88" s="12"/>
      <c r="K88" s="1" t="s">
        <v>32</v>
      </c>
      <c r="L88" s="1" t="s">
        <v>28</v>
      </c>
      <c r="M88" s="1" t="s">
        <v>214</v>
      </c>
      <c r="N88" s="14">
        <v>36142</v>
      </c>
      <c r="O88" s="1" t="s">
        <v>855</v>
      </c>
      <c r="P88" s="1" t="s">
        <v>856</v>
      </c>
      <c r="Q88" s="15" t="s">
        <v>807</v>
      </c>
      <c r="R88" s="1" t="s">
        <v>857</v>
      </c>
      <c r="S88" s="1" t="s">
        <v>868</v>
      </c>
      <c r="T88" s="1" t="s">
        <v>869</v>
      </c>
      <c r="U88" s="9" t="s">
        <v>880</v>
      </c>
      <c r="V88" s="1" t="s">
        <v>881</v>
      </c>
      <c r="W88" s="1" t="s">
        <v>871</v>
      </c>
      <c r="X88" s="1" t="s">
        <v>34</v>
      </c>
      <c r="Y88" s="14">
        <v>45549</v>
      </c>
      <c r="Z88" s="9" t="s">
        <v>817</v>
      </c>
      <c r="AB88" s="14">
        <v>45548</v>
      </c>
      <c r="AC88" s="9" t="s">
        <v>817</v>
      </c>
      <c r="AD88" s="9" t="s">
        <v>818</v>
      </c>
      <c r="AE88" s="1" t="s">
        <v>819</v>
      </c>
      <c r="AF88" s="14" t="s">
        <v>820</v>
      </c>
      <c r="AG88" s="9" t="s">
        <v>821</v>
      </c>
      <c r="AH88" s="1" t="s">
        <v>9</v>
      </c>
      <c r="AI88" s="9" t="s">
        <v>10</v>
      </c>
      <c r="AJ88" s="1" t="s">
        <v>11</v>
      </c>
      <c r="AK88" s="1" t="s">
        <v>921</v>
      </c>
      <c r="AL88" s="1" t="s">
        <v>922</v>
      </c>
      <c r="AM88" s="9">
        <v>11382</v>
      </c>
      <c r="AN88" s="1" t="s">
        <v>58</v>
      </c>
      <c r="AO88" s="1" t="s">
        <v>36</v>
      </c>
      <c r="AP88" s="1" t="s">
        <v>874</v>
      </c>
      <c r="AQ88" s="14">
        <v>45658</v>
      </c>
      <c r="AU88" s="14">
        <v>45799</v>
      </c>
      <c r="AV88" s="16">
        <v>0</v>
      </c>
      <c r="AW88" s="16">
        <v>0</v>
      </c>
      <c r="BA88" s="1" t="s">
        <v>911</v>
      </c>
      <c r="BB88" s="9">
        <v>1</v>
      </c>
      <c r="BC88" s="1" t="s">
        <v>862</v>
      </c>
      <c r="BD88" s="9" t="s">
        <v>807</v>
      </c>
      <c r="BE88" s="1" t="s">
        <v>863</v>
      </c>
      <c r="BF88" s="1" t="s">
        <v>32</v>
      </c>
      <c r="BG88" s="1" t="s">
        <v>864</v>
      </c>
      <c r="BH88" s="1" t="s">
        <v>865</v>
      </c>
      <c r="BI88" s="1" t="s">
        <v>866</v>
      </c>
      <c r="BJ88" s="21" t="str">
        <f t="shared" si="1"/>
        <v>FIXO</v>
      </c>
    </row>
    <row r="89" spans="1:62" x14ac:dyDescent="0.25">
      <c r="A89" s="7">
        <v>2</v>
      </c>
      <c r="B89" s="1" t="s">
        <v>806</v>
      </c>
      <c r="C89" s="8">
        <v>5</v>
      </c>
      <c r="D89" s="9" t="s">
        <v>807</v>
      </c>
      <c r="E89" s="10">
        <v>18862</v>
      </c>
      <c r="F89" s="11" t="s">
        <v>1202</v>
      </c>
      <c r="G89" s="12" t="s">
        <v>71</v>
      </c>
      <c r="H89" s="13" t="str">
        <f>VLOOKUP(AP89,[1]Listas!A:B,2,0)</f>
        <v xml:space="preserve">ECFO </v>
      </c>
      <c r="I89" s="12" t="s">
        <v>236</v>
      </c>
      <c r="J89" s="12"/>
      <c r="K89" s="12"/>
      <c r="L89" s="12"/>
      <c r="M89" s="1" t="s">
        <v>1203</v>
      </c>
      <c r="N89" s="14">
        <v>38405</v>
      </c>
      <c r="O89" s="1" t="s">
        <v>855</v>
      </c>
      <c r="P89" s="1" t="s">
        <v>856</v>
      </c>
      <c r="Q89" s="15" t="s">
        <v>807</v>
      </c>
      <c r="R89" s="1" t="s">
        <v>857</v>
      </c>
      <c r="S89" s="1" t="s">
        <v>868</v>
      </c>
      <c r="T89" s="1" t="s">
        <v>869</v>
      </c>
      <c r="U89" s="9" t="s">
        <v>814</v>
      </c>
      <c r="V89" s="1" t="s">
        <v>815</v>
      </c>
      <c r="W89" s="1" t="s">
        <v>1062</v>
      </c>
      <c r="X89" s="1" t="s">
        <v>132</v>
      </c>
      <c r="Y89" s="14">
        <v>45567</v>
      </c>
      <c r="Z89" s="9" t="s">
        <v>817</v>
      </c>
      <c r="AB89" s="14">
        <v>45566</v>
      </c>
      <c r="AC89" s="9" t="s">
        <v>817</v>
      </c>
      <c r="AD89" s="9" t="s">
        <v>818</v>
      </c>
      <c r="AE89" s="1" t="s">
        <v>819</v>
      </c>
      <c r="AF89" s="14" t="s">
        <v>820</v>
      </c>
      <c r="AG89" s="9" t="s">
        <v>821</v>
      </c>
      <c r="AH89" s="1" t="s">
        <v>9</v>
      </c>
      <c r="AI89" s="9" t="s">
        <v>10</v>
      </c>
      <c r="AJ89" s="1" t="s">
        <v>11</v>
      </c>
      <c r="AK89" s="1" t="s">
        <v>1204</v>
      </c>
      <c r="AL89" s="1" t="s">
        <v>1205</v>
      </c>
      <c r="AM89" s="9">
        <v>10212</v>
      </c>
      <c r="AN89" s="1" t="s">
        <v>122</v>
      </c>
      <c r="AO89" s="1" t="s">
        <v>1206</v>
      </c>
      <c r="AP89" s="1" t="s">
        <v>1207</v>
      </c>
      <c r="AQ89" s="14">
        <v>45658</v>
      </c>
      <c r="AU89" s="14">
        <v>45799</v>
      </c>
      <c r="AV89" s="16">
        <v>0</v>
      </c>
      <c r="AW89" s="16">
        <v>0</v>
      </c>
      <c r="BA89" s="1" t="s">
        <v>911</v>
      </c>
      <c r="BB89" s="9">
        <v>1</v>
      </c>
      <c r="BC89" s="1" t="s">
        <v>862</v>
      </c>
      <c r="BD89" s="9" t="s">
        <v>807</v>
      </c>
      <c r="BE89" s="1" t="s">
        <v>1017</v>
      </c>
      <c r="BI89" s="20" t="s">
        <v>1040</v>
      </c>
      <c r="BJ89" s="21" t="str">
        <f t="shared" si="1"/>
        <v>FIXO</v>
      </c>
    </row>
    <row r="90" spans="1:62" x14ac:dyDescent="0.25">
      <c r="A90" s="7">
        <v>2</v>
      </c>
      <c r="B90" s="1" t="s">
        <v>806</v>
      </c>
      <c r="C90" s="8">
        <v>3</v>
      </c>
      <c r="D90" s="9" t="s">
        <v>807</v>
      </c>
      <c r="E90" s="10">
        <v>18953</v>
      </c>
      <c r="F90" s="11" t="s">
        <v>1208</v>
      </c>
      <c r="G90" s="12" t="s">
        <v>71</v>
      </c>
      <c r="H90" s="13" t="str">
        <f>VLOOKUP(AP90,[1]Listas!A:B,2,0)</f>
        <v xml:space="preserve">MTRZ </v>
      </c>
      <c r="I90" s="1" t="s">
        <v>14</v>
      </c>
      <c r="J90" s="12"/>
      <c r="K90" s="12"/>
      <c r="L90" s="12"/>
      <c r="M90" s="1" t="s">
        <v>215</v>
      </c>
      <c r="N90" s="14">
        <v>33061</v>
      </c>
      <c r="O90" s="1" t="s">
        <v>855</v>
      </c>
      <c r="P90" s="1" t="s">
        <v>856</v>
      </c>
      <c r="Q90" s="15" t="s">
        <v>807</v>
      </c>
      <c r="R90" s="1" t="s">
        <v>857</v>
      </c>
      <c r="S90" s="1" t="s">
        <v>807</v>
      </c>
      <c r="T90" s="1" t="s">
        <v>813</v>
      </c>
      <c r="U90" s="9" t="s">
        <v>814</v>
      </c>
      <c r="V90" s="1" t="s">
        <v>815</v>
      </c>
      <c r="W90" s="1" t="s">
        <v>998</v>
      </c>
      <c r="X90" s="1" t="s">
        <v>104</v>
      </c>
      <c r="Y90" s="14">
        <v>45575</v>
      </c>
      <c r="Z90" s="9" t="s">
        <v>817</v>
      </c>
      <c r="AB90" s="14">
        <v>45574</v>
      </c>
      <c r="AC90" s="9" t="s">
        <v>817</v>
      </c>
      <c r="AD90" s="9" t="s">
        <v>818</v>
      </c>
      <c r="AE90" s="1" t="s">
        <v>819</v>
      </c>
      <c r="AF90" s="14" t="s">
        <v>820</v>
      </c>
      <c r="AG90" s="9" t="s">
        <v>821</v>
      </c>
      <c r="AH90" s="1" t="s">
        <v>9</v>
      </c>
      <c r="AI90" s="9" t="s">
        <v>10</v>
      </c>
      <c r="AJ90" s="1" t="s">
        <v>11</v>
      </c>
      <c r="AK90" s="1" t="s">
        <v>1106</v>
      </c>
      <c r="AL90" s="1" t="s">
        <v>1107</v>
      </c>
      <c r="AM90" s="9">
        <v>10131</v>
      </c>
      <c r="AN90" s="1" t="s">
        <v>12</v>
      </c>
      <c r="AO90" s="1" t="s">
        <v>13</v>
      </c>
      <c r="AP90" s="1" t="s">
        <v>824</v>
      </c>
      <c r="AQ90" s="14">
        <v>45658</v>
      </c>
      <c r="AU90" s="14">
        <v>45799</v>
      </c>
      <c r="AV90" s="16">
        <v>0</v>
      </c>
      <c r="AW90" s="16">
        <v>0</v>
      </c>
      <c r="BA90" s="1" t="s">
        <v>911</v>
      </c>
      <c r="BB90" s="9">
        <v>19</v>
      </c>
      <c r="BC90" s="1" t="s">
        <v>1087</v>
      </c>
      <c r="BD90" s="9" t="s">
        <v>807</v>
      </c>
      <c r="BE90" s="1" t="s">
        <v>827</v>
      </c>
      <c r="BF90" s="1" t="s">
        <v>14</v>
      </c>
      <c r="BG90" s="1" t="s">
        <v>828</v>
      </c>
      <c r="BH90" s="1" t="s">
        <v>829</v>
      </c>
      <c r="BI90" s="20" t="s">
        <v>101</v>
      </c>
      <c r="BJ90" s="21" t="str">
        <f t="shared" si="1"/>
        <v>FIXO</v>
      </c>
    </row>
    <row r="91" spans="1:62" x14ac:dyDescent="0.25">
      <c r="A91" s="7">
        <v>2</v>
      </c>
      <c r="B91" s="1" t="s">
        <v>806</v>
      </c>
      <c r="C91" s="8">
        <v>3</v>
      </c>
      <c r="D91" s="9" t="s">
        <v>807</v>
      </c>
      <c r="E91" s="10">
        <v>18963</v>
      </c>
      <c r="F91" s="11" t="s">
        <v>1209</v>
      </c>
      <c r="G91" s="12" t="s">
        <v>71</v>
      </c>
      <c r="H91" s="13" t="str">
        <f>VLOOKUP(AP91,[1]Listas!A:B,2,0)</f>
        <v xml:space="preserve">MTRZ </v>
      </c>
      <c r="I91" s="1" t="s">
        <v>141</v>
      </c>
      <c r="J91" s="12"/>
      <c r="K91" s="1" t="s">
        <v>109</v>
      </c>
      <c r="L91" s="12"/>
      <c r="M91" s="1" t="s">
        <v>216</v>
      </c>
      <c r="N91" s="14">
        <v>35560</v>
      </c>
      <c r="O91" s="1" t="s">
        <v>809</v>
      </c>
      <c r="P91" s="1" t="s">
        <v>810</v>
      </c>
      <c r="Q91" s="15" t="s">
        <v>807</v>
      </c>
      <c r="R91" s="1" t="s">
        <v>857</v>
      </c>
      <c r="S91" s="1" t="s">
        <v>868</v>
      </c>
      <c r="T91" s="1" t="s">
        <v>869</v>
      </c>
      <c r="U91" s="9" t="s">
        <v>832</v>
      </c>
      <c r="V91" s="1" t="s">
        <v>833</v>
      </c>
      <c r="W91" s="1" t="s">
        <v>1210</v>
      </c>
      <c r="X91" s="1" t="s">
        <v>217</v>
      </c>
      <c r="Y91" s="14">
        <v>45778</v>
      </c>
      <c r="Z91" s="9" t="s">
        <v>817</v>
      </c>
      <c r="AB91" s="14">
        <v>45579</v>
      </c>
      <c r="AC91" s="9" t="s">
        <v>817</v>
      </c>
      <c r="AD91" s="9" t="s">
        <v>818</v>
      </c>
      <c r="AE91" s="1" t="s">
        <v>819</v>
      </c>
      <c r="AF91" s="14" t="s">
        <v>820</v>
      </c>
      <c r="AG91" s="9" t="s">
        <v>821</v>
      </c>
      <c r="AH91" s="1" t="s">
        <v>9</v>
      </c>
      <c r="AI91" s="9" t="s">
        <v>10</v>
      </c>
      <c r="AJ91" s="1" t="s">
        <v>11</v>
      </c>
      <c r="AK91" s="1" t="s">
        <v>1211</v>
      </c>
      <c r="AL91" s="1" t="s">
        <v>1212</v>
      </c>
      <c r="AM91" s="9">
        <v>10108</v>
      </c>
      <c r="AN91" s="1" t="s">
        <v>18</v>
      </c>
      <c r="AO91" s="1" t="s">
        <v>19</v>
      </c>
      <c r="AP91" s="1" t="s">
        <v>838</v>
      </c>
      <c r="AQ91" s="14">
        <v>45778</v>
      </c>
      <c r="AU91" s="14">
        <v>45799</v>
      </c>
      <c r="AV91" s="16">
        <v>0</v>
      </c>
      <c r="AW91" s="16">
        <v>0</v>
      </c>
      <c r="BA91" s="1" t="s">
        <v>911</v>
      </c>
      <c r="BB91" s="9">
        <v>19</v>
      </c>
      <c r="BC91" s="1" t="s">
        <v>1087</v>
      </c>
      <c r="BD91" s="9" t="s">
        <v>807</v>
      </c>
      <c r="BE91" s="1" t="s">
        <v>1213</v>
      </c>
      <c r="BF91" s="1" t="s">
        <v>109</v>
      </c>
      <c r="BG91" s="1" t="s">
        <v>1009</v>
      </c>
      <c r="BH91" s="1" t="s">
        <v>1010</v>
      </c>
      <c r="BI91" s="20" t="s">
        <v>1011</v>
      </c>
      <c r="BJ91" s="21" t="str">
        <f t="shared" si="1"/>
        <v>FIXO</v>
      </c>
    </row>
    <row r="92" spans="1:62" x14ac:dyDescent="0.25">
      <c r="A92" s="7">
        <v>2</v>
      </c>
      <c r="B92" s="1" t="s">
        <v>806</v>
      </c>
      <c r="C92" s="8">
        <v>3</v>
      </c>
      <c r="D92" s="9" t="s">
        <v>807</v>
      </c>
      <c r="E92" s="10">
        <v>19033</v>
      </c>
      <c r="F92" s="11" t="s">
        <v>1214</v>
      </c>
      <c r="G92" s="12" t="s">
        <v>71</v>
      </c>
      <c r="H92" s="13" t="str">
        <f>VLOOKUP(AP92,[1]Listas!A:B,2,0)</f>
        <v xml:space="preserve">MTRZ </v>
      </c>
      <c r="I92" s="12"/>
      <c r="J92" s="12"/>
      <c r="K92" s="12"/>
      <c r="L92" s="12"/>
      <c r="M92" s="1" t="s">
        <v>14</v>
      </c>
      <c r="N92" s="14">
        <v>30657</v>
      </c>
      <c r="O92" s="1" t="s">
        <v>855</v>
      </c>
      <c r="P92" s="1" t="s">
        <v>856</v>
      </c>
      <c r="Q92" s="15" t="s">
        <v>811</v>
      </c>
      <c r="R92" s="1" t="s">
        <v>812</v>
      </c>
      <c r="S92" s="1" t="s">
        <v>868</v>
      </c>
      <c r="T92" s="1" t="s">
        <v>869</v>
      </c>
      <c r="U92" s="9" t="s">
        <v>832</v>
      </c>
      <c r="V92" s="1" t="s">
        <v>833</v>
      </c>
      <c r="W92" s="1" t="s">
        <v>1215</v>
      </c>
      <c r="X92" s="1" t="s">
        <v>218</v>
      </c>
      <c r="Y92" s="14">
        <v>45778</v>
      </c>
      <c r="Z92" s="9" t="s">
        <v>817</v>
      </c>
      <c r="AB92" s="14">
        <v>45600</v>
      </c>
      <c r="AC92" s="9" t="s">
        <v>817</v>
      </c>
      <c r="AD92" s="9" t="s">
        <v>818</v>
      </c>
      <c r="AE92" s="1" t="s">
        <v>819</v>
      </c>
      <c r="AF92" s="14" t="s">
        <v>820</v>
      </c>
      <c r="AG92" s="9" t="s">
        <v>821</v>
      </c>
      <c r="AH92" s="1" t="s">
        <v>9</v>
      </c>
      <c r="AI92" s="9" t="s">
        <v>10</v>
      </c>
      <c r="AJ92" s="1" t="s">
        <v>11</v>
      </c>
      <c r="AK92" s="1" t="s">
        <v>828</v>
      </c>
      <c r="AL92" s="1" t="s">
        <v>829</v>
      </c>
      <c r="AM92" s="9">
        <v>10105</v>
      </c>
      <c r="AN92" s="1" t="s">
        <v>101</v>
      </c>
      <c r="AO92" s="1" t="s">
        <v>102</v>
      </c>
      <c r="AP92" s="1" t="s">
        <v>996</v>
      </c>
      <c r="AQ92" s="14">
        <v>45658</v>
      </c>
      <c r="AU92" s="14">
        <v>45803</v>
      </c>
      <c r="AV92" s="16">
        <v>0</v>
      </c>
      <c r="AW92" s="16">
        <v>0</v>
      </c>
      <c r="BA92" s="1" t="s">
        <v>911</v>
      </c>
      <c r="BB92" s="9">
        <v>10</v>
      </c>
      <c r="BC92" s="1" t="s">
        <v>839</v>
      </c>
      <c r="BD92" s="9" t="s">
        <v>807</v>
      </c>
      <c r="BE92" s="1" t="s">
        <v>940</v>
      </c>
      <c r="BF92" s="1" t="s">
        <v>71</v>
      </c>
      <c r="BG92" s="1" t="s">
        <v>941</v>
      </c>
      <c r="BH92" s="1" t="s">
        <v>942</v>
      </c>
      <c r="BI92" s="20" t="s">
        <v>1216</v>
      </c>
      <c r="BJ92" s="21" t="str">
        <f t="shared" si="1"/>
        <v>FIXO</v>
      </c>
    </row>
    <row r="93" spans="1:62" x14ac:dyDescent="0.25">
      <c r="A93" s="7">
        <v>2</v>
      </c>
      <c r="B93" s="1" t="s">
        <v>806</v>
      </c>
      <c r="C93" s="8">
        <v>5</v>
      </c>
      <c r="D93" s="9" t="s">
        <v>807</v>
      </c>
      <c r="E93" s="10">
        <v>19175</v>
      </c>
      <c r="F93" s="11" t="s">
        <v>1217</v>
      </c>
      <c r="G93" s="1" t="s">
        <v>41</v>
      </c>
      <c r="H93" s="13" t="str">
        <f>VLOOKUP(AP93,[1]Listas!A:B,2,0)</f>
        <v xml:space="preserve">FESP </v>
      </c>
      <c r="I93" s="1" t="s">
        <v>38</v>
      </c>
      <c r="J93" s="1" t="s">
        <v>37</v>
      </c>
      <c r="K93" s="12"/>
      <c r="L93" s="1" t="s">
        <v>490</v>
      </c>
      <c r="M93" s="1" t="s">
        <v>219</v>
      </c>
      <c r="N93" s="14">
        <v>35394</v>
      </c>
      <c r="O93" s="1" t="s">
        <v>855</v>
      </c>
      <c r="P93" s="1" t="s">
        <v>856</v>
      </c>
      <c r="Q93" s="15" t="s">
        <v>807</v>
      </c>
      <c r="R93" s="1" t="s">
        <v>857</v>
      </c>
      <c r="S93" s="1" t="s">
        <v>868</v>
      </c>
      <c r="T93" s="1" t="s">
        <v>869</v>
      </c>
      <c r="U93" s="9" t="s">
        <v>814</v>
      </c>
      <c r="V93" s="1" t="s">
        <v>815</v>
      </c>
      <c r="W93" s="1" t="s">
        <v>871</v>
      </c>
      <c r="X93" s="1" t="s">
        <v>34</v>
      </c>
      <c r="Y93" s="14">
        <v>45601</v>
      </c>
      <c r="Z93" s="9" t="s">
        <v>817</v>
      </c>
      <c r="AB93" s="14">
        <v>45600</v>
      </c>
      <c r="AC93" s="9" t="s">
        <v>817</v>
      </c>
      <c r="AD93" s="9" t="s">
        <v>818</v>
      </c>
      <c r="AE93" s="1" t="s">
        <v>819</v>
      </c>
      <c r="AF93" s="14" t="s">
        <v>820</v>
      </c>
      <c r="AG93" s="9" t="s">
        <v>821</v>
      </c>
      <c r="AH93" s="1" t="s">
        <v>9</v>
      </c>
      <c r="AI93" s="9" t="s">
        <v>10</v>
      </c>
      <c r="AJ93" s="1" t="s">
        <v>11</v>
      </c>
      <c r="AK93" s="1" t="s">
        <v>1154</v>
      </c>
      <c r="AL93" s="1" t="s">
        <v>1155</v>
      </c>
      <c r="AM93" s="9">
        <v>11385</v>
      </c>
      <c r="AN93" s="1" t="s">
        <v>191</v>
      </c>
      <c r="AO93" s="1" t="s">
        <v>36</v>
      </c>
      <c r="AP93" s="1" t="s">
        <v>874</v>
      </c>
      <c r="AQ93" s="14">
        <v>45658</v>
      </c>
      <c r="AU93" s="14">
        <v>45799</v>
      </c>
      <c r="AV93" s="16">
        <v>0</v>
      </c>
      <c r="AW93" s="16">
        <v>0</v>
      </c>
      <c r="BA93" s="1" t="s">
        <v>911</v>
      </c>
      <c r="BB93" s="9">
        <v>7</v>
      </c>
      <c r="BC93" s="1" t="s">
        <v>826</v>
      </c>
      <c r="BD93" s="9" t="s">
        <v>807</v>
      </c>
      <c r="BE93" s="1" t="s">
        <v>875</v>
      </c>
      <c r="BF93" s="1" t="s">
        <v>37</v>
      </c>
      <c r="BG93" s="1" t="s">
        <v>876</v>
      </c>
      <c r="BH93" s="1" t="s">
        <v>877</v>
      </c>
      <c r="BI93" s="1" t="s">
        <v>878</v>
      </c>
      <c r="BJ93" s="21" t="str">
        <f t="shared" si="1"/>
        <v>FIXO</v>
      </c>
    </row>
    <row r="94" spans="1:62" x14ac:dyDescent="0.25">
      <c r="A94" s="7">
        <v>2</v>
      </c>
      <c r="B94" s="1" t="s">
        <v>806</v>
      </c>
      <c r="C94" s="8">
        <v>5</v>
      </c>
      <c r="D94" s="9" t="s">
        <v>807</v>
      </c>
      <c r="E94" s="10">
        <v>19205</v>
      </c>
      <c r="F94" s="11" t="s">
        <v>1218</v>
      </c>
      <c r="G94" s="12" t="s">
        <v>71</v>
      </c>
      <c r="H94" s="13" t="str">
        <f>VLOOKUP(AP94,[1]Listas!A:B,2,0)</f>
        <v xml:space="preserve">ECFO </v>
      </c>
      <c r="I94" s="12" t="s">
        <v>236</v>
      </c>
      <c r="J94" s="12"/>
      <c r="K94" s="12"/>
      <c r="L94" s="12"/>
      <c r="M94" s="1" t="s">
        <v>1219</v>
      </c>
      <c r="N94" s="14">
        <v>28921</v>
      </c>
      <c r="O94" s="1" t="s">
        <v>809</v>
      </c>
      <c r="P94" s="1" t="s">
        <v>810</v>
      </c>
      <c r="Q94" s="15" t="s">
        <v>807</v>
      </c>
      <c r="R94" s="1" t="s">
        <v>857</v>
      </c>
      <c r="S94" s="1" t="s">
        <v>868</v>
      </c>
      <c r="T94" s="1" t="s">
        <v>869</v>
      </c>
      <c r="U94" s="9" t="s">
        <v>814</v>
      </c>
      <c r="V94" s="1" t="s">
        <v>815</v>
      </c>
      <c r="W94" s="1" t="s">
        <v>1220</v>
      </c>
      <c r="X94" s="1" t="s">
        <v>220</v>
      </c>
      <c r="Y94" s="14">
        <v>45604</v>
      </c>
      <c r="Z94" s="9" t="s">
        <v>817</v>
      </c>
      <c r="AB94" s="14">
        <v>45603</v>
      </c>
      <c r="AC94" s="9" t="s">
        <v>817</v>
      </c>
      <c r="AD94" s="9" t="s">
        <v>818</v>
      </c>
      <c r="AE94" s="1" t="s">
        <v>819</v>
      </c>
      <c r="AF94" s="14" t="s">
        <v>820</v>
      </c>
      <c r="AG94" s="9" t="s">
        <v>821</v>
      </c>
      <c r="AH94" s="1" t="s">
        <v>9</v>
      </c>
      <c r="AI94" s="9" t="s">
        <v>10</v>
      </c>
      <c r="AJ94" s="1" t="s">
        <v>11</v>
      </c>
      <c r="AK94" s="1" t="s">
        <v>1221</v>
      </c>
      <c r="AL94" s="1" t="s">
        <v>1222</v>
      </c>
      <c r="AM94" s="9">
        <v>10212</v>
      </c>
      <c r="AN94" s="1" t="s">
        <v>122</v>
      </c>
      <c r="AO94" s="1" t="s">
        <v>1206</v>
      </c>
      <c r="AP94" s="1" t="s">
        <v>1207</v>
      </c>
      <c r="AQ94" s="14">
        <v>45658</v>
      </c>
      <c r="AU94" s="14">
        <v>45799</v>
      </c>
      <c r="AV94" s="16">
        <v>0</v>
      </c>
      <c r="AW94" s="16">
        <v>0</v>
      </c>
      <c r="BA94" s="1" t="s">
        <v>911</v>
      </c>
      <c r="BB94" s="9">
        <v>17</v>
      </c>
      <c r="BC94" s="1" t="s">
        <v>1223</v>
      </c>
      <c r="BD94" s="9" t="s">
        <v>807</v>
      </c>
      <c r="BE94" s="1" t="s">
        <v>1017</v>
      </c>
      <c r="BI94" s="20" t="s">
        <v>1040</v>
      </c>
      <c r="BJ94" s="21" t="str">
        <f t="shared" si="1"/>
        <v>FIXO</v>
      </c>
    </row>
    <row r="95" spans="1:62" x14ac:dyDescent="0.25">
      <c r="A95" s="7">
        <v>2</v>
      </c>
      <c r="B95" s="1" t="s">
        <v>806</v>
      </c>
      <c r="C95" s="8">
        <v>3</v>
      </c>
      <c r="D95" s="9" t="s">
        <v>807</v>
      </c>
      <c r="E95" s="10">
        <v>19253</v>
      </c>
      <c r="F95" s="11" t="s">
        <v>1224</v>
      </c>
      <c r="G95" s="12" t="s">
        <v>71</v>
      </c>
      <c r="H95" s="13" t="str">
        <f>VLOOKUP(AP95,[1]Listas!A:B,2,0)</f>
        <v xml:space="preserve">MTRZ </v>
      </c>
      <c r="I95" s="1" t="s">
        <v>141</v>
      </c>
      <c r="J95" s="12"/>
      <c r="K95" s="1" t="s">
        <v>49</v>
      </c>
      <c r="L95" s="12"/>
      <c r="M95" s="1" t="s">
        <v>221</v>
      </c>
      <c r="N95" s="14">
        <v>37690</v>
      </c>
      <c r="O95" s="1" t="s">
        <v>809</v>
      </c>
      <c r="P95" s="1" t="s">
        <v>810</v>
      </c>
      <c r="Q95" s="15" t="s">
        <v>811</v>
      </c>
      <c r="R95" s="1" t="s">
        <v>812</v>
      </c>
      <c r="S95" s="1" t="s">
        <v>868</v>
      </c>
      <c r="T95" s="1" t="s">
        <v>869</v>
      </c>
      <c r="U95" s="9" t="s">
        <v>814</v>
      </c>
      <c r="V95" s="1" t="s">
        <v>815</v>
      </c>
      <c r="W95" s="1" t="s">
        <v>1225</v>
      </c>
      <c r="X95" s="1" t="s">
        <v>222</v>
      </c>
      <c r="Y95" s="14">
        <v>45778</v>
      </c>
      <c r="Z95" s="9" t="s">
        <v>817</v>
      </c>
      <c r="AB95" s="14">
        <v>45614</v>
      </c>
      <c r="AC95" s="9" t="s">
        <v>817</v>
      </c>
      <c r="AD95" s="9" t="s">
        <v>818</v>
      </c>
      <c r="AE95" s="1" t="s">
        <v>819</v>
      </c>
      <c r="AF95" s="14" t="s">
        <v>820</v>
      </c>
      <c r="AG95" s="9" t="s">
        <v>821</v>
      </c>
      <c r="AH95" s="1" t="s">
        <v>9</v>
      </c>
      <c r="AI95" s="9" t="s">
        <v>10</v>
      </c>
      <c r="AJ95" s="1" t="s">
        <v>11</v>
      </c>
      <c r="AK95" s="1" t="s">
        <v>1226</v>
      </c>
      <c r="AL95" s="1" t="s">
        <v>1227</v>
      </c>
      <c r="AM95" s="9">
        <v>10114</v>
      </c>
      <c r="AN95" s="1" t="s">
        <v>47</v>
      </c>
      <c r="AO95" s="1" t="s">
        <v>48</v>
      </c>
      <c r="AP95" s="1" t="s">
        <v>899</v>
      </c>
      <c r="AQ95" s="14">
        <v>45658</v>
      </c>
      <c r="AU95" s="14">
        <v>45799</v>
      </c>
      <c r="AV95" s="16">
        <v>0</v>
      </c>
      <c r="AW95" s="16">
        <v>0</v>
      </c>
      <c r="BA95" s="1" t="s">
        <v>911</v>
      </c>
      <c r="BB95" s="9">
        <v>9</v>
      </c>
      <c r="BC95" s="1" t="s">
        <v>849</v>
      </c>
      <c r="BD95" s="9" t="s">
        <v>807</v>
      </c>
      <c r="BE95" s="1" t="s">
        <v>901</v>
      </c>
      <c r="BF95" s="1" t="s">
        <v>49</v>
      </c>
      <c r="BG95" s="1" t="s">
        <v>902</v>
      </c>
      <c r="BH95" s="1" t="s">
        <v>903</v>
      </c>
      <c r="BI95" s="20" t="s">
        <v>904</v>
      </c>
      <c r="BJ95" s="21" t="str">
        <f t="shared" si="1"/>
        <v>FIXO</v>
      </c>
    </row>
    <row r="96" spans="1:62" x14ac:dyDescent="0.25">
      <c r="A96" s="7">
        <v>2</v>
      </c>
      <c r="B96" s="1" t="s">
        <v>806</v>
      </c>
      <c r="C96" s="8">
        <v>5</v>
      </c>
      <c r="D96" s="9" t="s">
        <v>807</v>
      </c>
      <c r="E96" s="10">
        <v>19394</v>
      </c>
      <c r="F96" s="11" t="s">
        <v>1228</v>
      </c>
      <c r="G96" s="12" t="s">
        <v>71</v>
      </c>
      <c r="H96" s="13" t="str">
        <f>VLOOKUP(AP96,[1]Listas!A:B,2,0)</f>
        <v xml:space="preserve">FESP </v>
      </c>
      <c r="I96" s="1" t="s">
        <v>27</v>
      </c>
      <c r="J96" s="12"/>
      <c r="K96" s="1" t="s">
        <v>50</v>
      </c>
      <c r="L96" s="12"/>
      <c r="M96" s="1" t="s">
        <v>223</v>
      </c>
      <c r="N96" s="14">
        <v>37298</v>
      </c>
      <c r="O96" s="1" t="s">
        <v>855</v>
      </c>
      <c r="P96" s="1" t="s">
        <v>856</v>
      </c>
      <c r="Q96" s="15" t="s">
        <v>807</v>
      </c>
      <c r="R96" s="1" t="s">
        <v>857</v>
      </c>
      <c r="S96" s="1" t="s">
        <v>868</v>
      </c>
      <c r="T96" s="1" t="s">
        <v>869</v>
      </c>
      <c r="U96" s="9" t="s">
        <v>814</v>
      </c>
      <c r="V96" s="1" t="s">
        <v>815</v>
      </c>
      <c r="W96" s="1" t="s">
        <v>1229</v>
      </c>
      <c r="X96" s="1" t="s">
        <v>224</v>
      </c>
      <c r="Y96" s="14">
        <v>45639</v>
      </c>
      <c r="Z96" s="9" t="s">
        <v>817</v>
      </c>
      <c r="AB96" s="14">
        <v>45638</v>
      </c>
      <c r="AC96" s="9" t="s">
        <v>817</v>
      </c>
      <c r="AD96" s="9" t="s">
        <v>818</v>
      </c>
      <c r="AE96" s="1" t="s">
        <v>819</v>
      </c>
      <c r="AF96" s="14" t="s">
        <v>820</v>
      </c>
      <c r="AG96" s="9" t="s">
        <v>821</v>
      </c>
      <c r="AH96" s="1" t="s">
        <v>9</v>
      </c>
      <c r="AI96" s="9" t="s">
        <v>10</v>
      </c>
      <c r="AJ96" s="1" t="s">
        <v>11</v>
      </c>
      <c r="AK96" s="1" t="s">
        <v>1230</v>
      </c>
      <c r="AL96" s="1" t="s">
        <v>1231</v>
      </c>
      <c r="AM96" s="9">
        <v>11305</v>
      </c>
      <c r="AN96" s="1" t="s">
        <v>52</v>
      </c>
      <c r="AO96" s="1" t="s">
        <v>53</v>
      </c>
      <c r="AP96" s="1" t="s">
        <v>910</v>
      </c>
      <c r="AQ96" s="14">
        <v>45658</v>
      </c>
      <c r="AU96" s="14">
        <v>45799</v>
      </c>
      <c r="AV96" s="16">
        <v>30</v>
      </c>
      <c r="AW96" s="16">
        <v>0</v>
      </c>
      <c r="BA96" s="1" t="s">
        <v>911</v>
      </c>
      <c r="BB96" s="9">
        <v>1</v>
      </c>
      <c r="BC96" s="1" t="s">
        <v>862</v>
      </c>
      <c r="BD96" s="9" t="s">
        <v>807</v>
      </c>
      <c r="BE96" s="1" t="s">
        <v>1232</v>
      </c>
      <c r="BF96" s="1" t="s">
        <v>50</v>
      </c>
      <c r="BG96" s="1" t="s">
        <v>908</v>
      </c>
      <c r="BH96" s="1" t="s">
        <v>909</v>
      </c>
      <c r="BI96" s="20" t="s">
        <v>853</v>
      </c>
      <c r="BJ96" s="21" t="str">
        <f t="shared" si="1"/>
        <v>FIXO</v>
      </c>
    </row>
    <row r="97" spans="1:62" x14ac:dyDescent="0.25">
      <c r="A97" s="7">
        <v>2</v>
      </c>
      <c r="B97" s="1" t="s">
        <v>806</v>
      </c>
      <c r="C97" s="8">
        <v>3</v>
      </c>
      <c r="D97" s="9" t="s">
        <v>807</v>
      </c>
      <c r="E97" s="10">
        <v>19783</v>
      </c>
      <c r="F97" s="11" t="s">
        <v>1233</v>
      </c>
      <c r="G97" s="12" t="s">
        <v>71</v>
      </c>
      <c r="H97" s="13" t="str">
        <f>VLOOKUP(AP97,[1]Listas!A:B,2,0)</f>
        <v xml:space="preserve">MTRZ </v>
      </c>
      <c r="I97" s="12"/>
      <c r="J97" s="12"/>
      <c r="K97" s="12"/>
      <c r="L97" s="12"/>
      <c r="M97" s="1" t="s">
        <v>225</v>
      </c>
      <c r="N97" s="14">
        <v>32318</v>
      </c>
      <c r="O97" s="1" t="s">
        <v>855</v>
      </c>
      <c r="P97" s="1" t="s">
        <v>856</v>
      </c>
      <c r="Q97" s="15" t="s">
        <v>807</v>
      </c>
      <c r="R97" s="1" t="s">
        <v>857</v>
      </c>
      <c r="S97" s="1" t="s">
        <v>868</v>
      </c>
      <c r="T97" s="1" t="s">
        <v>869</v>
      </c>
      <c r="U97" s="9" t="s">
        <v>832</v>
      </c>
      <c r="V97" s="1" t="s">
        <v>833</v>
      </c>
      <c r="W97" s="1" t="s">
        <v>1182</v>
      </c>
      <c r="X97" s="1" t="s">
        <v>203</v>
      </c>
      <c r="Y97" s="14">
        <v>45673</v>
      </c>
      <c r="Z97" s="9" t="s">
        <v>817</v>
      </c>
      <c r="AB97" s="14">
        <v>45673</v>
      </c>
      <c r="AC97" s="9" t="s">
        <v>817</v>
      </c>
      <c r="AD97" s="9" t="s">
        <v>818</v>
      </c>
      <c r="AE97" s="1" t="s">
        <v>819</v>
      </c>
      <c r="AF97" s="14" t="s">
        <v>820</v>
      </c>
      <c r="AG97" s="9" t="s">
        <v>821</v>
      </c>
      <c r="AH97" s="1" t="s">
        <v>9</v>
      </c>
      <c r="AI97" s="9" t="s">
        <v>10</v>
      </c>
      <c r="AJ97" s="1" t="s">
        <v>11</v>
      </c>
      <c r="AK97" s="1" t="s">
        <v>1234</v>
      </c>
      <c r="AL97" s="1" t="s">
        <v>1235</v>
      </c>
      <c r="AM97" s="9">
        <v>10101</v>
      </c>
      <c r="AN97" s="1" t="s">
        <v>83</v>
      </c>
      <c r="AO97" s="1" t="s">
        <v>226</v>
      </c>
      <c r="AP97" s="1" t="s">
        <v>1236</v>
      </c>
      <c r="AQ97" s="14">
        <v>45673</v>
      </c>
      <c r="AU97" s="14">
        <v>45799</v>
      </c>
      <c r="AV97" s="16">
        <v>0</v>
      </c>
      <c r="AW97" s="16">
        <v>0</v>
      </c>
      <c r="BA97" s="1" t="s">
        <v>911</v>
      </c>
      <c r="BB97" s="9">
        <v>9</v>
      </c>
      <c r="BC97" s="1" t="s">
        <v>849</v>
      </c>
      <c r="BD97" s="9" t="s">
        <v>807</v>
      </c>
      <c r="BE97" s="1" t="s">
        <v>940</v>
      </c>
      <c r="BF97" s="1" t="s">
        <v>71</v>
      </c>
      <c r="BG97" s="1" t="s">
        <v>941</v>
      </c>
      <c r="BH97" s="1" t="s">
        <v>942</v>
      </c>
      <c r="BI97" s="20" t="s">
        <v>1237</v>
      </c>
      <c r="BJ97" s="21" t="str">
        <f t="shared" si="1"/>
        <v>FIXO</v>
      </c>
    </row>
    <row r="98" spans="1:62" x14ac:dyDescent="0.25">
      <c r="A98" s="7">
        <v>2</v>
      </c>
      <c r="B98" s="1" t="s">
        <v>806</v>
      </c>
      <c r="C98" s="8">
        <v>5</v>
      </c>
      <c r="D98" s="9" t="s">
        <v>807</v>
      </c>
      <c r="E98" s="10">
        <v>19861</v>
      </c>
      <c r="F98" s="11" t="s">
        <v>1238</v>
      </c>
      <c r="G98" s="1" t="s">
        <v>41</v>
      </c>
      <c r="H98" s="13" t="str">
        <f>VLOOKUP(AP98,[1]Listas!A:B,2,0)</f>
        <v xml:space="preserve">FESP </v>
      </c>
      <c r="I98" s="1" t="s">
        <v>38</v>
      </c>
      <c r="J98" s="12"/>
      <c r="K98" s="12"/>
      <c r="L98" s="1" t="s">
        <v>38</v>
      </c>
      <c r="M98" s="1" t="s">
        <v>227</v>
      </c>
      <c r="N98" s="14">
        <v>34460</v>
      </c>
      <c r="O98" s="1" t="s">
        <v>855</v>
      </c>
      <c r="P98" s="1" t="s">
        <v>856</v>
      </c>
      <c r="Q98" s="15" t="s">
        <v>807</v>
      </c>
      <c r="R98" s="1" t="s">
        <v>857</v>
      </c>
      <c r="S98" s="1" t="s">
        <v>868</v>
      </c>
      <c r="T98" s="1" t="s">
        <v>869</v>
      </c>
      <c r="U98" s="9" t="s">
        <v>814</v>
      </c>
      <c r="V98" s="1" t="s">
        <v>815</v>
      </c>
      <c r="W98" s="1" t="s">
        <v>1123</v>
      </c>
      <c r="X98" s="1" t="s">
        <v>168</v>
      </c>
      <c r="Y98" s="14">
        <v>45778</v>
      </c>
      <c r="Z98" s="9" t="s">
        <v>817</v>
      </c>
      <c r="AB98" s="14">
        <v>45673</v>
      </c>
      <c r="AC98" s="9" t="s">
        <v>817</v>
      </c>
      <c r="AD98" s="9" t="s">
        <v>818</v>
      </c>
      <c r="AE98" s="1" t="s">
        <v>819</v>
      </c>
      <c r="AF98" s="14" t="s">
        <v>820</v>
      </c>
      <c r="AG98" s="9" t="s">
        <v>821</v>
      </c>
      <c r="AH98" s="1" t="s">
        <v>9</v>
      </c>
      <c r="AI98" s="9" t="s">
        <v>10</v>
      </c>
      <c r="AJ98" s="1" t="s">
        <v>11</v>
      </c>
      <c r="AK98" s="1" t="s">
        <v>1124</v>
      </c>
      <c r="AL98" s="1" t="s">
        <v>1125</v>
      </c>
      <c r="AM98" s="9">
        <v>11358</v>
      </c>
      <c r="AN98" s="1" t="s">
        <v>169</v>
      </c>
      <c r="AO98" s="1" t="s">
        <v>170</v>
      </c>
      <c r="AP98" s="1" t="s">
        <v>1126</v>
      </c>
      <c r="AQ98" s="14">
        <v>45778</v>
      </c>
      <c r="AU98" s="14">
        <v>45799</v>
      </c>
      <c r="AV98" s="16">
        <v>0</v>
      </c>
      <c r="AW98" s="16">
        <v>0</v>
      </c>
      <c r="BA98" s="1" t="s">
        <v>911</v>
      </c>
      <c r="BB98" s="9">
        <v>7</v>
      </c>
      <c r="BC98" s="1" t="s">
        <v>826</v>
      </c>
      <c r="BD98" s="9" t="s">
        <v>807</v>
      </c>
      <c r="BE98" s="1" t="s">
        <v>893</v>
      </c>
      <c r="BF98" s="1" t="s">
        <v>38</v>
      </c>
      <c r="BG98" s="1" t="s">
        <v>883</v>
      </c>
      <c r="BH98" s="1" t="s">
        <v>884</v>
      </c>
      <c r="BI98" s="20" t="s">
        <v>983</v>
      </c>
      <c r="BJ98" s="21" t="str">
        <f t="shared" si="1"/>
        <v>FIXO</v>
      </c>
    </row>
    <row r="99" spans="1:62" x14ac:dyDescent="0.25">
      <c r="A99" s="7">
        <v>2</v>
      </c>
      <c r="B99" s="1" t="s">
        <v>806</v>
      </c>
      <c r="C99" s="8">
        <v>5</v>
      </c>
      <c r="D99" s="9" t="s">
        <v>807</v>
      </c>
      <c r="E99" s="10">
        <v>19897</v>
      </c>
      <c r="F99" s="11" t="s">
        <v>1239</v>
      </c>
      <c r="G99" s="1" t="s">
        <v>41</v>
      </c>
      <c r="H99" s="13" t="str">
        <f>VLOOKUP(AP99,[1]Listas!A:B,2,0)</f>
        <v xml:space="preserve">FESP </v>
      </c>
      <c r="I99" s="1" t="s">
        <v>38</v>
      </c>
      <c r="J99" s="12"/>
      <c r="K99" s="12"/>
      <c r="L99" s="1" t="s">
        <v>38</v>
      </c>
      <c r="M99" s="1" t="s">
        <v>228</v>
      </c>
      <c r="N99" s="14">
        <v>39066</v>
      </c>
      <c r="O99" s="1" t="s">
        <v>855</v>
      </c>
      <c r="P99" s="1" t="s">
        <v>856</v>
      </c>
      <c r="Q99" s="15" t="s">
        <v>807</v>
      </c>
      <c r="R99" s="1" t="s">
        <v>857</v>
      </c>
      <c r="S99" s="1" t="s">
        <v>868</v>
      </c>
      <c r="T99" s="1" t="s">
        <v>869</v>
      </c>
      <c r="U99" s="9" t="s">
        <v>951</v>
      </c>
      <c r="V99" s="1" t="s">
        <v>952</v>
      </c>
      <c r="W99" s="1" t="s">
        <v>1123</v>
      </c>
      <c r="X99" s="1" t="s">
        <v>168</v>
      </c>
      <c r="Y99" s="14">
        <v>45778</v>
      </c>
      <c r="Z99" s="9" t="s">
        <v>817</v>
      </c>
      <c r="AB99" s="14">
        <v>45678</v>
      </c>
      <c r="AC99" s="9" t="s">
        <v>817</v>
      </c>
      <c r="AD99" s="9" t="s">
        <v>818</v>
      </c>
      <c r="AE99" s="1" t="s">
        <v>819</v>
      </c>
      <c r="AF99" s="14" t="s">
        <v>820</v>
      </c>
      <c r="AG99" s="9" t="s">
        <v>999</v>
      </c>
      <c r="AH99" s="1" t="s">
        <v>105</v>
      </c>
      <c r="AI99" s="9" t="s">
        <v>10</v>
      </c>
      <c r="AJ99" s="1" t="s">
        <v>11</v>
      </c>
      <c r="AK99" s="1" t="s">
        <v>1124</v>
      </c>
      <c r="AL99" s="1" t="s">
        <v>1125</v>
      </c>
      <c r="AM99" s="9">
        <v>11358</v>
      </c>
      <c r="AN99" s="1" t="s">
        <v>169</v>
      </c>
      <c r="AO99" s="1" t="s">
        <v>170</v>
      </c>
      <c r="AP99" s="1" t="s">
        <v>1126</v>
      </c>
      <c r="AQ99" s="14">
        <v>45778</v>
      </c>
      <c r="AU99" s="14">
        <v>45799</v>
      </c>
      <c r="AV99" s="16">
        <v>0</v>
      </c>
      <c r="AW99" s="16">
        <v>0</v>
      </c>
      <c r="BA99" s="1" t="s">
        <v>911</v>
      </c>
      <c r="BB99" s="9">
        <v>1</v>
      </c>
      <c r="BC99" s="1" t="s">
        <v>862</v>
      </c>
      <c r="BD99" s="9" t="s">
        <v>807</v>
      </c>
      <c r="BE99" s="1" t="s">
        <v>893</v>
      </c>
      <c r="BF99" s="1" t="s">
        <v>38</v>
      </c>
      <c r="BG99" s="1" t="s">
        <v>883</v>
      </c>
      <c r="BH99" s="1" t="s">
        <v>884</v>
      </c>
      <c r="BI99" s="20" t="s">
        <v>983</v>
      </c>
      <c r="BJ99" s="21" t="str">
        <f t="shared" si="1"/>
        <v>FIXO</v>
      </c>
    </row>
    <row r="100" spans="1:62" x14ac:dyDescent="0.25">
      <c r="A100" s="7">
        <v>2</v>
      </c>
      <c r="B100" s="1" t="s">
        <v>806</v>
      </c>
      <c r="C100" s="8">
        <v>5</v>
      </c>
      <c r="D100" s="9" t="s">
        <v>807</v>
      </c>
      <c r="E100" s="10">
        <v>19902</v>
      </c>
      <c r="F100" s="11" t="s">
        <v>1240</v>
      </c>
      <c r="G100" s="1" t="s">
        <v>41</v>
      </c>
      <c r="H100" s="13" t="str">
        <f>VLOOKUP(AP100,[1]Listas!A:B,2,0)</f>
        <v xml:space="preserve">FESP </v>
      </c>
      <c r="I100" s="12" t="s">
        <v>38</v>
      </c>
      <c r="J100" s="12"/>
      <c r="K100" s="1" t="s">
        <v>32</v>
      </c>
      <c r="L100" s="12"/>
      <c r="M100" s="1" t="s">
        <v>229</v>
      </c>
      <c r="N100" s="14">
        <v>38044</v>
      </c>
      <c r="O100" s="1" t="s">
        <v>855</v>
      </c>
      <c r="P100" s="1" t="s">
        <v>856</v>
      </c>
      <c r="Q100" s="15" t="s">
        <v>807</v>
      </c>
      <c r="R100" s="1" t="s">
        <v>857</v>
      </c>
      <c r="S100" s="1" t="s">
        <v>868</v>
      </c>
      <c r="T100" s="1" t="s">
        <v>869</v>
      </c>
      <c r="U100" s="9" t="s">
        <v>814</v>
      </c>
      <c r="V100" s="1" t="s">
        <v>815</v>
      </c>
      <c r="W100" s="1" t="s">
        <v>1241</v>
      </c>
      <c r="X100" s="1" t="s">
        <v>230</v>
      </c>
      <c r="Y100" s="14">
        <v>45678</v>
      </c>
      <c r="Z100" s="9" t="s">
        <v>817</v>
      </c>
      <c r="AB100" s="14">
        <v>45678</v>
      </c>
      <c r="AC100" s="9" t="s">
        <v>817</v>
      </c>
      <c r="AD100" s="9" t="s">
        <v>818</v>
      </c>
      <c r="AE100" s="1" t="s">
        <v>819</v>
      </c>
      <c r="AF100" s="14" t="s">
        <v>820</v>
      </c>
      <c r="AG100" s="9" t="s">
        <v>821</v>
      </c>
      <c r="AH100" s="1" t="s">
        <v>9</v>
      </c>
      <c r="AI100" s="9" t="s">
        <v>10</v>
      </c>
      <c r="AJ100" s="1" t="s">
        <v>11</v>
      </c>
      <c r="AK100" s="1" t="s">
        <v>1242</v>
      </c>
      <c r="AL100" s="1" t="s">
        <v>1243</v>
      </c>
      <c r="AM100" s="9">
        <v>11360</v>
      </c>
      <c r="AN100" s="1" t="s">
        <v>230</v>
      </c>
      <c r="AO100" s="1" t="s">
        <v>63</v>
      </c>
      <c r="AP100" s="1" t="s">
        <v>928</v>
      </c>
      <c r="AQ100" s="14">
        <v>45678</v>
      </c>
      <c r="AU100" s="14">
        <v>45799</v>
      </c>
      <c r="AV100" s="16">
        <v>0</v>
      </c>
      <c r="AW100" s="16">
        <v>0</v>
      </c>
      <c r="BA100" s="1" t="s">
        <v>911</v>
      </c>
      <c r="BB100" s="9">
        <v>22</v>
      </c>
      <c r="BC100" s="1" t="s">
        <v>1244</v>
      </c>
      <c r="BD100" s="9" t="s">
        <v>807</v>
      </c>
      <c r="BE100" s="1" t="s">
        <v>863</v>
      </c>
      <c r="BF100" s="1" t="s">
        <v>32</v>
      </c>
      <c r="BG100" s="1" t="s">
        <v>864</v>
      </c>
      <c r="BH100" s="1" t="s">
        <v>865</v>
      </c>
      <c r="BI100" s="1" t="s">
        <v>929</v>
      </c>
      <c r="BJ100" s="21" t="str">
        <f t="shared" si="1"/>
        <v>FIXO</v>
      </c>
    </row>
    <row r="101" spans="1:62" x14ac:dyDescent="0.25">
      <c r="A101" s="7">
        <v>2</v>
      </c>
      <c r="B101" s="1" t="s">
        <v>806</v>
      </c>
      <c r="C101" s="8">
        <v>3</v>
      </c>
      <c r="D101" s="9" t="s">
        <v>807</v>
      </c>
      <c r="E101" s="10">
        <v>20054</v>
      </c>
      <c r="F101" s="11" t="s">
        <v>1245</v>
      </c>
      <c r="G101" s="12" t="s">
        <v>71</v>
      </c>
      <c r="H101" s="13" t="str">
        <f>VLOOKUP(AP101,[1]Listas!A:B,2,0)</f>
        <v xml:space="preserve">MTRZ </v>
      </c>
      <c r="I101" s="1" t="s">
        <v>14</v>
      </c>
      <c r="J101" s="12"/>
      <c r="K101" s="12"/>
      <c r="L101" s="12"/>
      <c r="M101" s="1" t="s">
        <v>231</v>
      </c>
      <c r="N101" s="14">
        <v>34073</v>
      </c>
      <c r="O101" s="1" t="s">
        <v>855</v>
      </c>
      <c r="P101" s="1" t="s">
        <v>856</v>
      </c>
      <c r="Q101" s="15" t="s">
        <v>807</v>
      </c>
      <c r="R101" s="1" t="s">
        <v>857</v>
      </c>
      <c r="S101" s="1" t="s">
        <v>868</v>
      </c>
      <c r="T101" s="1" t="s">
        <v>869</v>
      </c>
      <c r="U101" s="9" t="s">
        <v>832</v>
      </c>
      <c r="V101" s="1" t="s">
        <v>833</v>
      </c>
      <c r="W101" s="1" t="s">
        <v>1182</v>
      </c>
      <c r="X101" s="1" t="s">
        <v>203</v>
      </c>
      <c r="Y101" s="14">
        <v>45699</v>
      </c>
      <c r="Z101" s="9" t="s">
        <v>817</v>
      </c>
      <c r="AB101" s="14">
        <v>45699</v>
      </c>
      <c r="AC101" s="9" t="s">
        <v>817</v>
      </c>
      <c r="AD101" s="9" t="s">
        <v>818</v>
      </c>
      <c r="AE101" s="1" t="s">
        <v>819</v>
      </c>
      <c r="AF101" s="14" t="s">
        <v>820</v>
      </c>
      <c r="AG101" s="9" t="s">
        <v>821</v>
      </c>
      <c r="AH101" s="1" t="s">
        <v>9</v>
      </c>
      <c r="AI101" s="9" t="s">
        <v>10</v>
      </c>
      <c r="AJ101" s="1" t="s">
        <v>11</v>
      </c>
      <c r="AK101" s="1" t="s">
        <v>1183</v>
      </c>
      <c r="AL101" s="1" t="s">
        <v>1184</v>
      </c>
      <c r="AM101" s="9">
        <v>10105</v>
      </c>
      <c r="AN101" s="1" t="s">
        <v>101</v>
      </c>
      <c r="AO101" s="1" t="s">
        <v>102</v>
      </c>
      <c r="AP101" s="1" t="s">
        <v>996</v>
      </c>
      <c r="AQ101" s="14">
        <v>45699</v>
      </c>
      <c r="AU101" s="14">
        <v>45699</v>
      </c>
      <c r="AV101" s="16">
        <v>0</v>
      </c>
      <c r="AW101" s="16">
        <v>0</v>
      </c>
      <c r="BA101" s="1" t="s">
        <v>911</v>
      </c>
      <c r="BB101" s="9">
        <v>9</v>
      </c>
      <c r="BC101" s="1" t="s">
        <v>849</v>
      </c>
      <c r="BD101" s="9" t="s">
        <v>807</v>
      </c>
      <c r="BE101" s="1" t="s">
        <v>827</v>
      </c>
      <c r="BF101" s="1" t="s">
        <v>14</v>
      </c>
      <c r="BG101" s="1" t="s">
        <v>828</v>
      </c>
      <c r="BH101" s="1" t="s">
        <v>829</v>
      </c>
      <c r="BI101" s="20" t="s">
        <v>101</v>
      </c>
      <c r="BJ101" s="21" t="str">
        <f t="shared" si="1"/>
        <v>FIXO</v>
      </c>
    </row>
    <row r="102" spans="1:62" x14ac:dyDescent="0.25">
      <c r="A102" s="7">
        <v>2</v>
      </c>
      <c r="B102" s="1" t="s">
        <v>806</v>
      </c>
      <c r="C102" s="8">
        <v>5</v>
      </c>
      <c r="D102" s="9" t="s">
        <v>807</v>
      </c>
      <c r="E102" s="10">
        <v>20173</v>
      </c>
      <c r="F102" s="11" t="s">
        <v>1246</v>
      </c>
      <c r="G102" s="1" t="s">
        <v>41</v>
      </c>
      <c r="H102" s="13" t="str">
        <f>VLOOKUP(AP102,[1]Listas!A:B,2,0)</f>
        <v xml:space="preserve">FESP </v>
      </c>
      <c r="I102" s="1" t="s">
        <v>38</v>
      </c>
      <c r="J102" s="12"/>
      <c r="K102" s="12"/>
      <c r="L102" s="1" t="s">
        <v>38</v>
      </c>
      <c r="M102" s="1" t="s">
        <v>232</v>
      </c>
      <c r="N102" s="14">
        <v>29348</v>
      </c>
      <c r="O102" s="1" t="s">
        <v>855</v>
      </c>
      <c r="P102" s="1" t="s">
        <v>856</v>
      </c>
      <c r="Q102" s="15" t="s">
        <v>807</v>
      </c>
      <c r="R102" s="1" t="s">
        <v>857</v>
      </c>
      <c r="S102" s="1" t="s">
        <v>868</v>
      </c>
      <c r="T102" s="1" t="s">
        <v>869</v>
      </c>
      <c r="U102" s="9" t="s">
        <v>1031</v>
      </c>
      <c r="V102" s="1" t="s">
        <v>1100</v>
      </c>
      <c r="W102" s="1" t="s">
        <v>1101</v>
      </c>
      <c r="X102" s="1" t="s">
        <v>153</v>
      </c>
      <c r="Y102" s="14">
        <v>45701</v>
      </c>
      <c r="Z102" s="9" t="s">
        <v>817</v>
      </c>
      <c r="AB102" s="14">
        <v>45701</v>
      </c>
      <c r="AC102" s="9" t="s">
        <v>817</v>
      </c>
      <c r="AD102" s="9" t="s">
        <v>818</v>
      </c>
      <c r="AE102" s="1" t="s">
        <v>819</v>
      </c>
      <c r="AF102" s="14" t="s">
        <v>820</v>
      </c>
      <c r="AG102" s="9" t="s">
        <v>821</v>
      </c>
      <c r="AH102" s="1" t="s">
        <v>9</v>
      </c>
      <c r="AI102" s="9" t="s">
        <v>10</v>
      </c>
      <c r="AJ102" s="1" t="s">
        <v>11</v>
      </c>
      <c r="AK102" s="1" t="s">
        <v>1102</v>
      </c>
      <c r="AL102" s="1" t="s">
        <v>1103</v>
      </c>
      <c r="AM102" s="9">
        <v>11340</v>
      </c>
      <c r="AN102" s="1" t="s">
        <v>154</v>
      </c>
      <c r="AO102" s="1" t="s">
        <v>155</v>
      </c>
      <c r="AP102" s="1" t="s">
        <v>1104</v>
      </c>
      <c r="AQ102" s="14">
        <v>45701</v>
      </c>
      <c r="AU102" s="14">
        <v>45701</v>
      </c>
      <c r="AV102" s="16">
        <v>30</v>
      </c>
      <c r="AW102" s="16">
        <v>0</v>
      </c>
      <c r="BA102" s="1" t="s">
        <v>911</v>
      </c>
      <c r="BB102" s="9">
        <v>1</v>
      </c>
      <c r="BC102" s="1" t="s">
        <v>862</v>
      </c>
      <c r="BD102" s="9" t="s">
        <v>807</v>
      </c>
      <c r="BE102" s="1" t="s">
        <v>893</v>
      </c>
      <c r="BF102" s="1" t="s">
        <v>38</v>
      </c>
      <c r="BG102" s="1" t="s">
        <v>883</v>
      </c>
      <c r="BH102" s="1" t="s">
        <v>884</v>
      </c>
      <c r="BI102" s="20" t="s">
        <v>983</v>
      </c>
      <c r="BJ102" s="21" t="str">
        <f t="shared" si="1"/>
        <v>FIXO</v>
      </c>
    </row>
    <row r="103" spans="1:62" x14ac:dyDescent="0.25">
      <c r="A103" s="7">
        <v>2</v>
      </c>
      <c r="B103" s="1" t="s">
        <v>806</v>
      </c>
      <c r="C103" s="8">
        <v>3</v>
      </c>
      <c r="D103" s="9" t="s">
        <v>807</v>
      </c>
      <c r="E103" s="10">
        <v>20279</v>
      </c>
      <c r="F103" s="11" t="s">
        <v>1247</v>
      </c>
      <c r="G103" s="12" t="s">
        <v>71</v>
      </c>
      <c r="H103" s="13" t="str">
        <f>VLOOKUP(AP103,[1]Listas!A:B,2,0)</f>
        <v xml:space="preserve">MTRZ </v>
      </c>
      <c r="I103" s="12" t="s">
        <v>236</v>
      </c>
      <c r="J103" s="12"/>
      <c r="K103" s="12"/>
      <c r="L103" s="12"/>
      <c r="M103" s="1" t="s">
        <v>233</v>
      </c>
      <c r="N103" s="14">
        <v>32854</v>
      </c>
      <c r="O103" s="1" t="s">
        <v>809</v>
      </c>
      <c r="P103" s="1" t="s">
        <v>810</v>
      </c>
      <c r="Q103" s="15" t="s">
        <v>807</v>
      </c>
      <c r="R103" s="1" t="s">
        <v>857</v>
      </c>
      <c r="S103" s="1" t="s">
        <v>868</v>
      </c>
      <c r="T103" s="1" t="s">
        <v>869</v>
      </c>
      <c r="U103" s="9" t="s">
        <v>832</v>
      </c>
      <c r="V103" s="1" t="s">
        <v>833</v>
      </c>
      <c r="W103" s="1" t="s">
        <v>1248</v>
      </c>
      <c r="X103" s="1" t="s">
        <v>234</v>
      </c>
      <c r="Y103" s="14">
        <v>45721</v>
      </c>
      <c r="Z103" s="9" t="s">
        <v>817</v>
      </c>
      <c r="AB103" s="14">
        <v>45721</v>
      </c>
      <c r="AC103" s="9" t="s">
        <v>817</v>
      </c>
      <c r="AD103" s="9" t="s">
        <v>818</v>
      </c>
      <c r="AE103" s="1" t="s">
        <v>819</v>
      </c>
      <c r="AF103" s="14" t="s">
        <v>820</v>
      </c>
      <c r="AG103" s="9" t="s">
        <v>821</v>
      </c>
      <c r="AH103" s="1" t="s">
        <v>9</v>
      </c>
      <c r="AI103" s="9" t="s">
        <v>10</v>
      </c>
      <c r="AJ103" s="1" t="s">
        <v>11</v>
      </c>
      <c r="AK103" s="1" t="s">
        <v>1249</v>
      </c>
      <c r="AL103" s="1" t="s">
        <v>1250</v>
      </c>
      <c r="AM103" s="9">
        <v>10128</v>
      </c>
      <c r="AN103" s="1" t="s">
        <v>235</v>
      </c>
      <c r="AO103" s="1" t="s">
        <v>150</v>
      </c>
      <c r="AP103" s="1" t="s">
        <v>1094</v>
      </c>
      <c r="AQ103" s="14">
        <v>45721</v>
      </c>
      <c r="AU103" s="14">
        <v>45721</v>
      </c>
      <c r="AV103" s="16">
        <v>0</v>
      </c>
      <c r="AW103" s="16">
        <v>0</v>
      </c>
      <c r="BA103" s="1" t="s">
        <v>911</v>
      </c>
      <c r="BB103" s="9">
        <v>19</v>
      </c>
      <c r="BC103" s="1" t="s">
        <v>1087</v>
      </c>
      <c r="BD103" s="9" t="s">
        <v>807</v>
      </c>
      <c r="BE103" s="1" t="s">
        <v>1251</v>
      </c>
      <c r="BF103" s="1" t="s">
        <v>236</v>
      </c>
      <c r="BG103" s="1" t="s">
        <v>1252</v>
      </c>
      <c r="BH103" s="1" t="s">
        <v>1253</v>
      </c>
      <c r="BI103" s="20" t="s">
        <v>1254</v>
      </c>
      <c r="BJ103" s="21" t="str">
        <f t="shared" si="1"/>
        <v>FIXO</v>
      </c>
    </row>
    <row r="104" spans="1:62" x14ac:dyDescent="0.25">
      <c r="A104" s="7">
        <v>2</v>
      </c>
      <c r="B104" s="1" t="s">
        <v>806</v>
      </c>
      <c r="C104" s="8">
        <v>3</v>
      </c>
      <c r="D104" s="9" t="s">
        <v>807</v>
      </c>
      <c r="E104" s="10">
        <v>20330</v>
      </c>
      <c r="F104" s="11" t="s">
        <v>1255</v>
      </c>
      <c r="G104" s="12" t="s">
        <v>71</v>
      </c>
      <c r="H104" s="13" t="str">
        <f>VLOOKUP(AP104,[1]Listas!A:B,2,0)</f>
        <v xml:space="preserve">MTRZ </v>
      </c>
      <c r="I104" s="12" t="s">
        <v>236</v>
      </c>
      <c r="J104" s="12"/>
      <c r="K104" s="12"/>
      <c r="L104" s="12"/>
      <c r="M104" s="1" t="s">
        <v>151</v>
      </c>
      <c r="N104" s="14">
        <v>35369</v>
      </c>
      <c r="O104" s="1" t="s">
        <v>855</v>
      </c>
      <c r="P104" s="1" t="s">
        <v>856</v>
      </c>
      <c r="Q104" s="15" t="s">
        <v>807</v>
      </c>
      <c r="R104" s="1" t="s">
        <v>857</v>
      </c>
      <c r="S104" s="1" t="s">
        <v>868</v>
      </c>
      <c r="T104" s="1" t="s">
        <v>869</v>
      </c>
      <c r="U104" s="9" t="s">
        <v>940</v>
      </c>
      <c r="V104" s="1" t="s">
        <v>1077</v>
      </c>
      <c r="W104" s="1" t="s">
        <v>1256</v>
      </c>
      <c r="X104" s="1" t="s">
        <v>237</v>
      </c>
      <c r="Y104" s="14">
        <v>45726</v>
      </c>
      <c r="Z104" s="9" t="s">
        <v>817</v>
      </c>
      <c r="AB104" s="14">
        <v>45726</v>
      </c>
      <c r="AC104" s="9" t="s">
        <v>817</v>
      </c>
      <c r="AD104" s="9" t="s">
        <v>818</v>
      </c>
      <c r="AE104" s="1" t="s">
        <v>819</v>
      </c>
      <c r="AF104" s="14" t="s">
        <v>820</v>
      </c>
      <c r="AG104" s="9" t="s">
        <v>821</v>
      </c>
      <c r="AH104" s="1" t="s">
        <v>9</v>
      </c>
      <c r="AI104" s="9" t="s">
        <v>10</v>
      </c>
      <c r="AJ104" s="1" t="s">
        <v>11</v>
      </c>
      <c r="AK104" s="1" t="s">
        <v>1096</v>
      </c>
      <c r="AL104" s="1" t="s">
        <v>1097</v>
      </c>
      <c r="AM104" s="9">
        <v>10110</v>
      </c>
      <c r="AN104" s="1" t="s">
        <v>149</v>
      </c>
      <c r="AO104" s="1" t="s">
        <v>150</v>
      </c>
      <c r="AP104" s="1" t="s">
        <v>1094</v>
      </c>
      <c r="AQ104" s="14">
        <v>45726</v>
      </c>
      <c r="AU104" s="14">
        <v>45726</v>
      </c>
      <c r="AV104" s="16">
        <v>0</v>
      </c>
      <c r="AW104" s="16">
        <v>0</v>
      </c>
      <c r="BA104" s="1" t="s">
        <v>911</v>
      </c>
      <c r="BB104" s="9">
        <v>19</v>
      </c>
      <c r="BC104" s="1" t="s">
        <v>1087</v>
      </c>
      <c r="BD104" s="9" t="s">
        <v>807</v>
      </c>
      <c r="BE104" s="1" t="s">
        <v>1088</v>
      </c>
      <c r="BF104" s="1" t="s">
        <v>141</v>
      </c>
      <c r="BG104" s="1" t="s">
        <v>1079</v>
      </c>
      <c r="BH104" s="1" t="s">
        <v>1080</v>
      </c>
      <c r="BI104" s="20" t="s">
        <v>1098</v>
      </c>
      <c r="BJ104" s="21" t="str">
        <f t="shared" si="1"/>
        <v>FIXO</v>
      </c>
    </row>
    <row r="105" spans="1:62" x14ac:dyDescent="0.25">
      <c r="A105" s="7">
        <v>2</v>
      </c>
      <c r="B105" s="1" t="s">
        <v>806</v>
      </c>
      <c r="C105" s="8">
        <v>3</v>
      </c>
      <c r="D105" s="9" t="s">
        <v>807</v>
      </c>
      <c r="E105" s="10">
        <v>20545</v>
      </c>
      <c r="F105" s="11" t="s">
        <v>1257</v>
      </c>
      <c r="G105" s="12" t="s">
        <v>71</v>
      </c>
      <c r="H105" s="13" t="str">
        <f>VLOOKUP(AP105,[1]Listas!A:B,2,0)</f>
        <v xml:space="preserve">MTRZ </v>
      </c>
      <c r="I105" s="1" t="s">
        <v>141</v>
      </c>
      <c r="J105" s="12"/>
      <c r="K105" s="1" t="s">
        <v>109</v>
      </c>
      <c r="L105" s="12"/>
      <c r="M105" s="1" t="s">
        <v>238</v>
      </c>
      <c r="N105" s="14">
        <v>37196</v>
      </c>
      <c r="O105" s="1" t="s">
        <v>809</v>
      </c>
      <c r="P105" s="1" t="s">
        <v>810</v>
      </c>
      <c r="Q105" s="15" t="s">
        <v>807</v>
      </c>
      <c r="R105" s="1" t="s">
        <v>857</v>
      </c>
      <c r="S105" s="1" t="s">
        <v>868</v>
      </c>
      <c r="T105" s="1" t="s">
        <v>869</v>
      </c>
      <c r="U105" s="9" t="s">
        <v>832</v>
      </c>
      <c r="V105" s="1" t="s">
        <v>833</v>
      </c>
      <c r="W105" s="1" t="s">
        <v>1258</v>
      </c>
      <c r="X105" s="1" t="s">
        <v>239</v>
      </c>
      <c r="Y105" s="14">
        <v>45769</v>
      </c>
      <c r="Z105" s="9" t="s">
        <v>817</v>
      </c>
      <c r="AB105" s="14">
        <v>45769</v>
      </c>
      <c r="AC105" s="9" t="s">
        <v>817</v>
      </c>
      <c r="AD105" s="9" t="s">
        <v>818</v>
      </c>
      <c r="AE105" s="1" t="s">
        <v>819</v>
      </c>
      <c r="AF105" s="14" t="s">
        <v>820</v>
      </c>
      <c r="AG105" s="9" t="s">
        <v>821</v>
      </c>
      <c r="AH105" s="1" t="s">
        <v>9</v>
      </c>
      <c r="AI105" s="9" t="s">
        <v>10</v>
      </c>
      <c r="AJ105" s="1" t="s">
        <v>11</v>
      </c>
      <c r="AK105" s="1" t="s">
        <v>1259</v>
      </c>
      <c r="AL105" s="1" t="s">
        <v>1260</v>
      </c>
      <c r="AM105" s="9">
        <v>10107</v>
      </c>
      <c r="AN105" s="1" t="s">
        <v>240</v>
      </c>
      <c r="AO105" s="1" t="s">
        <v>241</v>
      </c>
      <c r="AP105" s="1" t="s">
        <v>1261</v>
      </c>
      <c r="AQ105" s="14">
        <v>45769</v>
      </c>
      <c r="AU105" s="14">
        <v>45769</v>
      </c>
      <c r="AV105" s="16">
        <v>0</v>
      </c>
      <c r="AW105" s="16">
        <v>0</v>
      </c>
      <c r="BA105" s="1" t="s">
        <v>911</v>
      </c>
      <c r="BB105" s="9">
        <v>10</v>
      </c>
      <c r="BC105" s="1" t="s">
        <v>839</v>
      </c>
      <c r="BD105" s="9" t="s">
        <v>807</v>
      </c>
      <c r="BE105" s="1" t="s">
        <v>840</v>
      </c>
      <c r="BF105" s="1" t="s">
        <v>20</v>
      </c>
      <c r="BG105" s="1" t="s">
        <v>841</v>
      </c>
      <c r="BH105" s="1" t="s">
        <v>842</v>
      </c>
      <c r="BI105" s="20" t="s">
        <v>1262</v>
      </c>
      <c r="BJ105" s="21" t="str">
        <f t="shared" si="1"/>
        <v>FIXO</v>
      </c>
    </row>
    <row r="106" spans="1:62" x14ac:dyDescent="0.25">
      <c r="A106" s="7">
        <v>2</v>
      </c>
      <c r="B106" s="1" t="s">
        <v>806</v>
      </c>
      <c r="C106" s="8">
        <v>3</v>
      </c>
      <c r="D106" s="9" t="s">
        <v>807</v>
      </c>
      <c r="E106" s="10">
        <v>20633</v>
      </c>
      <c r="F106" s="11" t="s">
        <v>1263</v>
      </c>
      <c r="G106" s="12" t="s">
        <v>71</v>
      </c>
      <c r="H106" s="13" t="str">
        <f>VLOOKUP(AP106,[1]Listas!A:B,2,0)</f>
        <v xml:space="preserve">MTRZ </v>
      </c>
      <c r="I106" s="1" t="s">
        <v>141</v>
      </c>
      <c r="J106" s="12"/>
      <c r="K106" s="1" t="s">
        <v>109</v>
      </c>
      <c r="L106" s="12"/>
      <c r="M106" s="1" t="s">
        <v>242</v>
      </c>
      <c r="N106" s="14">
        <v>37228</v>
      </c>
      <c r="O106" s="1" t="s">
        <v>855</v>
      </c>
      <c r="P106" s="1" t="s">
        <v>856</v>
      </c>
      <c r="Q106" s="15" t="s">
        <v>807</v>
      </c>
      <c r="R106" s="1" t="s">
        <v>857</v>
      </c>
      <c r="S106" s="1" t="s">
        <v>807</v>
      </c>
      <c r="T106" s="1" t="s">
        <v>813</v>
      </c>
      <c r="U106" s="9" t="s">
        <v>1046</v>
      </c>
      <c r="V106" s="1" t="s">
        <v>1047</v>
      </c>
      <c r="W106" s="1" t="s">
        <v>1264</v>
      </c>
      <c r="X106" s="1" t="s">
        <v>243</v>
      </c>
      <c r="Y106" s="14">
        <v>45782</v>
      </c>
      <c r="Z106" s="9" t="s">
        <v>817</v>
      </c>
      <c r="AB106" s="14">
        <v>45782</v>
      </c>
      <c r="AC106" s="9" t="s">
        <v>817</v>
      </c>
      <c r="AD106" s="9" t="s">
        <v>818</v>
      </c>
      <c r="AE106" s="1" t="s">
        <v>819</v>
      </c>
      <c r="AF106" s="14" t="s">
        <v>820</v>
      </c>
      <c r="AG106" s="9" t="s">
        <v>821</v>
      </c>
      <c r="AH106" s="1" t="s">
        <v>9</v>
      </c>
      <c r="AI106" s="9" t="s">
        <v>10</v>
      </c>
      <c r="AJ106" s="1" t="s">
        <v>11</v>
      </c>
      <c r="AK106" s="1" t="s">
        <v>1265</v>
      </c>
      <c r="AL106" s="1" t="s">
        <v>1266</v>
      </c>
      <c r="AM106" s="9">
        <v>10107</v>
      </c>
      <c r="AN106" s="1" t="s">
        <v>240</v>
      </c>
      <c r="AO106" s="1" t="s">
        <v>241</v>
      </c>
      <c r="AP106" s="1" t="s">
        <v>1261</v>
      </c>
      <c r="AQ106" s="14">
        <v>45782</v>
      </c>
      <c r="AU106" s="14">
        <v>45782</v>
      </c>
      <c r="AV106" s="16">
        <v>0</v>
      </c>
      <c r="AW106" s="16">
        <v>0</v>
      </c>
      <c r="BA106" s="1" t="s">
        <v>911</v>
      </c>
      <c r="BB106" s="9">
        <v>19</v>
      </c>
      <c r="BC106" s="1" t="s">
        <v>1087</v>
      </c>
      <c r="BD106" s="9" t="s">
        <v>807</v>
      </c>
      <c r="BE106" s="1" t="s">
        <v>840</v>
      </c>
      <c r="BF106" s="1" t="s">
        <v>20</v>
      </c>
      <c r="BG106" s="1" t="s">
        <v>841</v>
      </c>
      <c r="BH106" s="1" t="s">
        <v>842</v>
      </c>
      <c r="BI106" s="20" t="s">
        <v>1262</v>
      </c>
      <c r="BJ106" s="21" t="str">
        <f t="shared" si="1"/>
        <v>FIXO</v>
      </c>
    </row>
    <row r="107" spans="1:62" x14ac:dyDescent="0.25">
      <c r="A107" s="7">
        <v>2</v>
      </c>
      <c r="B107" s="1" t="s">
        <v>806</v>
      </c>
      <c r="C107" s="8">
        <v>3</v>
      </c>
      <c r="D107" s="9" t="s">
        <v>807</v>
      </c>
      <c r="E107" s="10">
        <v>20635</v>
      </c>
      <c r="F107" s="11" t="s">
        <v>1267</v>
      </c>
      <c r="G107" s="12" t="s">
        <v>71</v>
      </c>
      <c r="H107" s="13" t="str">
        <f>VLOOKUP(AP107,[1]Listas!A:B,2,0)</f>
        <v xml:space="preserve">MTRZ </v>
      </c>
      <c r="I107" s="1" t="s">
        <v>141</v>
      </c>
      <c r="J107" s="12"/>
      <c r="K107" s="1" t="s">
        <v>109</v>
      </c>
      <c r="L107" s="12"/>
      <c r="M107" s="1" t="s">
        <v>244</v>
      </c>
      <c r="N107" s="14">
        <v>37599</v>
      </c>
      <c r="O107" s="1" t="s">
        <v>809</v>
      </c>
      <c r="P107" s="1" t="s">
        <v>810</v>
      </c>
      <c r="Q107" s="15" t="s">
        <v>807</v>
      </c>
      <c r="R107" s="1" t="s">
        <v>857</v>
      </c>
      <c r="S107" s="1" t="s">
        <v>868</v>
      </c>
      <c r="T107" s="1" t="s">
        <v>869</v>
      </c>
      <c r="U107" s="9" t="s">
        <v>814</v>
      </c>
      <c r="V107" s="1" t="s">
        <v>815</v>
      </c>
      <c r="W107" s="1" t="s">
        <v>1264</v>
      </c>
      <c r="X107" s="1" t="s">
        <v>243</v>
      </c>
      <c r="Y107" s="14">
        <v>45782</v>
      </c>
      <c r="Z107" s="9" t="s">
        <v>817</v>
      </c>
      <c r="AB107" s="14">
        <v>45782</v>
      </c>
      <c r="AC107" s="9" t="s">
        <v>817</v>
      </c>
      <c r="AD107" s="9" t="s">
        <v>818</v>
      </c>
      <c r="AE107" s="1" t="s">
        <v>819</v>
      </c>
      <c r="AF107" s="14" t="s">
        <v>820</v>
      </c>
      <c r="AG107" s="9" t="s">
        <v>821</v>
      </c>
      <c r="AH107" s="1" t="s">
        <v>9</v>
      </c>
      <c r="AI107" s="9" t="s">
        <v>10</v>
      </c>
      <c r="AJ107" s="1" t="s">
        <v>11</v>
      </c>
      <c r="AK107" s="1" t="s">
        <v>1265</v>
      </c>
      <c r="AL107" s="1" t="s">
        <v>1266</v>
      </c>
      <c r="AM107" s="9">
        <v>10107</v>
      </c>
      <c r="AN107" s="1" t="s">
        <v>240</v>
      </c>
      <c r="AO107" s="1" t="s">
        <v>241</v>
      </c>
      <c r="AP107" s="1" t="s">
        <v>1261</v>
      </c>
      <c r="AQ107" s="14">
        <v>45782</v>
      </c>
      <c r="AU107" s="14">
        <v>45782</v>
      </c>
      <c r="AV107" s="16">
        <v>0</v>
      </c>
      <c r="AW107" s="16">
        <v>0</v>
      </c>
      <c r="BA107" s="1" t="s">
        <v>911</v>
      </c>
      <c r="BB107" s="9">
        <v>19</v>
      </c>
      <c r="BC107" s="1" t="s">
        <v>1087</v>
      </c>
      <c r="BD107" s="9" t="s">
        <v>807</v>
      </c>
      <c r="BE107" s="1" t="s">
        <v>840</v>
      </c>
      <c r="BF107" s="1" t="s">
        <v>20</v>
      </c>
      <c r="BG107" s="1" t="s">
        <v>841</v>
      </c>
      <c r="BH107" s="1" t="s">
        <v>842</v>
      </c>
      <c r="BI107" s="20" t="s">
        <v>1262</v>
      </c>
      <c r="BJ107" s="21" t="str">
        <f t="shared" si="1"/>
        <v>FIXO</v>
      </c>
    </row>
    <row r="108" spans="1:62" x14ac:dyDescent="0.25">
      <c r="A108" s="7">
        <v>2</v>
      </c>
      <c r="B108" s="1" t="s">
        <v>806</v>
      </c>
      <c r="C108" s="8">
        <v>5</v>
      </c>
      <c r="D108" s="9" t="s">
        <v>807</v>
      </c>
      <c r="E108" s="10">
        <v>20642</v>
      </c>
      <c r="F108" s="11" t="s">
        <v>1268</v>
      </c>
      <c r="G108" s="1" t="s">
        <v>41</v>
      </c>
      <c r="H108" s="13" t="str">
        <f>VLOOKUP(AP108,[1]Listas!A:B,2,0)</f>
        <v xml:space="preserve">FESP </v>
      </c>
      <c r="I108" s="1" t="s">
        <v>38</v>
      </c>
      <c r="J108" s="12"/>
      <c r="K108" s="1"/>
      <c r="L108" s="12"/>
      <c r="M108" s="1" t="s">
        <v>245</v>
      </c>
      <c r="N108" s="14">
        <v>29197</v>
      </c>
      <c r="O108" s="1" t="s">
        <v>855</v>
      </c>
      <c r="P108" s="1" t="s">
        <v>856</v>
      </c>
      <c r="Q108" s="15" t="s">
        <v>811</v>
      </c>
      <c r="R108" s="1" t="s">
        <v>812</v>
      </c>
      <c r="S108" s="1" t="s">
        <v>868</v>
      </c>
      <c r="T108" s="1" t="s">
        <v>869</v>
      </c>
      <c r="U108" s="9" t="s">
        <v>832</v>
      </c>
      <c r="V108" s="1" t="s">
        <v>833</v>
      </c>
      <c r="W108" s="1" t="s">
        <v>1269</v>
      </c>
      <c r="X108" s="1" t="s">
        <v>246</v>
      </c>
      <c r="Y108" s="14">
        <v>45789</v>
      </c>
      <c r="Z108" s="9" t="s">
        <v>817</v>
      </c>
      <c r="AB108" s="14">
        <v>45789</v>
      </c>
      <c r="AC108" s="9" t="s">
        <v>817</v>
      </c>
      <c r="AD108" s="9" t="s">
        <v>818</v>
      </c>
      <c r="AE108" s="1" t="s">
        <v>819</v>
      </c>
      <c r="AF108" s="14" t="s">
        <v>820</v>
      </c>
      <c r="AG108" s="9" t="s">
        <v>821</v>
      </c>
      <c r="AH108" s="1" t="s">
        <v>9</v>
      </c>
      <c r="AI108" s="9" t="s">
        <v>10</v>
      </c>
      <c r="AJ108" s="1" t="s">
        <v>11</v>
      </c>
      <c r="AK108" s="1" t="s">
        <v>1270</v>
      </c>
      <c r="AL108" s="1" t="s">
        <v>1271</v>
      </c>
      <c r="AM108" s="9">
        <v>11316</v>
      </c>
      <c r="AN108" s="1" t="s">
        <v>247</v>
      </c>
      <c r="AO108" s="1" t="s">
        <v>66</v>
      </c>
      <c r="AP108" s="1" t="s">
        <v>934</v>
      </c>
      <c r="AQ108" s="14">
        <v>45789</v>
      </c>
      <c r="AU108" s="14">
        <v>45789</v>
      </c>
      <c r="AV108" s="16">
        <v>30</v>
      </c>
      <c r="AW108" s="16">
        <v>0</v>
      </c>
      <c r="BA108" s="1" t="s">
        <v>911</v>
      </c>
      <c r="BB108" s="9">
        <v>7</v>
      </c>
      <c r="BC108" s="1" t="s">
        <v>826</v>
      </c>
      <c r="BD108" s="9" t="s">
        <v>807</v>
      </c>
      <c r="BE108" s="1" t="s">
        <v>893</v>
      </c>
      <c r="BF108" s="1" t="s">
        <v>38</v>
      </c>
      <c r="BG108" s="1" t="s">
        <v>883</v>
      </c>
      <c r="BH108" s="1" t="s">
        <v>884</v>
      </c>
      <c r="BI108" s="25" t="s">
        <v>1073</v>
      </c>
      <c r="BJ108" s="21" t="str">
        <f t="shared" si="1"/>
        <v>FIXO</v>
      </c>
    </row>
    <row r="109" spans="1:62" x14ac:dyDescent="0.25">
      <c r="A109" s="7">
        <v>2</v>
      </c>
      <c r="B109" s="1" t="s">
        <v>806</v>
      </c>
      <c r="C109" s="8">
        <v>5</v>
      </c>
      <c r="D109" s="9" t="s">
        <v>807</v>
      </c>
      <c r="E109" s="10">
        <v>20742</v>
      </c>
      <c r="F109" s="11" t="s">
        <v>1272</v>
      </c>
      <c r="G109" s="12" t="s">
        <v>71</v>
      </c>
      <c r="H109" s="13" t="str">
        <f>VLOOKUP(AP109,[1]Listas!A:B,2,0)</f>
        <v xml:space="preserve">FESP </v>
      </c>
      <c r="I109" s="1" t="s">
        <v>27</v>
      </c>
      <c r="J109" s="12"/>
      <c r="K109" s="12"/>
      <c r="L109" s="12"/>
      <c r="M109" s="1" t="s">
        <v>248</v>
      </c>
      <c r="N109" s="14">
        <v>27707</v>
      </c>
      <c r="O109" s="1" t="s">
        <v>855</v>
      </c>
      <c r="P109" s="1" t="s">
        <v>856</v>
      </c>
      <c r="Q109" s="15" t="s">
        <v>811</v>
      </c>
      <c r="R109" s="1" t="s">
        <v>812</v>
      </c>
      <c r="S109" s="1" t="s">
        <v>868</v>
      </c>
      <c r="T109" s="1" t="s">
        <v>869</v>
      </c>
      <c r="U109" s="9" t="s">
        <v>940</v>
      </c>
      <c r="V109" s="1" t="s">
        <v>1077</v>
      </c>
      <c r="W109" s="1" t="s">
        <v>845</v>
      </c>
      <c r="X109" s="1" t="s">
        <v>22</v>
      </c>
      <c r="Y109" s="14">
        <v>45789</v>
      </c>
      <c r="Z109" s="9" t="s">
        <v>817</v>
      </c>
      <c r="AB109" s="14">
        <v>45789</v>
      </c>
      <c r="AC109" s="9" t="s">
        <v>817</v>
      </c>
      <c r="AD109" s="9" t="s">
        <v>818</v>
      </c>
      <c r="AE109" s="1" t="s">
        <v>819</v>
      </c>
      <c r="AF109" s="14" t="s">
        <v>820</v>
      </c>
      <c r="AG109" s="9" t="s">
        <v>821</v>
      </c>
      <c r="AH109" s="1" t="s">
        <v>9</v>
      </c>
      <c r="AI109" s="9" t="s">
        <v>10</v>
      </c>
      <c r="AJ109" s="1" t="s">
        <v>11</v>
      </c>
      <c r="AK109" s="1" t="s">
        <v>1273</v>
      </c>
      <c r="AL109" s="1" t="s">
        <v>1274</v>
      </c>
      <c r="AM109" s="9">
        <v>11321</v>
      </c>
      <c r="AN109" s="1" t="s">
        <v>249</v>
      </c>
      <c r="AO109" s="1" t="s">
        <v>26</v>
      </c>
      <c r="AP109" s="1" t="s">
        <v>848</v>
      </c>
      <c r="AQ109" s="14">
        <v>45789</v>
      </c>
      <c r="AU109" s="14">
        <v>45789</v>
      </c>
      <c r="AV109" s="16">
        <v>0</v>
      </c>
      <c r="AW109" s="16">
        <v>0</v>
      </c>
      <c r="BA109" s="1" t="s">
        <v>911</v>
      </c>
      <c r="BB109" s="9">
        <v>9</v>
      </c>
      <c r="BC109" s="1" t="s">
        <v>849</v>
      </c>
      <c r="BD109" s="9" t="s">
        <v>807</v>
      </c>
      <c r="BE109" s="1" t="s">
        <v>850</v>
      </c>
      <c r="BF109" s="1" t="s">
        <v>27</v>
      </c>
      <c r="BG109" s="1" t="s">
        <v>851</v>
      </c>
      <c r="BH109" s="1" t="s">
        <v>852</v>
      </c>
      <c r="BI109" s="1" t="s">
        <v>853</v>
      </c>
      <c r="BJ109" s="21" t="str">
        <f t="shared" si="1"/>
        <v>FIXO</v>
      </c>
    </row>
    <row r="110" spans="1:62" x14ac:dyDescent="0.25">
      <c r="A110" s="7">
        <v>2</v>
      </c>
      <c r="B110" s="1" t="s">
        <v>806</v>
      </c>
      <c r="C110" s="8">
        <v>5</v>
      </c>
      <c r="D110" s="9" t="s">
        <v>807</v>
      </c>
      <c r="E110" s="10">
        <v>20902</v>
      </c>
      <c r="F110" s="11" t="s">
        <v>1275</v>
      </c>
      <c r="G110" s="1" t="s">
        <v>41</v>
      </c>
      <c r="H110" s="13" t="str">
        <f>VLOOKUP(AP110,[1]Listas!A:B,2,0)</f>
        <v xml:space="preserve">FESP </v>
      </c>
      <c r="I110" s="12" t="s">
        <v>38</v>
      </c>
      <c r="J110" s="12"/>
      <c r="K110" s="1" t="s">
        <v>32</v>
      </c>
      <c r="L110" s="1" t="s">
        <v>54</v>
      </c>
      <c r="M110" s="1" t="s">
        <v>250</v>
      </c>
      <c r="N110" s="14">
        <v>26978</v>
      </c>
      <c r="O110" s="1" t="s">
        <v>855</v>
      </c>
      <c r="P110" s="1" t="s">
        <v>856</v>
      </c>
      <c r="Q110" s="15" t="s">
        <v>807</v>
      </c>
      <c r="R110" s="1" t="s">
        <v>857</v>
      </c>
      <c r="S110" s="1" t="s">
        <v>868</v>
      </c>
      <c r="T110" s="1" t="s">
        <v>869</v>
      </c>
      <c r="U110" s="9" t="s">
        <v>868</v>
      </c>
      <c r="V110" s="1" t="s">
        <v>913</v>
      </c>
      <c r="W110" s="1" t="s">
        <v>871</v>
      </c>
      <c r="X110" s="1" t="s">
        <v>34</v>
      </c>
      <c r="Y110" s="14">
        <v>45810</v>
      </c>
      <c r="Z110" s="9" t="s">
        <v>817</v>
      </c>
      <c r="AB110" s="14">
        <v>45810</v>
      </c>
      <c r="AC110" s="9" t="s">
        <v>817</v>
      </c>
      <c r="AD110" s="9" t="s">
        <v>818</v>
      </c>
      <c r="AE110" s="1" t="s">
        <v>819</v>
      </c>
      <c r="AF110" s="14" t="s">
        <v>820</v>
      </c>
      <c r="AG110" s="9" t="s">
        <v>821</v>
      </c>
      <c r="AH110" s="1" t="s">
        <v>9</v>
      </c>
      <c r="AI110" s="9" t="s">
        <v>10</v>
      </c>
      <c r="AJ110" s="1" t="s">
        <v>11</v>
      </c>
      <c r="AK110" s="1" t="s">
        <v>921</v>
      </c>
      <c r="AL110" s="1" t="s">
        <v>922</v>
      </c>
      <c r="AM110" s="9">
        <v>11382</v>
      </c>
      <c r="AN110" s="1" t="s">
        <v>58</v>
      </c>
      <c r="AO110" s="1" t="s">
        <v>36</v>
      </c>
      <c r="AP110" s="1" t="s">
        <v>874</v>
      </c>
      <c r="AQ110" s="14">
        <v>45810</v>
      </c>
      <c r="AU110" s="14">
        <v>45810</v>
      </c>
      <c r="AV110" s="16">
        <v>0</v>
      </c>
      <c r="AW110" s="16">
        <v>0</v>
      </c>
      <c r="BA110" s="1" t="s">
        <v>911</v>
      </c>
      <c r="BB110" s="9">
        <v>7</v>
      </c>
      <c r="BC110" s="1" t="s">
        <v>826</v>
      </c>
      <c r="BD110" s="9" t="s">
        <v>807</v>
      </c>
      <c r="BE110" s="1" t="s">
        <v>863</v>
      </c>
      <c r="BF110" s="1" t="s">
        <v>32</v>
      </c>
      <c r="BG110" s="1" t="s">
        <v>864</v>
      </c>
      <c r="BH110" s="1" t="s">
        <v>865</v>
      </c>
      <c r="BI110" s="1" t="s">
        <v>916</v>
      </c>
      <c r="BJ110" s="21" t="str">
        <f t="shared" si="1"/>
        <v>FIXO</v>
      </c>
    </row>
    <row r="111" spans="1:62" x14ac:dyDescent="0.25">
      <c r="A111" s="7">
        <v>2</v>
      </c>
      <c r="B111" s="1" t="s">
        <v>806</v>
      </c>
      <c r="C111" s="8">
        <v>5</v>
      </c>
      <c r="D111" s="9" t="s">
        <v>807</v>
      </c>
      <c r="E111" s="10">
        <v>20907</v>
      </c>
      <c r="F111" s="11" t="s">
        <v>1276</v>
      </c>
      <c r="G111" s="1" t="s">
        <v>41</v>
      </c>
      <c r="H111" s="13" t="str">
        <f>VLOOKUP(AP111,[1]Listas!A:B,2,0)</f>
        <v xml:space="preserve">FESP </v>
      </c>
      <c r="I111" s="1" t="s">
        <v>38</v>
      </c>
      <c r="J111" s="1" t="s">
        <v>37</v>
      </c>
      <c r="K111" s="12"/>
      <c r="L111" s="1" t="s">
        <v>490</v>
      </c>
      <c r="M111" s="1" t="s">
        <v>251</v>
      </c>
      <c r="N111" s="14">
        <v>35036</v>
      </c>
      <c r="O111" s="1" t="s">
        <v>855</v>
      </c>
      <c r="P111" s="1" t="s">
        <v>856</v>
      </c>
      <c r="Q111" s="15" t="s">
        <v>811</v>
      </c>
      <c r="R111" s="1" t="s">
        <v>812</v>
      </c>
      <c r="S111" s="1" t="s">
        <v>868</v>
      </c>
      <c r="T111" s="1" t="s">
        <v>869</v>
      </c>
      <c r="U111" s="9" t="s">
        <v>880</v>
      </c>
      <c r="V111" s="1" t="s">
        <v>881</v>
      </c>
      <c r="W111" s="1" t="s">
        <v>871</v>
      </c>
      <c r="X111" s="1" t="s">
        <v>34</v>
      </c>
      <c r="Y111" s="14">
        <v>45813</v>
      </c>
      <c r="Z111" s="9" t="s">
        <v>817</v>
      </c>
      <c r="AB111" s="14">
        <v>45813</v>
      </c>
      <c r="AC111" s="9" t="s">
        <v>817</v>
      </c>
      <c r="AD111" s="9" t="s">
        <v>818</v>
      </c>
      <c r="AE111" s="1" t="s">
        <v>819</v>
      </c>
      <c r="AF111" s="14" t="s">
        <v>820</v>
      </c>
      <c r="AG111" s="9" t="s">
        <v>821</v>
      </c>
      <c r="AH111" s="1" t="s">
        <v>9</v>
      </c>
      <c r="AI111" s="9" t="s">
        <v>10</v>
      </c>
      <c r="AJ111" s="1" t="s">
        <v>11</v>
      </c>
      <c r="AK111" s="1" t="s">
        <v>872</v>
      </c>
      <c r="AL111" s="1" t="s">
        <v>873</v>
      </c>
      <c r="AM111" s="9">
        <v>11383</v>
      </c>
      <c r="AN111" s="1" t="s">
        <v>35</v>
      </c>
      <c r="AO111" s="1" t="s">
        <v>36</v>
      </c>
      <c r="AP111" s="1" t="s">
        <v>874</v>
      </c>
      <c r="AQ111" s="14">
        <v>45813</v>
      </c>
      <c r="AU111" s="14">
        <v>45813</v>
      </c>
      <c r="AV111" s="16">
        <v>0</v>
      </c>
      <c r="AW111" s="16">
        <v>0</v>
      </c>
      <c r="BA111" s="1" t="s">
        <v>911</v>
      </c>
      <c r="BB111" s="9">
        <v>7</v>
      </c>
      <c r="BC111" s="1" t="s">
        <v>826</v>
      </c>
      <c r="BD111" s="9" t="s">
        <v>807</v>
      </c>
      <c r="BE111" s="1" t="s">
        <v>875</v>
      </c>
      <c r="BF111" s="1" t="s">
        <v>37</v>
      </c>
      <c r="BG111" s="1" t="s">
        <v>876</v>
      </c>
      <c r="BH111" s="1" t="s">
        <v>877</v>
      </c>
      <c r="BI111" s="23" t="s">
        <v>878</v>
      </c>
      <c r="BJ111" s="21" t="str">
        <f t="shared" si="1"/>
        <v>FIXO</v>
      </c>
    </row>
    <row r="112" spans="1:62" x14ac:dyDescent="0.25">
      <c r="A112" s="7">
        <v>2</v>
      </c>
      <c r="B112" s="1" t="s">
        <v>806</v>
      </c>
      <c r="C112" s="8">
        <v>5</v>
      </c>
      <c r="D112" s="9" t="s">
        <v>807</v>
      </c>
      <c r="E112" s="10">
        <v>20992</v>
      </c>
      <c r="F112" s="11" t="s">
        <v>1277</v>
      </c>
      <c r="G112" s="1" t="s">
        <v>41</v>
      </c>
      <c r="H112" s="13" t="str">
        <f>VLOOKUP(AP112,[1]Listas!A:B,2,0)</f>
        <v xml:space="preserve">FESP </v>
      </c>
      <c r="I112" s="12" t="s">
        <v>38</v>
      </c>
      <c r="J112" s="12"/>
      <c r="K112" s="1" t="s">
        <v>32</v>
      </c>
      <c r="L112" s="1" t="s">
        <v>54</v>
      </c>
      <c r="M112" s="1" t="s">
        <v>252</v>
      </c>
      <c r="N112" s="14">
        <v>32636</v>
      </c>
      <c r="O112" s="1" t="s">
        <v>855</v>
      </c>
      <c r="P112" s="1" t="s">
        <v>856</v>
      </c>
      <c r="Q112" s="15" t="s">
        <v>807</v>
      </c>
      <c r="R112" s="1" t="s">
        <v>857</v>
      </c>
      <c r="S112" s="1" t="s">
        <v>807</v>
      </c>
      <c r="T112" s="1" t="s">
        <v>813</v>
      </c>
      <c r="U112" s="9" t="s">
        <v>832</v>
      </c>
      <c r="V112" s="1" t="s">
        <v>833</v>
      </c>
      <c r="W112" s="1" t="s">
        <v>871</v>
      </c>
      <c r="X112" s="1" t="s">
        <v>34</v>
      </c>
      <c r="Y112" s="14">
        <v>45820</v>
      </c>
      <c r="Z112" s="9" t="s">
        <v>817</v>
      </c>
      <c r="AB112" s="14">
        <v>45820</v>
      </c>
      <c r="AC112" s="9" t="s">
        <v>817</v>
      </c>
      <c r="AD112" s="9" t="s">
        <v>818</v>
      </c>
      <c r="AE112" s="1" t="s">
        <v>819</v>
      </c>
      <c r="AF112" s="14" t="s">
        <v>820</v>
      </c>
      <c r="AG112" s="9" t="s">
        <v>821</v>
      </c>
      <c r="AH112" s="1" t="s">
        <v>9</v>
      </c>
      <c r="AI112" s="9" t="s">
        <v>10</v>
      </c>
      <c r="AJ112" s="1" t="s">
        <v>11</v>
      </c>
      <c r="AK112" s="1" t="s">
        <v>1278</v>
      </c>
      <c r="AL112" s="1" t="s">
        <v>1279</v>
      </c>
      <c r="AM112" s="9">
        <v>11380</v>
      </c>
      <c r="AN112" s="1" t="s">
        <v>208</v>
      </c>
      <c r="AO112" s="1" t="s">
        <v>36</v>
      </c>
      <c r="AP112" s="1" t="s">
        <v>874</v>
      </c>
      <c r="AQ112" s="14">
        <v>45820</v>
      </c>
      <c r="AU112" s="14">
        <v>45820</v>
      </c>
      <c r="AV112" s="16">
        <v>0</v>
      </c>
      <c r="AW112" s="16">
        <v>0</v>
      </c>
      <c r="BA112" s="1" t="s">
        <v>911</v>
      </c>
      <c r="BB112" s="9">
        <v>7</v>
      </c>
      <c r="BC112" s="1" t="s">
        <v>826</v>
      </c>
      <c r="BD112" s="9" t="s">
        <v>807</v>
      </c>
      <c r="BE112" s="1" t="s">
        <v>1280</v>
      </c>
      <c r="BF112" s="1" t="s">
        <v>54</v>
      </c>
      <c r="BG112" s="1" t="s">
        <v>914</v>
      </c>
      <c r="BH112" s="1" t="s">
        <v>915</v>
      </c>
      <c r="BI112" s="20" t="s">
        <v>916</v>
      </c>
      <c r="BJ112" s="21" t="str">
        <f t="shared" si="1"/>
        <v>FIXO</v>
      </c>
    </row>
    <row r="113" spans="1:62" x14ac:dyDescent="0.25">
      <c r="A113" s="7">
        <v>2</v>
      </c>
      <c r="B113" s="1" t="s">
        <v>806</v>
      </c>
      <c r="C113" s="8">
        <v>3</v>
      </c>
      <c r="D113" s="9" t="s">
        <v>807</v>
      </c>
      <c r="E113" s="10">
        <v>21261</v>
      </c>
      <c r="F113" s="11" t="s">
        <v>1281</v>
      </c>
      <c r="G113" s="12" t="s">
        <v>71</v>
      </c>
      <c r="H113" s="13" t="str">
        <f>VLOOKUP(AP113,[1]Listas!A:B,2,0)</f>
        <v xml:space="preserve">MTRZ </v>
      </c>
      <c r="I113" s="12" t="s">
        <v>236</v>
      </c>
      <c r="J113" s="12"/>
      <c r="K113" s="12" t="s">
        <v>151</v>
      </c>
      <c r="L113" s="12"/>
      <c r="M113" s="1" t="s">
        <v>253</v>
      </c>
      <c r="N113" s="14">
        <v>35155</v>
      </c>
      <c r="O113" s="1" t="s">
        <v>809</v>
      </c>
      <c r="P113" s="1" t="s">
        <v>810</v>
      </c>
      <c r="Q113" s="15" t="s">
        <v>807</v>
      </c>
      <c r="R113" s="1" t="s">
        <v>857</v>
      </c>
      <c r="S113" s="1" t="s">
        <v>811</v>
      </c>
      <c r="T113" s="1" t="s">
        <v>906</v>
      </c>
      <c r="U113" s="9" t="s">
        <v>832</v>
      </c>
      <c r="V113" s="1" t="s">
        <v>833</v>
      </c>
      <c r="W113" s="1" t="s">
        <v>1282</v>
      </c>
      <c r="X113" s="1" t="s">
        <v>254</v>
      </c>
      <c r="Y113" s="14">
        <v>45845</v>
      </c>
      <c r="Z113" s="9" t="s">
        <v>817</v>
      </c>
      <c r="AB113" s="14">
        <v>45845</v>
      </c>
      <c r="AC113" s="9" t="s">
        <v>817</v>
      </c>
      <c r="AD113" s="9" t="s">
        <v>818</v>
      </c>
      <c r="AE113" s="1" t="s">
        <v>819</v>
      </c>
      <c r="AF113" s="14" t="s">
        <v>820</v>
      </c>
      <c r="AG113" s="9" t="s">
        <v>821</v>
      </c>
      <c r="AH113" s="1" t="s">
        <v>9</v>
      </c>
      <c r="AI113" s="9" t="s">
        <v>10</v>
      </c>
      <c r="AJ113" s="1" t="s">
        <v>11</v>
      </c>
      <c r="AK113" s="1" t="s">
        <v>1283</v>
      </c>
      <c r="AL113" s="1" t="s">
        <v>1284</v>
      </c>
      <c r="AM113" s="9">
        <v>10110</v>
      </c>
      <c r="AN113" s="1" t="s">
        <v>149</v>
      </c>
      <c r="AO113" s="1" t="s">
        <v>150</v>
      </c>
      <c r="AP113" s="1" t="s">
        <v>1094</v>
      </c>
      <c r="AQ113" s="14">
        <v>45845</v>
      </c>
      <c r="AU113" s="14">
        <v>45845</v>
      </c>
      <c r="AV113" s="16">
        <v>0</v>
      </c>
      <c r="AW113" s="16">
        <v>0</v>
      </c>
      <c r="BA113" s="1" t="s">
        <v>911</v>
      </c>
      <c r="BB113" s="9">
        <v>19</v>
      </c>
      <c r="BC113" s="1" t="s">
        <v>1087</v>
      </c>
      <c r="BD113" s="9" t="s">
        <v>807</v>
      </c>
      <c r="BE113" s="1" t="s">
        <v>1095</v>
      </c>
      <c r="BF113" s="1" t="s">
        <v>151</v>
      </c>
      <c r="BG113" s="1" t="s">
        <v>1096</v>
      </c>
      <c r="BH113" s="1" t="s">
        <v>1097</v>
      </c>
      <c r="BI113" s="20" t="s">
        <v>1098</v>
      </c>
      <c r="BJ113" s="21" t="str">
        <f t="shared" si="1"/>
        <v>FIXO</v>
      </c>
    </row>
    <row r="114" spans="1:62" x14ac:dyDescent="0.25">
      <c r="A114" s="7">
        <v>2</v>
      </c>
      <c r="B114" s="1" t="s">
        <v>806</v>
      </c>
      <c r="C114" s="8">
        <v>3</v>
      </c>
      <c r="D114" s="9" t="s">
        <v>807</v>
      </c>
      <c r="E114" s="10">
        <v>21315</v>
      </c>
      <c r="F114" s="11" t="s">
        <v>1285</v>
      </c>
      <c r="G114" s="12" t="s">
        <v>71</v>
      </c>
      <c r="H114" s="13" t="str">
        <f>VLOOKUP(AP114,[1]Listas!A:B,2,0)</f>
        <v xml:space="preserve">MTRZ </v>
      </c>
      <c r="I114" s="12" t="s">
        <v>236</v>
      </c>
      <c r="J114" s="12"/>
      <c r="K114" s="12"/>
      <c r="L114" s="12"/>
      <c r="M114" s="1" t="s">
        <v>255</v>
      </c>
      <c r="N114" s="14">
        <v>32101</v>
      </c>
      <c r="O114" s="1" t="s">
        <v>809</v>
      </c>
      <c r="P114" s="1" t="s">
        <v>810</v>
      </c>
      <c r="Q114" s="15" t="s">
        <v>811</v>
      </c>
      <c r="R114" s="1" t="s">
        <v>812</v>
      </c>
      <c r="S114" s="1" t="s">
        <v>811</v>
      </c>
      <c r="T114" s="1" t="s">
        <v>906</v>
      </c>
      <c r="U114" s="9" t="s">
        <v>832</v>
      </c>
      <c r="V114" s="1" t="s">
        <v>833</v>
      </c>
      <c r="W114" s="1" t="s">
        <v>1286</v>
      </c>
      <c r="X114" s="1" t="s">
        <v>256</v>
      </c>
      <c r="Y114" s="14">
        <v>45854</v>
      </c>
      <c r="Z114" s="9" t="s">
        <v>817</v>
      </c>
      <c r="AB114" s="14">
        <v>45854</v>
      </c>
      <c r="AC114" s="9" t="s">
        <v>817</v>
      </c>
      <c r="AD114" s="9" t="s">
        <v>818</v>
      </c>
      <c r="AE114" s="1" t="s">
        <v>819</v>
      </c>
      <c r="AF114" s="14" t="s">
        <v>820</v>
      </c>
      <c r="AG114" s="9" t="s">
        <v>821</v>
      </c>
      <c r="AH114" s="1" t="s">
        <v>9</v>
      </c>
      <c r="AI114" s="9" t="s">
        <v>10</v>
      </c>
      <c r="AJ114" s="1" t="s">
        <v>11</v>
      </c>
      <c r="AK114" s="1" t="s">
        <v>1287</v>
      </c>
      <c r="AL114" s="1" t="s">
        <v>1288</v>
      </c>
      <c r="AM114" s="9">
        <v>10128</v>
      </c>
      <c r="AN114" s="1" t="s">
        <v>235</v>
      </c>
      <c r="AO114" s="1" t="s">
        <v>150</v>
      </c>
      <c r="AP114" s="1" t="s">
        <v>1094</v>
      </c>
      <c r="AQ114" s="14">
        <v>45854</v>
      </c>
      <c r="AU114" s="14">
        <v>45854</v>
      </c>
      <c r="AV114" s="16">
        <v>0</v>
      </c>
      <c r="AW114" s="16">
        <v>0</v>
      </c>
      <c r="BA114" s="1" t="s">
        <v>911</v>
      </c>
      <c r="BB114" s="9">
        <v>19</v>
      </c>
      <c r="BC114" s="1" t="s">
        <v>1087</v>
      </c>
      <c r="BD114" s="9" t="s">
        <v>807</v>
      </c>
      <c r="BE114" s="1" t="s">
        <v>1251</v>
      </c>
      <c r="BF114" s="1" t="s">
        <v>236</v>
      </c>
      <c r="BG114" s="1" t="s">
        <v>1252</v>
      </c>
      <c r="BH114" s="1" t="s">
        <v>1253</v>
      </c>
      <c r="BI114" s="20" t="s">
        <v>1254</v>
      </c>
      <c r="BJ114" s="21" t="str">
        <f t="shared" si="1"/>
        <v>FIXO</v>
      </c>
    </row>
    <row r="115" spans="1:62" x14ac:dyDescent="0.25">
      <c r="A115" s="7">
        <v>2</v>
      </c>
      <c r="B115" s="1" t="s">
        <v>806</v>
      </c>
      <c r="C115" s="8">
        <v>5</v>
      </c>
      <c r="D115" s="9" t="s">
        <v>807</v>
      </c>
      <c r="E115" s="10">
        <v>21439</v>
      </c>
      <c r="F115" s="11" t="s">
        <v>1289</v>
      </c>
      <c r="G115" s="12" t="s">
        <v>71</v>
      </c>
      <c r="H115" s="13" t="str">
        <f>VLOOKUP(AP115,[1]Listas!A:B,2,0)</f>
        <v xml:space="preserve">ECFO </v>
      </c>
      <c r="I115" s="12" t="s">
        <v>236</v>
      </c>
      <c r="J115" s="12"/>
      <c r="K115" s="12" t="s">
        <v>151</v>
      </c>
      <c r="L115" s="12"/>
      <c r="M115" s="1" t="s">
        <v>1290</v>
      </c>
      <c r="N115" s="14">
        <v>31949</v>
      </c>
      <c r="O115" s="1" t="s">
        <v>809</v>
      </c>
      <c r="P115" s="1" t="s">
        <v>810</v>
      </c>
      <c r="Q115" s="15" t="s">
        <v>807</v>
      </c>
      <c r="R115" s="1" t="s">
        <v>857</v>
      </c>
      <c r="S115" s="1" t="s">
        <v>868</v>
      </c>
      <c r="T115" s="1" t="s">
        <v>869</v>
      </c>
      <c r="U115" s="9" t="s">
        <v>832</v>
      </c>
      <c r="V115" s="1" t="s">
        <v>833</v>
      </c>
      <c r="W115" s="1" t="s">
        <v>1091</v>
      </c>
      <c r="X115" s="1" t="s">
        <v>148</v>
      </c>
      <c r="Y115" s="14">
        <v>45874</v>
      </c>
      <c r="Z115" s="9" t="s">
        <v>817</v>
      </c>
      <c r="AB115" s="14">
        <v>45874</v>
      </c>
      <c r="AC115" s="9" t="s">
        <v>817</v>
      </c>
      <c r="AD115" s="9" t="s">
        <v>818</v>
      </c>
      <c r="AE115" s="1" t="s">
        <v>819</v>
      </c>
      <c r="AF115" s="14" t="s">
        <v>820</v>
      </c>
      <c r="AG115" s="9" t="s">
        <v>821</v>
      </c>
      <c r="AH115" s="1" t="s">
        <v>9</v>
      </c>
      <c r="AI115" s="9" t="s">
        <v>10</v>
      </c>
      <c r="AJ115" s="1" t="s">
        <v>11</v>
      </c>
      <c r="AK115" s="1" t="s">
        <v>1291</v>
      </c>
      <c r="AL115" s="1" t="s">
        <v>1292</v>
      </c>
      <c r="AM115" s="9">
        <v>10210</v>
      </c>
      <c r="AN115" s="1" t="s">
        <v>149</v>
      </c>
      <c r="AO115" s="1" t="s">
        <v>1293</v>
      </c>
      <c r="AP115" s="1" t="s">
        <v>1294</v>
      </c>
      <c r="AQ115" s="14">
        <v>45874</v>
      </c>
      <c r="AU115" s="14">
        <v>45874</v>
      </c>
      <c r="AV115" s="16">
        <v>0</v>
      </c>
      <c r="AW115" s="16">
        <v>0</v>
      </c>
      <c r="BA115" s="1" t="s">
        <v>911</v>
      </c>
      <c r="BB115" s="9">
        <v>37</v>
      </c>
      <c r="BC115" s="1" t="s">
        <v>1295</v>
      </c>
      <c r="BD115" s="9" t="s">
        <v>807</v>
      </c>
      <c r="BE115" s="1" t="s">
        <v>1095</v>
      </c>
      <c r="BF115" s="1" t="s">
        <v>151</v>
      </c>
      <c r="BG115" s="1" t="s">
        <v>1096</v>
      </c>
      <c r="BH115" s="1" t="s">
        <v>1097</v>
      </c>
      <c r="BI115" s="20" t="s">
        <v>1098</v>
      </c>
      <c r="BJ115" s="21" t="str">
        <f t="shared" si="1"/>
        <v>FIXO</v>
      </c>
    </row>
    <row r="116" spans="1:62" x14ac:dyDescent="0.25">
      <c r="A116" s="7">
        <v>2</v>
      </c>
      <c r="B116" s="1" t="s">
        <v>806</v>
      </c>
      <c r="C116" s="8">
        <v>5</v>
      </c>
      <c r="D116" s="9" t="s">
        <v>807</v>
      </c>
      <c r="E116" s="10">
        <v>21446</v>
      </c>
      <c r="F116" s="11" t="s">
        <v>1296</v>
      </c>
      <c r="G116" s="1" t="s">
        <v>41</v>
      </c>
      <c r="H116" s="13" t="str">
        <f>VLOOKUP(AP116,[1]Listas!A:B,2,0)</f>
        <v xml:space="preserve">FESP </v>
      </c>
      <c r="I116" s="12" t="s">
        <v>38</v>
      </c>
      <c r="J116" s="12"/>
      <c r="K116" s="1" t="s">
        <v>32</v>
      </c>
      <c r="L116" s="12"/>
      <c r="M116" s="1" t="s">
        <v>257</v>
      </c>
      <c r="N116" s="14">
        <v>28191</v>
      </c>
      <c r="O116" s="1" t="s">
        <v>855</v>
      </c>
      <c r="P116" s="1" t="s">
        <v>856</v>
      </c>
      <c r="Q116" s="15" t="s">
        <v>811</v>
      </c>
      <c r="R116" s="1" t="s">
        <v>812</v>
      </c>
      <c r="S116" s="1" t="s">
        <v>807</v>
      </c>
      <c r="T116" s="1" t="s">
        <v>813</v>
      </c>
      <c r="U116" s="9" t="s">
        <v>868</v>
      </c>
      <c r="V116" s="1" t="s">
        <v>913</v>
      </c>
      <c r="W116" s="1" t="s">
        <v>925</v>
      </c>
      <c r="X116" s="1" t="s">
        <v>61</v>
      </c>
      <c r="Y116" s="14">
        <v>45876</v>
      </c>
      <c r="Z116" s="9" t="s">
        <v>817</v>
      </c>
      <c r="AB116" s="14">
        <v>45876</v>
      </c>
      <c r="AC116" s="9" t="s">
        <v>817</v>
      </c>
      <c r="AD116" s="9" t="s">
        <v>818</v>
      </c>
      <c r="AE116" s="1" t="s">
        <v>819</v>
      </c>
      <c r="AF116" s="14" t="s">
        <v>820</v>
      </c>
      <c r="AG116" s="9" t="s">
        <v>821</v>
      </c>
      <c r="AH116" s="1" t="s">
        <v>9</v>
      </c>
      <c r="AI116" s="9" t="s">
        <v>10</v>
      </c>
      <c r="AJ116" s="1" t="s">
        <v>11</v>
      </c>
      <c r="AK116" s="1" t="s">
        <v>926</v>
      </c>
      <c r="AL116" s="1" t="s">
        <v>927</v>
      </c>
      <c r="AM116" s="9">
        <v>11336</v>
      </c>
      <c r="AN116" s="1" t="s">
        <v>62</v>
      </c>
      <c r="AO116" s="1" t="s">
        <v>63</v>
      </c>
      <c r="AP116" s="1" t="s">
        <v>928</v>
      </c>
      <c r="AQ116" s="14">
        <v>45876</v>
      </c>
      <c r="AU116" s="14">
        <v>45876</v>
      </c>
      <c r="AV116" s="16">
        <v>0</v>
      </c>
      <c r="AW116" s="16">
        <v>0</v>
      </c>
      <c r="BA116" s="1" t="s">
        <v>911</v>
      </c>
      <c r="BB116" s="9">
        <v>38</v>
      </c>
      <c r="BC116" s="1" t="s">
        <v>1297</v>
      </c>
      <c r="BD116" s="9" t="s">
        <v>807</v>
      </c>
      <c r="BE116" s="1" t="s">
        <v>863</v>
      </c>
      <c r="BF116" s="1" t="s">
        <v>32</v>
      </c>
      <c r="BG116" s="1" t="s">
        <v>864</v>
      </c>
      <c r="BH116" s="1" t="s">
        <v>865</v>
      </c>
      <c r="BI116" s="1" t="s">
        <v>929</v>
      </c>
      <c r="BJ116" s="21" t="str">
        <f t="shared" si="1"/>
        <v>FIXO</v>
      </c>
    </row>
    <row r="117" spans="1:62" x14ac:dyDescent="0.25">
      <c r="A117" s="7">
        <v>2</v>
      </c>
      <c r="B117" s="1" t="s">
        <v>806</v>
      </c>
      <c r="C117" s="8">
        <v>5</v>
      </c>
      <c r="D117" s="9" t="s">
        <v>807</v>
      </c>
      <c r="E117" s="10">
        <v>21530</v>
      </c>
      <c r="F117" s="11" t="s">
        <v>1298</v>
      </c>
      <c r="G117" s="1" t="s">
        <v>41</v>
      </c>
      <c r="H117" s="13" t="str">
        <f>VLOOKUP(AP117,[1]Listas!A:B,2,0)</f>
        <v xml:space="preserve">FESP </v>
      </c>
      <c r="I117" s="12" t="s">
        <v>38</v>
      </c>
      <c r="J117" s="12"/>
      <c r="K117" s="1" t="s">
        <v>32</v>
      </c>
      <c r="L117" s="12"/>
      <c r="M117" s="1" t="s">
        <v>258</v>
      </c>
      <c r="N117" s="14">
        <v>27316</v>
      </c>
      <c r="O117" s="1" t="s">
        <v>855</v>
      </c>
      <c r="P117" s="1" t="s">
        <v>856</v>
      </c>
      <c r="Q117" s="15" t="s">
        <v>811</v>
      </c>
      <c r="R117" s="1" t="s">
        <v>812</v>
      </c>
      <c r="S117" s="1" t="s">
        <v>811</v>
      </c>
      <c r="T117" s="1" t="s">
        <v>906</v>
      </c>
      <c r="U117" s="9" t="s">
        <v>832</v>
      </c>
      <c r="V117" s="1" t="s">
        <v>833</v>
      </c>
      <c r="W117" s="1" t="s">
        <v>925</v>
      </c>
      <c r="X117" s="1" t="s">
        <v>61</v>
      </c>
      <c r="Y117" s="14">
        <v>45889</v>
      </c>
      <c r="Z117" s="9" t="s">
        <v>817</v>
      </c>
      <c r="AB117" s="14">
        <v>45889</v>
      </c>
      <c r="AC117" s="9" t="s">
        <v>817</v>
      </c>
      <c r="AD117" s="9" t="s">
        <v>818</v>
      </c>
      <c r="AE117" s="1" t="s">
        <v>819</v>
      </c>
      <c r="AF117" s="14" t="s">
        <v>820</v>
      </c>
      <c r="AG117" s="9" t="s">
        <v>821</v>
      </c>
      <c r="AH117" s="1" t="s">
        <v>9</v>
      </c>
      <c r="AI117" s="9" t="s">
        <v>10</v>
      </c>
      <c r="AJ117" s="1" t="s">
        <v>11</v>
      </c>
      <c r="AK117" s="1" t="s">
        <v>926</v>
      </c>
      <c r="AL117" s="1" t="s">
        <v>927</v>
      </c>
      <c r="AM117" s="9">
        <v>11336</v>
      </c>
      <c r="AN117" s="1" t="s">
        <v>62</v>
      </c>
      <c r="AO117" s="1" t="s">
        <v>63</v>
      </c>
      <c r="AP117" s="1" t="s">
        <v>928</v>
      </c>
      <c r="AQ117" s="14">
        <v>45889</v>
      </c>
      <c r="AU117" s="14">
        <v>45889</v>
      </c>
      <c r="AV117" s="16">
        <v>0</v>
      </c>
      <c r="AW117" s="16">
        <v>0</v>
      </c>
      <c r="BA117" s="1" t="s">
        <v>911</v>
      </c>
      <c r="BB117" s="9">
        <v>6</v>
      </c>
      <c r="BC117" s="1" t="s">
        <v>1299</v>
      </c>
      <c r="BD117" s="9" t="s">
        <v>807</v>
      </c>
      <c r="BE117" s="1" t="s">
        <v>863</v>
      </c>
      <c r="BF117" s="1" t="s">
        <v>32</v>
      </c>
      <c r="BG117" s="1" t="s">
        <v>864</v>
      </c>
      <c r="BH117" s="1" t="s">
        <v>865</v>
      </c>
      <c r="BI117" s="1" t="s">
        <v>929</v>
      </c>
      <c r="BJ117" s="21" t="str">
        <f t="shared" si="1"/>
        <v>FIXO</v>
      </c>
    </row>
    <row r="118" spans="1:62" x14ac:dyDescent="0.25">
      <c r="A118" s="7">
        <v>2</v>
      </c>
      <c r="B118" s="1" t="s">
        <v>806</v>
      </c>
      <c r="C118" s="8">
        <v>3</v>
      </c>
      <c r="D118" s="9" t="s">
        <v>807</v>
      </c>
      <c r="E118" s="10">
        <v>21540</v>
      </c>
      <c r="F118" s="11" t="s">
        <v>1300</v>
      </c>
      <c r="G118" s="12" t="s">
        <v>71</v>
      </c>
      <c r="H118" s="13" t="str">
        <f>VLOOKUP(AP118,[1]Listas!A:B,2,0)</f>
        <v xml:space="preserve">MTRZ </v>
      </c>
      <c r="I118" s="12" t="s">
        <v>236</v>
      </c>
      <c r="J118" s="12"/>
      <c r="K118" s="12"/>
      <c r="L118" s="12"/>
      <c r="M118" s="1" t="s">
        <v>1301</v>
      </c>
      <c r="N118" s="14">
        <v>28573</v>
      </c>
      <c r="O118" s="1" t="s">
        <v>809</v>
      </c>
      <c r="P118" s="1" t="s">
        <v>810</v>
      </c>
      <c r="Q118" s="15" t="s">
        <v>814</v>
      </c>
      <c r="R118" s="1" t="s">
        <v>1075</v>
      </c>
      <c r="S118" s="1" t="s">
        <v>807</v>
      </c>
      <c r="T118" s="1" t="s">
        <v>813</v>
      </c>
      <c r="U118" s="9" t="s">
        <v>951</v>
      </c>
      <c r="V118" s="1" t="s">
        <v>952</v>
      </c>
      <c r="W118" s="1" t="s">
        <v>1033</v>
      </c>
      <c r="X118" s="1" t="s">
        <v>1034</v>
      </c>
      <c r="Y118" s="14">
        <v>45891</v>
      </c>
      <c r="Z118" s="9" t="s">
        <v>817</v>
      </c>
      <c r="AB118" s="14">
        <v>45891</v>
      </c>
      <c r="AC118" s="9" t="s">
        <v>817</v>
      </c>
      <c r="AD118" s="9" t="s">
        <v>818</v>
      </c>
      <c r="AE118" s="1" t="s">
        <v>819</v>
      </c>
      <c r="AF118" s="14" t="s">
        <v>820</v>
      </c>
      <c r="AG118" s="9" t="s">
        <v>821</v>
      </c>
      <c r="AH118" s="1" t="s">
        <v>9</v>
      </c>
      <c r="AI118" s="9" t="s">
        <v>10</v>
      </c>
      <c r="AJ118" s="1" t="s">
        <v>11</v>
      </c>
      <c r="AK118" s="1" t="s">
        <v>1035</v>
      </c>
      <c r="AL118" s="1" t="s">
        <v>1036</v>
      </c>
      <c r="AM118" s="9">
        <v>10112</v>
      </c>
      <c r="AN118" s="1" t="s">
        <v>122</v>
      </c>
      <c r="AO118" s="1" t="s">
        <v>1037</v>
      </c>
      <c r="AP118" s="1" t="s">
        <v>1038</v>
      </c>
      <c r="AQ118" s="14">
        <v>45891</v>
      </c>
      <c r="AU118" s="14">
        <v>45891</v>
      </c>
      <c r="AV118" s="16">
        <v>0</v>
      </c>
      <c r="AW118" s="16">
        <v>0</v>
      </c>
      <c r="BA118" s="1" t="s">
        <v>911</v>
      </c>
      <c r="BB118" s="9">
        <v>13</v>
      </c>
      <c r="BC118" s="1" t="s">
        <v>1039</v>
      </c>
      <c r="BD118" s="9" t="s">
        <v>807</v>
      </c>
      <c r="BE118" s="1" t="s">
        <v>1017</v>
      </c>
      <c r="BI118" s="20" t="s">
        <v>1040</v>
      </c>
      <c r="BJ118" s="21" t="str">
        <f t="shared" si="1"/>
        <v>FIXO</v>
      </c>
    </row>
    <row r="119" spans="1:62" x14ac:dyDescent="0.25">
      <c r="A119" s="7">
        <v>2</v>
      </c>
      <c r="B119" s="1" t="s">
        <v>806</v>
      </c>
      <c r="C119" s="8">
        <v>3</v>
      </c>
      <c r="D119" s="9" t="s">
        <v>807</v>
      </c>
      <c r="E119" s="10">
        <v>21548</v>
      </c>
      <c r="F119" s="11" t="s">
        <v>1302</v>
      </c>
      <c r="G119" s="12" t="s">
        <v>71</v>
      </c>
      <c r="H119" s="13" t="str">
        <f>VLOOKUP(AP119,[1]Listas!A:B,2,0)</f>
        <v xml:space="preserve">MTRZ </v>
      </c>
      <c r="I119" s="12" t="s">
        <v>236</v>
      </c>
      <c r="J119" s="12"/>
      <c r="K119" s="12"/>
      <c r="L119" s="12"/>
      <c r="M119" s="1" t="s">
        <v>1303</v>
      </c>
      <c r="N119" s="14">
        <v>30586</v>
      </c>
      <c r="O119" s="1" t="s">
        <v>809</v>
      </c>
      <c r="P119" s="1" t="s">
        <v>810</v>
      </c>
      <c r="Q119" s="15" t="s">
        <v>1031</v>
      </c>
      <c r="R119" s="1" t="s">
        <v>1032</v>
      </c>
      <c r="S119" s="1" t="s">
        <v>807</v>
      </c>
      <c r="T119" s="1" t="s">
        <v>813</v>
      </c>
      <c r="U119" s="9" t="s">
        <v>868</v>
      </c>
      <c r="V119" s="1" t="s">
        <v>913</v>
      </c>
      <c r="W119" s="1" t="s">
        <v>1033</v>
      </c>
      <c r="X119" s="1" t="s">
        <v>1034</v>
      </c>
      <c r="Y119" s="14">
        <v>45895</v>
      </c>
      <c r="Z119" s="9" t="s">
        <v>817</v>
      </c>
      <c r="AB119" s="14">
        <v>45895</v>
      </c>
      <c r="AC119" s="9" t="s">
        <v>817</v>
      </c>
      <c r="AD119" s="9" t="s">
        <v>818</v>
      </c>
      <c r="AE119" s="1" t="s">
        <v>819</v>
      </c>
      <c r="AF119" s="14" t="s">
        <v>820</v>
      </c>
      <c r="AG119" s="9" t="s">
        <v>821</v>
      </c>
      <c r="AH119" s="1" t="s">
        <v>9</v>
      </c>
      <c r="AI119" s="9" t="s">
        <v>10</v>
      </c>
      <c r="AJ119" s="1" t="s">
        <v>11</v>
      </c>
      <c r="AK119" s="1" t="s">
        <v>1035</v>
      </c>
      <c r="AL119" s="1" t="s">
        <v>1036</v>
      </c>
      <c r="AM119" s="9">
        <v>10112</v>
      </c>
      <c r="AN119" s="1" t="s">
        <v>122</v>
      </c>
      <c r="AO119" s="1" t="s">
        <v>1037</v>
      </c>
      <c r="AP119" s="1" t="s">
        <v>1038</v>
      </c>
      <c r="AQ119" s="14">
        <v>45895</v>
      </c>
      <c r="AU119" s="14">
        <v>45895</v>
      </c>
      <c r="AV119" s="16">
        <v>0</v>
      </c>
      <c r="AW119" s="16">
        <v>0</v>
      </c>
      <c r="BA119" s="1" t="s">
        <v>911</v>
      </c>
      <c r="BB119" s="9">
        <v>13</v>
      </c>
      <c r="BC119" s="1" t="s">
        <v>1039</v>
      </c>
      <c r="BD119" s="9" t="s">
        <v>807</v>
      </c>
      <c r="BE119" s="1" t="s">
        <v>1017</v>
      </c>
      <c r="BI119" s="20" t="s">
        <v>1040</v>
      </c>
      <c r="BJ119" s="21" t="str">
        <f t="shared" si="1"/>
        <v>FIXO</v>
      </c>
    </row>
    <row r="120" spans="1:62" x14ac:dyDescent="0.25">
      <c r="A120" s="7">
        <v>2</v>
      </c>
      <c r="B120" s="1" t="s">
        <v>806</v>
      </c>
      <c r="C120" s="8">
        <v>5</v>
      </c>
      <c r="D120" s="9" t="s">
        <v>807</v>
      </c>
      <c r="E120" s="10">
        <v>21640</v>
      </c>
      <c r="F120" s="11" t="s">
        <v>1304</v>
      </c>
      <c r="G120" s="1" t="s">
        <v>41</v>
      </c>
      <c r="H120" s="13" t="str">
        <f>VLOOKUP(AP120,[1]Listas!A:B,2,0)</f>
        <v xml:space="preserve">FESP </v>
      </c>
      <c r="I120" s="1" t="s">
        <v>38</v>
      </c>
      <c r="J120" s="1" t="s">
        <v>37</v>
      </c>
      <c r="K120" s="12"/>
      <c r="L120" s="12"/>
      <c r="M120" s="1" t="s">
        <v>259</v>
      </c>
      <c r="N120" s="14">
        <v>36022</v>
      </c>
      <c r="O120" s="1" t="s">
        <v>855</v>
      </c>
      <c r="P120" s="1" t="s">
        <v>856</v>
      </c>
      <c r="Q120" s="15" t="s">
        <v>807</v>
      </c>
      <c r="R120" s="1" t="s">
        <v>857</v>
      </c>
      <c r="S120" s="1" t="s">
        <v>868</v>
      </c>
      <c r="T120" s="1" t="s">
        <v>869</v>
      </c>
      <c r="U120" s="9" t="s">
        <v>832</v>
      </c>
      <c r="V120" s="1" t="s">
        <v>833</v>
      </c>
      <c r="W120" s="1" t="s">
        <v>858</v>
      </c>
      <c r="X120" s="1" t="s">
        <v>29</v>
      </c>
      <c r="Y120" s="14">
        <v>45909</v>
      </c>
      <c r="Z120" s="9" t="s">
        <v>817</v>
      </c>
      <c r="AB120" s="14">
        <v>45909</v>
      </c>
      <c r="AC120" s="9" t="s">
        <v>817</v>
      </c>
      <c r="AD120" s="9" t="s">
        <v>818</v>
      </c>
      <c r="AE120" s="1" t="s">
        <v>819</v>
      </c>
      <c r="AF120" s="14" t="s">
        <v>820</v>
      </c>
      <c r="AG120" s="9" t="s">
        <v>821</v>
      </c>
      <c r="AH120" s="1" t="s">
        <v>9</v>
      </c>
      <c r="AI120" s="9" t="s">
        <v>10</v>
      </c>
      <c r="AJ120" s="1" t="s">
        <v>11</v>
      </c>
      <c r="AK120" s="1" t="s">
        <v>1305</v>
      </c>
      <c r="AL120" s="1" t="s">
        <v>1306</v>
      </c>
      <c r="AM120" s="9">
        <v>11324</v>
      </c>
      <c r="AN120" s="1" t="s">
        <v>40</v>
      </c>
      <c r="AO120" s="1" t="s">
        <v>31</v>
      </c>
      <c r="AP120" s="1" t="s">
        <v>861</v>
      </c>
      <c r="AQ120" s="14">
        <v>45909</v>
      </c>
      <c r="AU120" s="14">
        <v>45909</v>
      </c>
      <c r="AV120" s="16">
        <v>0</v>
      </c>
      <c r="AW120" s="16">
        <v>0</v>
      </c>
      <c r="BA120" s="1" t="s">
        <v>911</v>
      </c>
      <c r="BB120" s="9">
        <v>38</v>
      </c>
      <c r="BC120" s="1" t="s">
        <v>1297</v>
      </c>
      <c r="BD120" s="9" t="s">
        <v>807</v>
      </c>
      <c r="BE120" s="1" t="s">
        <v>893</v>
      </c>
      <c r="BF120" s="23" t="s">
        <v>38</v>
      </c>
      <c r="BG120" s="1" t="s">
        <v>883</v>
      </c>
      <c r="BH120" s="1" t="s">
        <v>884</v>
      </c>
      <c r="BI120" s="25" t="s">
        <v>1044</v>
      </c>
      <c r="BJ120" s="21" t="str">
        <f t="shared" si="1"/>
        <v>FIXO</v>
      </c>
    </row>
    <row r="121" spans="1:62" x14ac:dyDescent="0.25">
      <c r="A121" s="7">
        <v>2</v>
      </c>
      <c r="B121" s="1" t="s">
        <v>806</v>
      </c>
      <c r="C121" s="8">
        <v>5</v>
      </c>
      <c r="D121" s="9" t="s">
        <v>807</v>
      </c>
      <c r="E121" s="10">
        <v>21651</v>
      </c>
      <c r="F121" s="11" t="s">
        <v>1307</v>
      </c>
      <c r="G121" s="1" t="s">
        <v>41</v>
      </c>
      <c r="H121" s="13" t="str">
        <f>VLOOKUP(AP121,[1]Listas!A:B,2,0)</f>
        <v xml:space="preserve">FESP </v>
      </c>
      <c r="I121" s="12" t="s">
        <v>38</v>
      </c>
      <c r="J121" s="12"/>
      <c r="K121" s="1" t="s">
        <v>32</v>
      </c>
      <c r="L121" s="1" t="s">
        <v>79</v>
      </c>
      <c r="M121" s="1" t="s">
        <v>260</v>
      </c>
      <c r="N121" s="14">
        <v>33109</v>
      </c>
      <c r="O121" s="1" t="s">
        <v>855</v>
      </c>
      <c r="P121" s="1" t="s">
        <v>856</v>
      </c>
      <c r="Q121" s="15" t="s">
        <v>807</v>
      </c>
      <c r="R121" s="1" t="s">
        <v>857</v>
      </c>
      <c r="S121" s="1" t="s">
        <v>811</v>
      </c>
      <c r="T121" s="1" t="s">
        <v>906</v>
      </c>
      <c r="U121" s="9" t="s">
        <v>951</v>
      </c>
      <c r="V121" s="1" t="s">
        <v>952</v>
      </c>
      <c r="W121" s="1" t="s">
        <v>871</v>
      </c>
      <c r="X121" s="1" t="s">
        <v>34</v>
      </c>
      <c r="Y121" s="14">
        <v>45909</v>
      </c>
      <c r="Z121" s="9" t="s">
        <v>817</v>
      </c>
      <c r="AB121" s="14">
        <v>45909</v>
      </c>
      <c r="AC121" s="9" t="s">
        <v>817</v>
      </c>
      <c r="AD121" s="9" t="s">
        <v>818</v>
      </c>
      <c r="AE121" s="1" t="s">
        <v>819</v>
      </c>
      <c r="AF121" s="14" t="s">
        <v>820</v>
      </c>
      <c r="AG121" s="9" t="s">
        <v>821</v>
      </c>
      <c r="AH121" s="1" t="s">
        <v>9</v>
      </c>
      <c r="AI121" s="9" t="s">
        <v>10</v>
      </c>
      <c r="AJ121" s="1" t="s">
        <v>11</v>
      </c>
      <c r="AK121" s="1" t="s">
        <v>921</v>
      </c>
      <c r="AL121" s="1" t="s">
        <v>922</v>
      </c>
      <c r="AM121" s="9">
        <v>11382</v>
      </c>
      <c r="AN121" s="1" t="s">
        <v>58</v>
      </c>
      <c r="AO121" s="1" t="s">
        <v>36</v>
      </c>
      <c r="AP121" s="1" t="s">
        <v>874</v>
      </c>
      <c r="AQ121" s="14">
        <v>45909</v>
      </c>
      <c r="AU121" s="14">
        <v>45909</v>
      </c>
      <c r="AV121" s="16">
        <v>0</v>
      </c>
      <c r="AW121" s="16">
        <v>0</v>
      </c>
      <c r="BA121" s="1" t="s">
        <v>911</v>
      </c>
      <c r="BB121" s="9">
        <v>38</v>
      </c>
      <c r="BC121" s="1" t="s">
        <v>1297</v>
      </c>
      <c r="BD121" s="9" t="s">
        <v>807</v>
      </c>
      <c r="BE121" s="1" t="s">
        <v>863</v>
      </c>
      <c r="BF121" s="1" t="s">
        <v>32</v>
      </c>
      <c r="BG121" s="1" t="s">
        <v>864</v>
      </c>
      <c r="BH121" s="1" t="s">
        <v>865</v>
      </c>
      <c r="BI121" s="23" t="s">
        <v>916</v>
      </c>
      <c r="BJ121" s="21" t="str">
        <f t="shared" si="1"/>
        <v>FIXO</v>
      </c>
    </row>
    <row r="122" spans="1:62" x14ac:dyDescent="0.25">
      <c r="A122" s="7">
        <v>3</v>
      </c>
      <c r="B122" s="1" t="s">
        <v>1308</v>
      </c>
      <c r="C122" s="8">
        <v>3</v>
      </c>
      <c r="D122" s="9" t="s">
        <v>807</v>
      </c>
      <c r="E122" s="10">
        <v>156</v>
      </c>
      <c r="F122" s="11" t="s">
        <v>1309</v>
      </c>
      <c r="G122" s="12" t="s">
        <v>71</v>
      </c>
      <c r="H122" s="13" t="str">
        <f>VLOOKUP(AP122,[1]Listas!A:B,2,0)</f>
        <v xml:space="preserve">FPER </v>
      </c>
      <c r="I122" s="1" t="s">
        <v>263</v>
      </c>
      <c r="J122" s="12"/>
      <c r="K122" s="12"/>
      <c r="L122" s="12"/>
      <c r="M122" s="1" t="s">
        <v>261</v>
      </c>
      <c r="N122" s="14">
        <v>27789</v>
      </c>
      <c r="O122" s="1" t="s">
        <v>855</v>
      </c>
      <c r="P122" s="1" t="s">
        <v>856</v>
      </c>
      <c r="Q122" s="15" t="s">
        <v>807</v>
      </c>
      <c r="R122" s="1" t="s">
        <v>857</v>
      </c>
      <c r="S122" s="1" t="s">
        <v>1017</v>
      </c>
      <c r="U122" s="9" t="s">
        <v>951</v>
      </c>
      <c r="V122" s="1" t="s">
        <v>952</v>
      </c>
      <c r="W122" s="1" t="s">
        <v>871</v>
      </c>
      <c r="X122" s="1" t="s">
        <v>34</v>
      </c>
      <c r="Y122" s="14">
        <v>44582</v>
      </c>
      <c r="Z122" s="9" t="s">
        <v>817</v>
      </c>
      <c r="AB122" s="14">
        <v>41153</v>
      </c>
      <c r="AC122" s="9" t="s">
        <v>817</v>
      </c>
      <c r="AD122" s="9" t="s">
        <v>818</v>
      </c>
      <c r="AE122" s="1" t="s">
        <v>819</v>
      </c>
      <c r="AF122" s="14" t="s">
        <v>820</v>
      </c>
      <c r="AG122" s="9" t="s">
        <v>835</v>
      </c>
      <c r="AH122" s="1" t="s">
        <v>17</v>
      </c>
      <c r="AI122" s="9" t="s">
        <v>10</v>
      </c>
      <c r="AJ122" s="1" t="s">
        <v>11</v>
      </c>
      <c r="AK122" s="1" t="s">
        <v>1310</v>
      </c>
      <c r="AL122" s="1" t="s">
        <v>1311</v>
      </c>
      <c r="AM122" s="9">
        <v>11143</v>
      </c>
      <c r="AN122" s="1" t="s">
        <v>114</v>
      </c>
      <c r="AO122" s="1" t="s">
        <v>262</v>
      </c>
      <c r="AP122" s="1" t="s">
        <v>1312</v>
      </c>
      <c r="AQ122" s="14">
        <v>45658</v>
      </c>
      <c r="AU122" s="14">
        <v>45798</v>
      </c>
      <c r="AV122" s="16">
        <v>0</v>
      </c>
      <c r="AW122" s="16">
        <v>0</v>
      </c>
      <c r="BA122" s="1" t="s">
        <v>825</v>
      </c>
      <c r="BB122" s="9">
        <v>7</v>
      </c>
      <c r="BC122" s="1" t="s">
        <v>826</v>
      </c>
      <c r="BD122" s="9" t="s">
        <v>807</v>
      </c>
      <c r="BE122" s="1" t="s">
        <v>1313</v>
      </c>
      <c r="BF122" s="1" t="s">
        <v>263</v>
      </c>
      <c r="BG122" s="1" t="s">
        <v>1314</v>
      </c>
      <c r="BH122" s="1" t="s">
        <v>1315</v>
      </c>
      <c r="BI122" s="1" t="s">
        <v>878</v>
      </c>
      <c r="BJ122" s="21" t="str">
        <f t="shared" si="1"/>
        <v>FIXO</v>
      </c>
    </row>
    <row r="123" spans="1:62" x14ac:dyDescent="0.25">
      <c r="A123" s="7">
        <v>3</v>
      </c>
      <c r="B123" s="1" t="s">
        <v>1308</v>
      </c>
      <c r="C123" s="8">
        <v>3</v>
      </c>
      <c r="D123" s="9" t="s">
        <v>807</v>
      </c>
      <c r="E123" s="10">
        <v>157</v>
      </c>
      <c r="F123" s="11" t="s">
        <v>1316</v>
      </c>
      <c r="G123" s="12" t="s">
        <v>71</v>
      </c>
      <c r="H123" s="13" t="str">
        <f>VLOOKUP(AP123,[1]Listas!A:B,2,0)</f>
        <v xml:space="preserve">FPER </v>
      </c>
      <c r="I123" s="1" t="s">
        <v>263</v>
      </c>
      <c r="J123" s="12"/>
      <c r="K123" s="12"/>
      <c r="L123" s="12"/>
      <c r="M123" s="1" t="s">
        <v>264</v>
      </c>
      <c r="N123" s="14">
        <v>28487</v>
      </c>
      <c r="O123" s="1" t="s">
        <v>855</v>
      </c>
      <c r="P123" s="1" t="s">
        <v>856</v>
      </c>
      <c r="Q123" s="15" t="s">
        <v>811</v>
      </c>
      <c r="R123" s="1" t="s">
        <v>812</v>
      </c>
      <c r="S123" s="1" t="s">
        <v>1017</v>
      </c>
      <c r="U123" s="9" t="s">
        <v>868</v>
      </c>
      <c r="V123" s="1" t="s">
        <v>913</v>
      </c>
      <c r="W123" s="1" t="s">
        <v>1317</v>
      </c>
      <c r="X123" s="1" t="s">
        <v>265</v>
      </c>
      <c r="Y123" s="14">
        <v>44002</v>
      </c>
      <c r="Z123" s="9" t="s">
        <v>817</v>
      </c>
      <c r="AB123" s="14">
        <v>40014</v>
      </c>
      <c r="AC123" s="9" t="s">
        <v>817</v>
      </c>
      <c r="AD123" s="9" t="s">
        <v>818</v>
      </c>
      <c r="AE123" s="1" t="s">
        <v>819</v>
      </c>
      <c r="AF123" s="14" t="s">
        <v>820</v>
      </c>
      <c r="AG123" s="9" t="s">
        <v>821</v>
      </c>
      <c r="AH123" s="1" t="s">
        <v>9</v>
      </c>
      <c r="AI123" s="9" t="s">
        <v>10</v>
      </c>
      <c r="AJ123" s="1" t="s">
        <v>11</v>
      </c>
      <c r="AK123" s="1" t="s">
        <v>1318</v>
      </c>
      <c r="AL123" s="1" t="s">
        <v>1319</v>
      </c>
      <c r="AM123" s="9">
        <v>11143</v>
      </c>
      <c r="AN123" s="1" t="s">
        <v>114</v>
      </c>
      <c r="AO123" s="1" t="s">
        <v>262</v>
      </c>
      <c r="AP123" s="1" t="s">
        <v>1312</v>
      </c>
      <c r="AQ123" s="14">
        <v>45658</v>
      </c>
      <c r="AU123" s="14">
        <v>45798</v>
      </c>
      <c r="AV123" s="16">
        <v>0</v>
      </c>
      <c r="AW123" s="16">
        <v>0</v>
      </c>
      <c r="BA123" s="1" t="s">
        <v>825</v>
      </c>
      <c r="BB123" s="9">
        <v>1</v>
      </c>
      <c r="BC123" s="1" t="s">
        <v>862</v>
      </c>
      <c r="BD123" s="9" t="s">
        <v>807</v>
      </c>
      <c r="BE123" s="1" t="s">
        <v>1313</v>
      </c>
      <c r="BF123" s="1" t="s">
        <v>263</v>
      </c>
      <c r="BG123" s="1" t="s">
        <v>1314</v>
      </c>
      <c r="BH123" s="1" t="s">
        <v>1315</v>
      </c>
      <c r="BI123" s="1" t="s">
        <v>866</v>
      </c>
      <c r="BJ123" s="21" t="str">
        <f t="shared" si="1"/>
        <v>FIXO</v>
      </c>
    </row>
    <row r="124" spans="1:62" x14ac:dyDescent="0.25">
      <c r="A124" s="7">
        <v>3</v>
      </c>
      <c r="B124" s="1" t="s">
        <v>1308</v>
      </c>
      <c r="C124" s="8">
        <v>3</v>
      </c>
      <c r="D124" s="9" t="s">
        <v>807</v>
      </c>
      <c r="E124" s="10">
        <v>158</v>
      </c>
      <c r="F124" s="11" t="s">
        <v>1320</v>
      </c>
      <c r="G124" s="12" t="s">
        <v>71</v>
      </c>
      <c r="H124" s="13" t="str">
        <f>VLOOKUP(AP124,[1]Listas!A:B,2,0)</f>
        <v xml:space="preserve">FPER </v>
      </c>
      <c r="I124" s="12"/>
      <c r="J124" s="12"/>
      <c r="K124" s="12"/>
      <c r="L124" s="12"/>
      <c r="M124" s="1" t="s">
        <v>263</v>
      </c>
      <c r="N124" s="14">
        <v>22612</v>
      </c>
      <c r="O124" s="1" t="s">
        <v>855</v>
      </c>
      <c r="P124" s="1" t="s">
        <v>856</v>
      </c>
      <c r="Q124" s="15" t="s">
        <v>811</v>
      </c>
      <c r="R124" s="1" t="s">
        <v>812</v>
      </c>
      <c r="S124" s="1" t="s">
        <v>1017</v>
      </c>
      <c r="U124" s="9" t="s">
        <v>814</v>
      </c>
      <c r="V124" s="1" t="s">
        <v>815</v>
      </c>
      <c r="W124" s="1" t="s">
        <v>1152</v>
      </c>
      <c r="X124" s="1" t="s">
        <v>189</v>
      </c>
      <c r="Y124" s="14">
        <v>44582</v>
      </c>
      <c r="Z124" s="9" t="s">
        <v>817</v>
      </c>
      <c r="AB124" s="14">
        <v>36344</v>
      </c>
      <c r="AC124" s="9" t="s">
        <v>817</v>
      </c>
      <c r="AD124" s="9" t="s">
        <v>818</v>
      </c>
      <c r="AE124" s="1" t="s">
        <v>819</v>
      </c>
      <c r="AF124" s="14" t="s">
        <v>820</v>
      </c>
      <c r="AG124" s="9" t="s">
        <v>835</v>
      </c>
      <c r="AH124" s="1" t="s">
        <v>17</v>
      </c>
      <c r="AI124" s="9" t="s">
        <v>10</v>
      </c>
      <c r="AJ124" s="1" t="s">
        <v>11</v>
      </c>
      <c r="AK124" s="1" t="s">
        <v>1314</v>
      </c>
      <c r="AL124" s="1" t="s">
        <v>1315</v>
      </c>
      <c r="AM124" s="9">
        <v>11143</v>
      </c>
      <c r="AN124" s="1" t="s">
        <v>114</v>
      </c>
      <c r="AO124" s="1" t="s">
        <v>266</v>
      </c>
      <c r="AP124" s="1" t="s">
        <v>1321</v>
      </c>
      <c r="AQ124" s="14">
        <v>45658</v>
      </c>
      <c r="AU124" s="14">
        <v>45798</v>
      </c>
      <c r="AV124" s="16">
        <v>0</v>
      </c>
      <c r="AW124" s="16">
        <v>0</v>
      </c>
      <c r="BA124" s="1" t="s">
        <v>825</v>
      </c>
      <c r="BB124" s="9">
        <v>7</v>
      </c>
      <c r="BC124" s="1" t="s">
        <v>826</v>
      </c>
      <c r="BD124" s="9" t="s">
        <v>807</v>
      </c>
      <c r="BE124" s="1" t="s">
        <v>940</v>
      </c>
      <c r="BF124" s="1" t="s">
        <v>71</v>
      </c>
      <c r="BG124" s="1" t="s">
        <v>941</v>
      </c>
      <c r="BH124" s="1" t="s">
        <v>942</v>
      </c>
      <c r="BI124" s="1" t="s">
        <v>888</v>
      </c>
      <c r="BJ124" s="21" t="str">
        <f t="shared" si="1"/>
        <v>FIXO</v>
      </c>
    </row>
    <row r="125" spans="1:62" x14ac:dyDescent="0.25">
      <c r="A125" s="7">
        <v>3</v>
      </c>
      <c r="B125" s="1" t="s">
        <v>1308</v>
      </c>
      <c r="C125" s="8">
        <v>3</v>
      </c>
      <c r="D125" s="9" t="s">
        <v>807</v>
      </c>
      <c r="E125" s="10">
        <v>1257</v>
      </c>
      <c r="F125" s="11" t="s">
        <v>1322</v>
      </c>
      <c r="G125" s="12" t="s">
        <v>71</v>
      </c>
      <c r="H125" s="13" t="str">
        <f>VLOOKUP(AP125,[1]Listas!A:B,2,0)</f>
        <v xml:space="preserve">FPER </v>
      </c>
      <c r="I125" s="1" t="s">
        <v>263</v>
      </c>
      <c r="J125" s="12"/>
      <c r="K125" s="12"/>
      <c r="L125" s="12"/>
      <c r="M125" s="1" t="s">
        <v>267</v>
      </c>
      <c r="N125" s="14">
        <v>30898</v>
      </c>
      <c r="O125" s="1" t="s">
        <v>809</v>
      </c>
      <c r="P125" s="1" t="s">
        <v>810</v>
      </c>
      <c r="Q125" s="15" t="s">
        <v>811</v>
      </c>
      <c r="R125" s="1" t="s">
        <v>812</v>
      </c>
      <c r="S125" s="1" t="s">
        <v>1017</v>
      </c>
      <c r="U125" s="9" t="s">
        <v>951</v>
      </c>
      <c r="V125" s="1" t="s">
        <v>952</v>
      </c>
      <c r="W125" s="1" t="s">
        <v>1051</v>
      </c>
      <c r="X125" s="1" t="s">
        <v>126</v>
      </c>
      <c r="Y125" s="14">
        <v>44582</v>
      </c>
      <c r="Z125" s="9" t="s">
        <v>817</v>
      </c>
      <c r="AB125" s="14">
        <v>43699</v>
      </c>
      <c r="AC125" s="9" t="s">
        <v>817</v>
      </c>
      <c r="AD125" s="9" t="s">
        <v>818</v>
      </c>
      <c r="AE125" s="1" t="s">
        <v>819</v>
      </c>
      <c r="AF125" s="14" t="s">
        <v>820</v>
      </c>
      <c r="AG125" s="9" t="s">
        <v>835</v>
      </c>
      <c r="AH125" s="1" t="s">
        <v>17</v>
      </c>
      <c r="AI125" s="9" t="s">
        <v>10</v>
      </c>
      <c r="AJ125" s="1" t="s">
        <v>11</v>
      </c>
      <c r="AK125" s="1" t="s">
        <v>1323</v>
      </c>
      <c r="AL125" s="1" t="s">
        <v>1324</v>
      </c>
      <c r="AM125" s="9">
        <v>11155</v>
      </c>
      <c r="AN125" s="1" t="s">
        <v>127</v>
      </c>
      <c r="AO125" s="1" t="s">
        <v>270</v>
      </c>
      <c r="AP125" s="1" t="s">
        <v>1325</v>
      </c>
      <c r="AQ125" s="14">
        <v>45658</v>
      </c>
      <c r="AU125" s="14">
        <v>45799</v>
      </c>
      <c r="AV125" s="16">
        <v>0</v>
      </c>
      <c r="AW125" s="16">
        <v>0</v>
      </c>
      <c r="BA125" s="1" t="s">
        <v>825</v>
      </c>
      <c r="BB125" s="9">
        <v>7</v>
      </c>
      <c r="BC125" s="1" t="s">
        <v>826</v>
      </c>
      <c r="BD125" s="9" t="s">
        <v>807</v>
      </c>
      <c r="BE125" s="1" t="s">
        <v>1313</v>
      </c>
      <c r="BF125" s="1" t="s">
        <v>263</v>
      </c>
      <c r="BG125" s="1" t="s">
        <v>1314</v>
      </c>
      <c r="BH125" s="1" t="s">
        <v>1315</v>
      </c>
      <c r="BI125" s="1" t="s">
        <v>1055</v>
      </c>
      <c r="BJ125" s="21" t="str">
        <f t="shared" si="1"/>
        <v>FIXO</v>
      </c>
    </row>
    <row r="126" spans="1:62" x14ac:dyDescent="0.25">
      <c r="A126" s="7">
        <v>4</v>
      </c>
      <c r="B126" s="1" t="s">
        <v>271</v>
      </c>
      <c r="C126" s="8">
        <v>4</v>
      </c>
      <c r="D126" s="9" t="s">
        <v>807</v>
      </c>
      <c r="E126" s="10">
        <v>166</v>
      </c>
      <c r="F126" s="11" t="s">
        <v>1326</v>
      </c>
      <c r="G126" s="12" t="s">
        <v>271</v>
      </c>
      <c r="H126" s="13" t="str">
        <f>VLOOKUP(AP126,[1]Listas!A:B,2,0)</f>
        <v xml:space="preserve">FPAR </v>
      </c>
      <c r="I126" s="1" t="s">
        <v>296</v>
      </c>
      <c r="J126" s="12"/>
      <c r="K126" s="12" t="s">
        <v>1327</v>
      </c>
      <c r="L126" s="12"/>
      <c r="M126" s="1" t="s">
        <v>1328</v>
      </c>
      <c r="N126" s="14">
        <v>29705</v>
      </c>
      <c r="O126" s="1" t="s">
        <v>855</v>
      </c>
      <c r="P126" s="1" t="s">
        <v>856</v>
      </c>
      <c r="Q126" s="15" t="s">
        <v>807</v>
      </c>
      <c r="R126" s="1" t="s">
        <v>857</v>
      </c>
      <c r="S126" s="1" t="s">
        <v>1017</v>
      </c>
      <c r="U126" s="9" t="s">
        <v>951</v>
      </c>
      <c r="V126" s="1" t="s">
        <v>952</v>
      </c>
      <c r="W126" s="1" t="s">
        <v>871</v>
      </c>
      <c r="X126" s="1" t="s">
        <v>34</v>
      </c>
      <c r="Y126" s="14">
        <v>43987</v>
      </c>
      <c r="Z126" s="9" t="s">
        <v>817</v>
      </c>
      <c r="AB126" s="14">
        <v>43986</v>
      </c>
      <c r="AC126" s="9" t="s">
        <v>817</v>
      </c>
      <c r="AD126" s="9" t="s">
        <v>818</v>
      </c>
      <c r="AE126" s="1" t="s">
        <v>819</v>
      </c>
      <c r="AF126" s="14" t="s">
        <v>820</v>
      </c>
      <c r="AG126" s="9" t="s">
        <v>821</v>
      </c>
      <c r="AH126" s="1" t="s">
        <v>9</v>
      </c>
      <c r="AI126" s="9" t="s">
        <v>10</v>
      </c>
      <c r="AJ126" s="1" t="s">
        <v>11</v>
      </c>
      <c r="AK126" s="1" t="s">
        <v>1329</v>
      </c>
      <c r="AL126" s="1" t="s">
        <v>1330</v>
      </c>
      <c r="AM126" s="9">
        <v>11270</v>
      </c>
      <c r="AN126" s="1" t="s">
        <v>272</v>
      </c>
      <c r="AO126" s="1" t="s">
        <v>273</v>
      </c>
      <c r="AP126" s="1" t="s">
        <v>1331</v>
      </c>
      <c r="AQ126" s="14">
        <v>45658</v>
      </c>
      <c r="AU126" s="14">
        <v>45901</v>
      </c>
      <c r="AV126" s="16">
        <v>0</v>
      </c>
      <c r="AW126" s="16">
        <v>0</v>
      </c>
      <c r="BA126" s="1" t="s">
        <v>911</v>
      </c>
      <c r="BB126" s="9">
        <v>7</v>
      </c>
      <c r="BC126" s="1" t="s">
        <v>826</v>
      </c>
      <c r="BD126" s="9" t="s">
        <v>807</v>
      </c>
      <c r="BE126" s="1" t="s">
        <v>1017</v>
      </c>
      <c r="BI126" s="20" t="s">
        <v>878</v>
      </c>
      <c r="BJ126" s="21" t="str">
        <f t="shared" si="1"/>
        <v>FIXO</v>
      </c>
    </row>
    <row r="127" spans="1:62" x14ac:dyDescent="0.25">
      <c r="A127" s="7">
        <v>4</v>
      </c>
      <c r="B127" s="1" t="s">
        <v>271</v>
      </c>
      <c r="C127" s="8">
        <v>4</v>
      </c>
      <c r="D127" s="9" t="s">
        <v>807</v>
      </c>
      <c r="E127" s="10">
        <v>186</v>
      </c>
      <c r="F127" s="11" t="s">
        <v>1332</v>
      </c>
      <c r="G127" s="12" t="s">
        <v>271</v>
      </c>
      <c r="H127" s="13" t="str">
        <f>VLOOKUP(AP127,[1]Listas!A:B,2,0)</f>
        <v xml:space="preserve">FPAR </v>
      </c>
      <c r="I127" s="1" t="s">
        <v>296</v>
      </c>
      <c r="J127" s="12"/>
      <c r="K127" s="12" t="s">
        <v>1327</v>
      </c>
      <c r="L127" s="12"/>
      <c r="M127" s="1" t="s">
        <v>1333</v>
      </c>
      <c r="N127" s="14">
        <v>27380</v>
      </c>
      <c r="O127" s="1" t="s">
        <v>855</v>
      </c>
      <c r="P127" s="1" t="s">
        <v>856</v>
      </c>
      <c r="Q127" s="15" t="s">
        <v>807</v>
      </c>
      <c r="R127" s="1" t="s">
        <v>857</v>
      </c>
      <c r="S127" s="1" t="s">
        <v>1017</v>
      </c>
      <c r="U127" s="9" t="s">
        <v>814</v>
      </c>
      <c r="V127" s="1" t="s">
        <v>815</v>
      </c>
      <c r="W127" s="1" t="s">
        <v>1334</v>
      </c>
      <c r="X127" s="1" t="s">
        <v>274</v>
      </c>
      <c r="Y127" s="14">
        <v>44064</v>
      </c>
      <c r="Z127" s="9" t="s">
        <v>817</v>
      </c>
      <c r="AB127" s="14">
        <v>40697</v>
      </c>
      <c r="AC127" s="9" t="s">
        <v>817</v>
      </c>
      <c r="AD127" s="9" t="s">
        <v>818</v>
      </c>
      <c r="AE127" s="1" t="s">
        <v>819</v>
      </c>
      <c r="AF127" s="14" t="s">
        <v>820</v>
      </c>
      <c r="AG127" s="9" t="s">
        <v>821</v>
      </c>
      <c r="AH127" s="1" t="s">
        <v>9</v>
      </c>
      <c r="AI127" s="9" t="s">
        <v>10</v>
      </c>
      <c r="AJ127" s="1" t="s">
        <v>11</v>
      </c>
      <c r="AK127" s="1" t="s">
        <v>1335</v>
      </c>
      <c r="AL127" s="1" t="s">
        <v>1336</v>
      </c>
      <c r="AM127" s="9">
        <v>11238</v>
      </c>
      <c r="AN127" s="1" t="s">
        <v>275</v>
      </c>
      <c r="AO127" s="1" t="s">
        <v>1337</v>
      </c>
      <c r="AP127" s="1" t="s">
        <v>1338</v>
      </c>
      <c r="AQ127" s="14">
        <v>45658</v>
      </c>
      <c r="AU127" s="14">
        <v>45798</v>
      </c>
      <c r="AV127" s="16">
        <v>0</v>
      </c>
      <c r="AW127" s="16">
        <v>0</v>
      </c>
      <c r="BA127" s="1" t="s">
        <v>825</v>
      </c>
      <c r="BB127" s="9">
        <v>1</v>
      </c>
      <c r="BC127" s="1" t="s">
        <v>862</v>
      </c>
      <c r="BD127" s="9" t="s">
        <v>807</v>
      </c>
      <c r="BE127" s="1" t="s">
        <v>1017</v>
      </c>
      <c r="BI127" s="20" t="s">
        <v>1118</v>
      </c>
      <c r="BJ127" s="21" t="str">
        <f t="shared" si="1"/>
        <v>FIXO</v>
      </c>
    </row>
    <row r="128" spans="1:62" x14ac:dyDescent="0.25">
      <c r="A128" s="7">
        <v>4</v>
      </c>
      <c r="B128" s="1" t="s">
        <v>271</v>
      </c>
      <c r="C128" s="8">
        <v>4</v>
      </c>
      <c r="D128" s="9" t="s">
        <v>807</v>
      </c>
      <c r="E128" s="10">
        <v>189</v>
      </c>
      <c r="F128" s="11" t="s">
        <v>1339</v>
      </c>
      <c r="G128" s="12" t="s">
        <v>271</v>
      </c>
      <c r="H128" s="13" t="str">
        <f>VLOOKUP(AP128,[1]Listas!A:B,2,0)</f>
        <v xml:space="preserve">FPAR </v>
      </c>
      <c r="I128" s="1" t="s">
        <v>296</v>
      </c>
      <c r="J128" s="12"/>
      <c r="K128" s="12"/>
      <c r="L128" s="1" t="s">
        <v>1340</v>
      </c>
      <c r="M128" s="1" t="s">
        <v>1341</v>
      </c>
      <c r="N128" s="14">
        <v>28693</v>
      </c>
      <c r="O128" s="1" t="s">
        <v>855</v>
      </c>
      <c r="P128" s="1" t="s">
        <v>856</v>
      </c>
      <c r="Q128" s="15" t="s">
        <v>807</v>
      </c>
      <c r="R128" s="1" t="s">
        <v>857</v>
      </c>
      <c r="S128" s="1" t="s">
        <v>1017</v>
      </c>
      <c r="U128" s="9" t="s">
        <v>880</v>
      </c>
      <c r="V128" s="1" t="s">
        <v>881</v>
      </c>
      <c r="W128" s="1" t="s">
        <v>871</v>
      </c>
      <c r="X128" s="1" t="s">
        <v>34</v>
      </c>
      <c r="Y128" s="14">
        <v>44002</v>
      </c>
      <c r="Z128" s="9" t="s">
        <v>817</v>
      </c>
      <c r="AB128" s="14">
        <v>44001</v>
      </c>
      <c r="AC128" s="9" t="s">
        <v>817</v>
      </c>
      <c r="AD128" s="9" t="s">
        <v>818</v>
      </c>
      <c r="AE128" s="1" t="s">
        <v>819</v>
      </c>
      <c r="AF128" s="14" t="s">
        <v>820</v>
      </c>
      <c r="AG128" s="9" t="s">
        <v>821</v>
      </c>
      <c r="AH128" s="1" t="s">
        <v>9</v>
      </c>
      <c r="AI128" s="9" t="s">
        <v>10</v>
      </c>
      <c r="AJ128" s="1" t="s">
        <v>11</v>
      </c>
      <c r="AK128" s="1" t="s">
        <v>1342</v>
      </c>
      <c r="AL128" s="1" t="s">
        <v>1343</v>
      </c>
      <c r="AM128" s="9">
        <v>11271</v>
      </c>
      <c r="AN128" s="1" t="s">
        <v>276</v>
      </c>
      <c r="AO128" s="1" t="s">
        <v>273</v>
      </c>
      <c r="AP128" s="1" t="s">
        <v>1331</v>
      </c>
      <c r="AQ128" s="14">
        <v>45658</v>
      </c>
      <c r="AU128" s="14">
        <v>45798</v>
      </c>
      <c r="AV128" s="16">
        <v>0</v>
      </c>
      <c r="AW128" s="16">
        <v>0</v>
      </c>
      <c r="BA128" s="1" t="s">
        <v>911</v>
      </c>
      <c r="BB128" s="9">
        <v>7</v>
      </c>
      <c r="BC128" s="1" t="s">
        <v>826</v>
      </c>
      <c r="BD128" s="9" t="s">
        <v>807</v>
      </c>
      <c r="BE128" s="1" t="s">
        <v>1017</v>
      </c>
      <c r="BI128" s="20" t="s">
        <v>916</v>
      </c>
      <c r="BJ128" s="21" t="str">
        <f t="shared" si="1"/>
        <v>FIXO</v>
      </c>
    </row>
    <row r="129" spans="1:62" x14ac:dyDescent="0.25">
      <c r="A129" s="7">
        <v>4</v>
      </c>
      <c r="B129" s="1" t="s">
        <v>271</v>
      </c>
      <c r="C129" s="8">
        <v>4</v>
      </c>
      <c r="D129" s="9" t="s">
        <v>807</v>
      </c>
      <c r="E129" s="10">
        <v>194</v>
      </c>
      <c r="F129" s="11" t="s">
        <v>1344</v>
      </c>
      <c r="G129" s="12" t="s">
        <v>271</v>
      </c>
      <c r="H129" s="13" t="str">
        <f>VLOOKUP(AP129,[1]Listas!A:B,2,0)</f>
        <v xml:space="preserve">FPAR </v>
      </c>
      <c r="I129" s="1" t="s">
        <v>296</v>
      </c>
      <c r="J129" s="12"/>
      <c r="K129" s="12"/>
      <c r="L129" s="1" t="s">
        <v>296</v>
      </c>
      <c r="M129" s="1" t="s">
        <v>1345</v>
      </c>
      <c r="N129" s="14">
        <v>25650</v>
      </c>
      <c r="O129" s="1" t="s">
        <v>855</v>
      </c>
      <c r="P129" s="1" t="s">
        <v>856</v>
      </c>
      <c r="Q129" s="15" t="s">
        <v>807</v>
      </c>
      <c r="R129" s="1" t="s">
        <v>857</v>
      </c>
      <c r="S129" s="1" t="s">
        <v>1017</v>
      </c>
      <c r="U129" s="9" t="s">
        <v>951</v>
      </c>
      <c r="V129" s="1" t="s">
        <v>952</v>
      </c>
      <c r="W129" s="1" t="s">
        <v>1317</v>
      </c>
      <c r="X129" s="1" t="s">
        <v>265</v>
      </c>
      <c r="Y129" s="14">
        <v>44110</v>
      </c>
      <c r="Z129" s="9" t="s">
        <v>817</v>
      </c>
      <c r="AB129" s="14">
        <v>39469</v>
      </c>
      <c r="AC129" s="9" t="s">
        <v>817</v>
      </c>
      <c r="AD129" s="9" t="s">
        <v>818</v>
      </c>
      <c r="AE129" s="1" t="s">
        <v>819</v>
      </c>
      <c r="AF129" s="14" t="s">
        <v>820</v>
      </c>
      <c r="AG129" s="9" t="s">
        <v>821</v>
      </c>
      <c r="AH129" s="1" t="s">
        <v>9</v>
      </c>
      <c r="AI129" s="9" t="s">
        <v>10</v>
      </c>
      <c r="AJ129" s="1" t="s">
        <v>11</v>
      </c>
      <c r="AK129" s="1" t="s">
        <v>1346</v>
      </c>
      <c r="AL129" s="1" t="s">
        <v>1347</v>
      </c>
      <c r="AM129" s="9">
        <v>11271</v>
      </c>
      <c r="AN129" s="1" t="s">
        <v>276</v>
      </c>
      <c r="AO129" s="1" t="s">
        <v>273</v>
      </c>
      <c r="AP129" s="1" t="s">
        <v>1331</v>
      </c>
      <c r="AQ129" s="14">
        <v>45658</v>
      </c>
      <c r="AU129" s="14">
        <v>45798</v>
      </c>
      <c r="AV129" s="16">
        <v>0</v>
      </c>
      <c r="AW129" s="16">
        <v>0</v>
      </c>
      <c r="BA129" s="1" t="s">
        <v>825</v>
      </c>
      <c r="BB129" s="9">
        <v>1</v>
      </c>
      <c r="BC129" s="1" t="s">
        <v>862</v>
      </c>
      <c r="BD129" s="9" t="s">
        <v>807</v>
      </c>
      <c r="BE129" s="1" t="s">
        <v>1017</v>
      </c>
      <c r="BI129" s="20" t="s">
        <v>866</v>
      </c>
      <c r="BJ129" s="21" t="str">
        <f t="shared" si="1"/>
        <v>FIXO</v>
      </c>
    </row>
    <row r="130" spans="1:62" x14ac:dyDescent="0.25">
      <c r="A130" s="7">
        <v>4</v>
      </c>
      <c r="B130" s="1" t="s">
        <v>271</v>
      </c>
      <c r="C130" s="8">
        <v>4</v>
      </c>
      <c r="D130" s="9" t="s">
        <v>807</v>
      </c>
      <c r="E130" s="10">
        <v>200</v>
      </c>
      <c r="F130" s="11" t="s">
        <v>1348</v>
      </c>
      <c r="G130" s="12" t="s">
        <v>271</v>
      </c>
      <c r="H130" s="13" t="str">
        <f>VLOOKUP(AP130,[1]Listas!A:B,2,0)</f>
        <v xml:space="preserve">FPAR </v>
      </c>
      <c r="I130" s="1" t="s">
        <v>296</v>
      </c>
      <c r="J130" s="12"/>
      <c r="K130" s="12" t="s">
        <v>1327</v>
      </c>
      <c r="L130" s="12"/>
      <c r="M130" s="1" t="s">
        <v>1349</v>
      </c>
      <c r="N130" s="14">
        <v>30601</v>
      </c>
      <c r="O130" s="1" t="s">
        <v>855</v>
      </c>
      <c r="P130" s="1" t="s">
        <v>856</v>
      </c>
      <c r="Q130" s="15" t="s">
        <v>811</v>
      </c>
      <c r="R130" s="1" t="s">
        <v>812</v>
      </c>
      <c r="S130" s="1" t="s">
        <v>868</v>
      </c>
      <c r="T130" s="1" t="s">
        <v>869</v>
      </c>
      <c r="U130" s="9" t="s">
        <v>814</v>
      </c>
      <c r="V130" s="1" t="s">
        <v>815</v>
      </c>
      <c r="W130" s="1" t="s">
        <v>1334</v>
      </c>
      <c r="X130" s="1" t="s">
        <v>274</v>
      </c>
      <c r="Y130" s="14">
        <v>44343</v>
      </c>
      <c r="Z130" s="9" t="s">
        <v>817</v>
      </c>
      <c r="AB130" s="14">
        <v>44001</v>
      </c>
      <c r="AC130" s="9" t="s">
        <v>817</v>
      </c>
      <c r="AD130" s="9" t="s">
        <v>818</v>
      </c>
      <c r="AE130" s="1" t="s">
        <v>819</v>
      </c>
      <c r="AF130" s="14" t="s">
        <v>820</v>
      </c>
      <c r="AG130" s="9" t="s">
        <v>821</v>
      </c>
      <c r="AH130" s="1" t="s">
        <v>9</v>
      </c>
      <c r="AI130" s="9" t="s">
        <v>10</v>
      </c>
      <c r="AJ130" s="1" t="s">
        <v>11</v>
      </c>
      <c r="AK130" s="1" t="s">
        <v>1335</v>
      </c>
      <c r="AL130" s="1" t="s">
        <v>1336</v>
      </c>
      <c r="AM130" s="9">
        <v>11238</v>
      </c>
      <c r="AN130" s="1" t="s">
        <v>275</v>
      </c>
      <c r="AO130" s="1" t="s">
        <v>1337</v>
      </c>
      <c r="AP130" s="1" t="s">
        <v>1338</v>
      </c>
      <c r="AQ130" s="14">
        <v>45658</v>
      </c>
      <c r="AU130" s="14">
        <v>45798</v>
      </c>
      <c r="AV130" s="16">
        <v>0</v>
      </c>
      <c r="AW130" s="16">
        <v>0</v>
      </c>
      <c r="BA130" s="1" t="s">
        <v>911</v>
      </c>
      <c r="BB130" s="9">
        <v>1</v>
      </c>
      <c r="BC130" s="1" t="s">
        <v>862</v>
      </c>
      <c r="BD130" s="9" t="s">
        <v>807</v>
      </c>
      <c r="BE130" s="1" t="s">
        <v>1017</v>
      </c>
      <c r="BI130" s="20" t="s">
        <v>878</v>
      </c>
      <c r="BJ130" s="21" t="str">
        <f t="shared" ref="BJ130:BJ193" si="2">IF(NOT(ISERROR(SEARCH("SAFRISTA",X130))),"SAFRISTA","FIXO")</f>
        <v>FIXO</v>
      </c>
    </row>
    <row r="131" spans="1:62" x14ac:dyDescent="0.25">
      <c r="A131" s="7">
        <v>4</v>
      </c>
      <c r="B131" s="1" t="s">
        <v>271</v>
      </c>
      <c r="C131" s="8">
        <v>4</v>
      </c>
      <c r="D131" s="9" t="s">
        <v>807</v>
      </c>
      <c r="E131" s="10">
        <v>204</v>
      </c>
      <c r="F131" s="11" t="s">
        <v>1350</v>
      </c>
      <c r="G131" s="12" t="s">
        <v>271</v>
      </c>
      <c r="H131" s="13" t="str">
        <f>VLOOKUP(AP131,[1]Listas!A:B,2,0)</f>
        <v xml:space="preserve">FPAR </v>
      </c>
      <c r="I131" s="1" t="s">
        <v>296</v>
      </c>
      <c r="J131" s="12"/>
      <c r="K131" s="12"/>
      <c r="L131" s="12"/>
      <c r="M131" s="1" t="s">
        <v>1351</v>
      </c>
      <c r="N131" s="14">
        <v>30042</v>
      </c>
      <c r="O131" s="1" t="s">
        <v>855</v>
      </c>
      <c r="P131" s="1" t="s">
        <v>856</v>
      </c>
      <c r="Q131" s="15" t="s">
        <v>807</v>
      </c>
      <c r="R131" s="1" t="s">
        <v>857</v>
      </c>
      <c r="S131" s="1" t="s">
        <v>1017</v>
      </c>
      <c r="U131" s="9" t="s">
        <v>814</v>
      </c>
      <c r="V131" s="1" t="s">
        <v>815</v>
      </c>
      <c r="W131" s="1" t="s">
        <v>1069</v>
      </c>
      <c r="X131" s="1" t="s">
        <v>137</v>
      </c>
      <c r="Y131" s="14">
        <v>44671</v>
      </c>
      <c r="Z131" s="9" t="s">
        <v>817</v>
      </c>
      <c r="AB131" s="14">
        <v>44110</v>
      </c>
      <c r="AC131" s="9" t="s">
        <v>817</v>
      </c>
      <c r="AD131" s="9" t="s">
        <v>818</v>
      </c>
      <c r="AE131" s="1" t="s">
        <v>819</v>
      </c>
      <c r="AF131" s="14" t="s">
        <v>820</v>
      </c>
      <c r="AG131" s="9" t="s">
        <v>821</v>
      </c>
      <c r="AH131" s="1" t="s">
        <v>9</v>
      </c>
      <c r="AI131" s="9" t="s">
        <v>10</v>
      </c>
      <c r="AJ131" s="1" t="s">
        <v>11</v>
      </c>
      <c r="AK131" s="1" t="s">
        <v>1352</v>
      </c>
      <c r="AL131" s="1" t="s">
        <v>1353</v>
      </c>
      <c r="AM131" s="9">
        <v>11225</v>
      </c>
      <c r="AN131" s="1" t="s">
        <v>1354</v>
      </c>
      <c r="AO131" s="1" t="s">
        <v>1355</v>
      </c>
      <c r="AP131" s="1" t="s">
        <v>1356</v>
      </c>
      <c r="AQ131" s="14">
        <v>45658</v>
      </c>
      <c r="AU131" s="14">
        <v>45799</v>
      </c>
      <c r="AV131" s="16">
        <v>0</v>
      </c>
      <c r="AW131" s="16">
        <v>0</v>
      </c>
      <c r="BA131" s="1" t="s">
        <v>911</v>
      </c>
      <c r="BB131" s="9">
        <v>7</v>
      </c>
      <c r="BC131" s="1" t="s">
        <v>826</v>
      </c>
      <c r="BD131" s="9" t="s">
        <v>807</v>
      </c>
      <c r="BE131" s="1" t="s">
        <v>1017</v>
      </c>
      <c r="BI131" s="20" t="s">
        <v>1073</v>
      </c>
      <c r="BJ131" s="21" t="str">
        <f t="shared" si="2"/>
        <v>FIXO</v>
      </c>
    </row>
    <row r="132" spans="1:62" x14ac:dyDescent="0.25">
      <c r="A132" s="7">
        <v>4</v>
      </c>
      <c r="B132" s="1" t="s">
        <v>271</v>
      </c>
      <c r="C132" s="8">
        <v>4</v>
      </c>
      <c r="D132" s="9" t="s">
        <v>807</v>
      </c>
      <c r="E132" s="10">
        <v>2782</v>
      </c>
      <c r="F132" s="11" t="s">
        <v>1357</v>
      </c>
      <c r="G132" s="12" t="s">
        <v>271</v>
      </c>
      <c r="H132" s="13" t="str">
        <f>VLOOKUP(AP132,[1]Listas!A:B,2,0)</f>
        <v xml:space="preserve">FPAR </v>
      </c>
      <c r="I132" s="1" t="s">
        <v>296</v>
      </c>
      <c r="J132" s="12"/>
      <c r="K132" s="12" t="s">
        <v>1327</v>
      </c>
      <c r="L132" s="12"/>
      <c r="M132" s="1" t="s">
        <v>1358</v>
      </c>
      <c r="N132" s="14">
        <v>33863</v>
      </c>
      <c r="O132" s="1" t="s">
        <v>855</v>
      </c>
      <c r="P132" s="1" t="s">
        <v>856</v>
      </c>
      <c r="Q132" s="15" t="s">
        <v>807</v>
      </c>
      <c r="R132" s="1" t="s">
        <v>857</v>
      </c>
      <c r="S132" s="1" t="s">
        <v>1017</v>
      </c>
      <c r="U132" s="9" t="s">
        <v>880</v>
      </c>
      <c r="V132" s="1" t="s">
        <v>881</v>
      </c>
      <c r="W132" s="1" t="s">
        <v>871</v>
      </c>
      <c r="X132" s="1" t="s">
        <v>34</v>
      </c>
      <c r="Y132" s="14">
        <v>44540</v>
      </c>
      <c r="Z132" s="9" t="s">
        <v>817</v>
      </c>
      <c r="AB132" s="14">
        <v>44127</v>
      </c>
      <c r="AC132" s="9" t="s">
        <v>817</v>
      </c>
      <c r="AD132" s="9" t="s">
        <v>818</v>
      </c>
      <c r="AE132" s="1" t="s">
        <v>819</v>
      </c>
      <c r="AF132" s="14" t="s">
        <v>820</v>
      </c>
      <c r="AG132" s="9" t="s">
        <v>821</v>
      </c>
      <c r="AH132" s="1" t="s">
        <v>9</v>
      </c>
      <c r="AI132" s="9" t="s">
        <v>10</v>
      </c>
      <c r="AJ132" s="1" t="s">
        <v>11</v>
      </c>
      <c r="AK132" s="1" t="s">
        <v>1329</v>
      </c>
      <c r="AL132" s="1" t="s">
        <v>1330</v>
      </c>
      <c r="AM132" s="9">
        <v>11270</v>
      </c>
      <c r="AN132" s="1" t="s">
        <v>272</v>
      </c>
      <c r="AO132" s="1" t="s">
        <v>273</v>
      </c>
      <c r="AP132" s="1" t="s">
        <v>1331</v>
      </c>
      <c r="AQ132" s="14">
        <v>45658</v>
      </c>
      <c r="AU132" s="14">
        <v>45799</v>
      </c>
      <c r="AV132" s="16">
        <v>0</v>
      </c>
      <c r="AW132" s="16">
        <v>0</v>
      </c>
      <c r="BA132" s="1" t="s">
        <v>911</v>
      </c>
      <c r="BB132" s="9">
        <v>7</v>
      </c>
      <c r="BC132" s="1" t="s">
        <v>826</v>
      </c>
      <c r="BD132" s="9" t="s">
        <v>807</v>
      </c>
      <c r="BE132" s="1" t="s">
        <v>1017</v>
      </c>
      <c r="BI132" s="20" t="s">
        <v>878</v>
      </c>
      <c r="BJ132" s="21" t="str">
        <f t="shared" si="2"/>
        <v>FIXO</v>
      </c>
    </row>
    <row r="133" spans="1:62" x14ac:dyDescent="0.25">
      <c r="A133" s="7">
        <v>4</v>
      </c>
      <c r="B133" s="1" t="s">
        <v>271</v>
      </c>
      <c r="C133" s="8">
        <v>4</v>
      </c>
      <c r="D133" s="9" t="s">
        <v>807</v>
      </c>
      <c r="E133" s="10">
        <v>3479</v>
      </c>
      <c r="F133" s="11" t="s">
        <v>1359</v>
      </c>
      <c r="G133" s="12" t="s">
        <v>271</v>
      </c>
      <c r="H133" s="13" t="str">
        <f>VLOOKUP(AP133,[1]Listas!A:B,2,0)</f>
        <v xml:space="preserve">FPAR </v>
      </c>
      <c r="I133" s="1" t="s">
        <v>296</v>
      </c>
      <c r="K133" s="12"/>
      <c r="L133" s="1" t="s">
        <v>1351</v>
      </c>
      <c r="M133" s="1" t="s">
        <v>1360</v>
      </c>
      <c r="N133" s="14">
        <v>28006</v>
      </c>
      <c r="O133" s="1" t="s">
        <v>855</v>
      </c>
      <c r="P133" s="1" t="s">
        <v>856</v>
      </c>
      <c r="Q133" s="15" t="s">
        <v>807</v>
      </c>
      <c r="R133" s="1" t="s">
        <v>857</v>
      </c>
      <c r="S133" s="1" t="s">
        <v>868</v>
      </c>
      <c r="T133" s="1" t="s">
        <v>869</v>
      </c>
      <c r="U133" s="9" t="s">
        <v>868</v>
      </c>
      <c r="V133" s="1" t="s">
        <v>913</v>
      </c>
      <c r="W133" s="1" t="s">
        <v>979</v>
      </c>
      <c r="X133" s="1" t="s">
        <v>92</v>
      </c>
      <c r="Y133" s="14">
        <v>45779</v>
      </c>
      <c r="Z133" s="9" t="s">
        <v>817</v>
      </c>
      <c r="AB133" s="14">
        <v>45574</v>
      </c>
      <c r="AC133" s="9" t="s">
        <v>817</v>
      </c>
      <c r="AD133" s="9" t="s">
        <v>818</v>
      </c>
      <c r="AE133" s="1" t="s">
        <v>819</v>
      </c>
      <c r="AF133" s="14" t="s">
        <v>820</v>
      </c>
      <c r="AG133" s="9" t="s">
        <v>821</v>
      </c>
      <c r="AH133" s="1" t="s">
        <v>9</v>
      </c>
      <c r="AI133" s="9" t="s">
        <v>10</v>
      </c>
      <c r="AJ133" s="1" t="s">
        <v>11</v>
      </c>
      <c r="AK133" s="1" t="s">
        <v>1361</v>
      </c>
      <c r="AL133" s="1" t="s">
        <v>1362</v>
      </c>
      <c r="AM133" s="9">
        <v>11206</v>
      </c>
      <c r="AN133" s="1" t="s">
        <v>1363</v>
      </c>
      <c r="AO133" s="1" t="s">
        <v>1364</v>
      </c>
      <c r="AP133" s="1" t="s">
        <v>1365</v>
      </c>
      <c r="AQ133" s="14">
        <v>45779</v>
      </c>
      <c r="AU133" s="14">
        <v>45799</v>
      </c>
      <c r="AV133" s="16">
        <v>0</v>
      </c>
      <c r="AW133" s="16">
        <v>0</v>
      </c>
      <c r="BA133" s="1" t="s">
        <v>825</v>
      </c>
      <c r="BB133" s="9">
        <v>7</v>
      </c>
      <c r="BC133" s="1" t="s">
        <v>826</v>
      </c>
      <c r="BD133" s="9" t="s">
        <v>807</v>
      </c>
      <c r="BE133" s="1" t="s">
        <v>1017</v>
      </c>
      <c r="BI133" s="20" t="s">
        <v>1073</v>
      </c>
      <c r="BJ133" s="21" t="str">
        <f t="shared" si="2"/>
        <v>FIXO</v>
      </c>
    </row>
    <row r="134" spans="1:62" x14ac:dyDescent="0.25">
      <c r="A134" s="7">
        <v>4</v>
      </c>
      <c r="B134" s="1" t="s">
        <v>271</v>
      </c>
      <c r="C134" s="8">
        <v>5</v>
      </c>
      <c r="D134" s="9" t="s">
        <v>807</v>
      </c>
      <c r="E134" s="10">
        <v>4250</v>
      </c>
      <c r="F134" s="11" t="s">
        <v>1366</v>
      </c>
      <c r="G134" s="12" t="s">
        <v>71</v>
      </c>
      <c r="H134" s="13" t="str">
        <f>VLOOKUP(AP134,[1]Listas!A:B,2,0)</f>
        <v xml:space="preserve">FESP </v>
      </c>
      <c r="I134" s="1" t="s">
        <v>27</v>
      </c>
      <c r="K134" s="1" t="s">
        <v>248</v>
      </c>
      <c r="L134" s="12"/>
      <c r="M134" s="1" t="s">
        <v>277</v>
      </c>
      <c r="N134" s="14">
        <v>30690</v>
      </c>
      <c r="O134" s="1" t="s">
        <v>809</v>
      </c>
      <c r="P134" s="1" t="s">
        <v>810</v>
      </c>
      <c r="Q134" s="15" t="s">
        <v>807</v>
      </c>
      <c r="R134" s="1" t="s">
        <v>857</v>
      </c>
      <c r="S134" s="1" t="s">
        <v>868</v>
      </c>
      <c r="T134" s="1" t="s">
        <v>869</v>
      </c>
      <c r="U134" s="9" t="s">
        <v>814</v>
      </c>
      <c r="V134" s="1" t="s">
        <v>815</v>
      </c>
      <c r="W134" s="1" t="s">
        <v>1062</v>
      </c>
      <c r="X134" s="1" t="s">
        <v>132</v>
      </c>
      <c r="Y134" s="14">
        <v>45677</v>
      </c>
      <c r="Z134" s="9" t="s">
        <v>817</v>
      </c>
      <c r="AB134" s="14">
        <v>45671</v>
      </c>
      <c r="AC134" s="9" t="s">
        <v>817</v>
      </c>
      <c r="AD134" s="9" t="s">
        <v>818</v>
      </c>
      <c r="AE134" s="1" t="s">
        <v>819</v>
      </c>
      <c r="AF134" s="14" t="s">
        <v>820</v>
      </c>
      <c r="AG134" s="9" t="s">
        <v>821</v>
      </c>
      <c r="AH134" s="1" t="s">
        <v>9</v>
      </c>
      <c r="AI134" s="9" t="s">
        <v>10</v>
      </c>
      <c r="AJ134" s="1" t="s">
        <v>11</v>
      </c>
      <c r="AK134" s="1" t="s">
        <v>1367</v>
      </c>
      <c r="AL134" s="1" t="s">
        <v>1368</v>
      </c>
      <c r="AM134" s="9">
        <v>11353</v>
      </c>
      <c r="AN134" s="1" t="s">
        <v>278</v>
      </c>
      <c r="AO134" s="1" t="s">
        <v>279</v>
      </c>
      <c r="AP134" s="1" t="s">
        <v>1369</v>
      </c>
      <c r="AQ134" s="14">
        <v>45677</v>
      </c>
      <c r="AU134" s="14">
        <v>45799</v>
      </c>
      <c r="AV134" s="16">
        <v>0</v>
      </c>
      <c r="AW134" s="16">
        <v>0</v>
      </c>
      <c r="BA134" s="1" t="s">
        <v>911</v>
      </c>
      <c r="BB134" s="9">
        <v>34</v>
      </c>
      <c r="BC134" s="1" t="s">
        <v>1370</v>
      </c>
      <c r="BD134" s="9" t="s">
        <v>807</v>
      </c>
      <c r="BE134" s="1" t="s">
        <v>850</v>
      </c>
      <c r="BF134" s="1" t="s">
        <v>27</v>
      </c>
      <c r="BG134" s="1" t="s">
        <v>851</v>
      </c>
      <c r="BH134" s="1" t="s">
        <v>852</v>
      </c>
      <c r="BI134" s="20" t="s">
        <v>853</v>
      </c>
      <c r="BJ134" s="21" t="str">
        <f t="shared" si="2"/>
        <v>FIXO</v>
      </c>
    </row>
    <row r="135" spans="1:62" x14ac:dyDescent="0.25">
      <c r="A135" s="7">
        <v>4</v>
      </c>
      <c r="B135" s="1" t="s">
        <v>271</v>
      </c>
      <c r="C135" s="8">
        <v>4</v>
      </c>
      <c r="D135" s="9" t="s">
        <v>807</v>
      </c>
      <c r="E135" s="10">
        <v>4542</v>
      </c>
      <c r="F135" s="11" t="s">
        <v>1371</v>
      </c>
      <c r="G135" s="12" t="s">
        <v>271</v>
      </c>
      <c r="H135" s="13" t="str">
        <f>VLOOKUP(AP135,[1]Listas!A:B,2,0)</f>
        <v xml:space="preserve">FPAR </v>
      </c>
      <c r="I135" s="1" t="s">
        <v>296</v>
      </c>
      <c r="K135" s="12" t="s">
        <v>1327</v>
      </c>
      <c r="L135" s="12"/>
      <c r="M135" s="1" t="s">
        <v>1372</v>
      </c>
      <c r="N135" s="14">
        <v>31849</v>
      </c>
      <c r="O135" s="1" t="s">
        <v>855</v>
      </c>
      <c r="P135" s="1" t="s">
        <v>856</v>
      </c>
      <c r="Q135" s="15" t="s">
        <v>807</v>
      </c>
      <c r="R135" s="1" t="s">
        <v>857</v>
      </c>
      <c r="S135" s="1" t="s">
        <v>1017</v>
      </c>
      <c r="U135" s="9" t="s">
        <v>880</v>
      </c>
      <c r="V135" s="1" t="s">
        <v>881</v>
      </c>
      <c r="W135" s="1" t="s">
        <v>871</v>
      </c>
      <c r="X135" s="1" t="s">
        <v>34</v>
      </c>
      <c r="Y135" s="14">
        <v>45353</v>
      </c>
      <c r="Z135" s="9" t="s">
        <v>817</v>
      </c>
      <c r="AB135" s="14">
        <v>42894</v>
      </c>
      <c r="AC135" s="9" t="s">
        <v>817</v>
      </c>
      <c r="AD135" s="9" t="s">
        <v>818</v>
      </c>
      <c r="AE135" s="1" t="s">
        <v>819</v>
      </c>
      <c r="AF135" s="14">
        <v>45894</v>
      </c>
      <c r="AG135" s="9" t="s">
        <v>821</v>
      </c>
      <c r="AH135" s="1" t="s">
        <v>9</v>
      </c>
      <c r="AI135" s="9" t="s">
        <v>179</v>
      </c>
      <c r="AJ135" s="1" t="s">
        <v>180</v>
      </c>
      <c r="AK135" s="1" t="s">
        <v>1329</v>
      </c>
      <c r="AL135" s="1" t="s">
        <v>1330</v>
      </c>
      <c r="AM135" s="9">
        <v>11270</v>
      </c>
      <c r="AN135" s="1" t="s">
        <v>272</v>
      </c>
      <c r="AO135" s="1" t="s">
        <v>273</v>
      </c>
      <c r="AP135" s="1" t="s">
        <v>1331</v>
      </c>
      <c r="AQ135" s="14">
        <v>45658</v>
      </c>
      <c r="AU135" s="14">
        <v>45799</v>
      </c>
      <c r="AV135" s="16">
        <v>0</v>
      </c>
      <c r="AW135" s="16">
        <v>0</v>
      </c>
      <c r="BA135" s="1" t="s">
        <v>825</v>
      </c>
      <c r="BB135" s="9">
        <v>7</v>
      </c>
      <c r="BC135" s="1" t="s">
        <v>826</v>
      </c>
      <c r="BD135" s="9" t="s">
        <v>807</v>
      </c>
      <c r="BE135" s="1" t="s">
        <v>1017</v>
      </c>
      <c r="BI135" s="20" t="s">
        <v>1118</v>
      </c>
      <c r="BJ135" s="21" t="str">
        <f t="shared" si="2"/>
        <v>FIXO</v>
      </c>
    </row>
    <row r="136" spans="1:62" x14ac:dyDescent="0.25">
      <c r="A136" s="7">
        <v>4</v>
      </c>
      <c r="B136" s="1" t="s">
        <v>271</v>
      </c>
      <c r="C136" s="8">
        <v>7</v>
      </c>
      <c r="D136" s="9" t="s">
        <v>807</v>
      </c>
      <c r="E136" s="10">
        <v>8011</v>
      </c>
      <c r="F136" s="11" t="s">
        <v>1373</v>
      </c>
      <c r="G136" s="1" t="s">
        <v>271</v>
      </c>
      <c r="H136" s="13" t="str">
        <f>VLOOKUP(AP136,[1]Listas!A:B,2,0)</f>
        <v xml:space="preserve">FBAG </v>
      </c>
      <c r="I136" s="12"/>
      <c r="K136" s="12"/>
      <c r="L136" s="12"/>
      <c r="M136" s="1" t="s">
        <v>280</v>
      </c>
      <c r="N136" s="14">
        <v>35171</v>
      </c>
      <c r="O136" s="1" t="s">
        <v>855</v>
      </c>
      <c r="P136" s="1" t="s">
        <v>856</v>
      </c>
      <c r="Q136" s="15" t="s">
        <v>807</v>
      </c>
      <c r="R136" s="1" t="s">
        <v>857</v>
      </c>
      <c r="S136" s="1" t="s">
        <v>807</v>
      </c>
      <c r="T136" s="1" t="s">
        <v>813</v>
      </c>
      <c r="U136" s="9" t="s">
        <v>814</v>
      </c>
      <c r="V136" s="1" t="s">
        <v>815</v>
      </c>
      <c r="W136" s="1" t="s">
        <v>1374</v>
      </c>
      <c r="X136" s="1" t="s">
        <v>281</v>
      </c>
      <c r="Y136" s="14">
        <v>45901</v>
      </c>
      <c r="Z136" s="9" t="s">
        <v>817</v>
      </c>
      <c r="AB136" s="14">
        <v>43292</v>
      </c>
      <c r="AC136" s="9" t="s">
        <v>817</v>
      </c>
      <c r="AD136" s="9" t="s">
        <v>818</v>
      </c>
      <c r="AE136" s="1" t="s">
        <v>819</v>
      </c>
      <c r="AF136" s="14" t="s">
        <v>820</v>
      </c>
      <c r="AG136" s="9" t="s">
        <v>835</v>
      </c>
      <c r="AH136" s="1" t="s">
        <v>17</v>
      </c>
      <c r="AI136" s="9" t="s">
        <v>10</v>
      </c>
      <c r="AJ136" s="1" t="s">
        <v>11</v>
      </c>
      <c r="AK136" s="1" t="s">
        <v>1375</v>
      </c>
      <c r="AL136" s="1" t="s">
        <v>1376</v>
      </c>
      <c r="AM136" s="9">
        <v>11524</v>
      </c>
      <c r="AN136" s="1" t="s">
        <v>40</v>
      </c>
      <c r="AO136" s="1" t="s">
        <v>282</v>
      </c>
      <c r="AP136" s="1" t="s">
        <v>1377</v>
      </c>
      <c r="AQ136" s="14">
        <v>45658</v>
      </c>
      <c r="AU136" s="14">
        <v>45901</v>
      </c>
      <c r="AV136" s="16">
        <v>0</v>
      </c>
      <c r="AW136" s="16">
        <v>0</v>
      </c>
      <c r="BA136" s="1" t="s">
        <v>825</v>
      </c>
      <c r="BB136" s="9">
        <v>1</v>
      </c>
      <c r="BC136" s="1" t="s">
        <v>862</v>
      </c>
      <c r="BD136" s="9" t="s">
        <v>807</v>
      </c>
      <c r="BE136" s="1" t="s">
        <v>1378</v>
      </c>
      <c r="BF136" s="1" t="s">
        <v>271</v>
      </c>
      <c r="BG136" s="1" t="s">
        <v>1379</v>
      </c>
      <c r="BH136" s="1" t="s">
        <v>1380</v>
      </c>
      <c r="BI136" s="1" t="s">
        <v>888</v>
      </c>
      <c r="BJ136" s="21" t="str">
        <f t="shared" si="2"/>
        <v>FIXO</v>
      </c>
    </row>
    <row r="137" spans="1:62" x14ac:dyDescent="0.25">
      <c r="A137" s="7">
        <v>4</v>
      </c>
      <c r="B137" s="1" t="s">
        <v>271</v>
      </c>
      <c r="C137" s="8">
        <v>7</v>
      </c>
      <c r="D137" s="9" t="s">
        <v>807</v>
      </c>
      <c r="E137" s="10">
        <v>10110</v>
      </c>
      <c r="F137" s="11" t="s">
        <v>1381</v>
      </c>
      <c r="G137" s="1" t="s">
        <v>271</v>
      </c>
      <c r="H137" s="13" t="str">
        <f>VLOOKUP(AP137,[1]Listas!A:B,2,0)</f>
        <v xml:space="preserve">FBAG </v>
      </c>
      <c r="I137" s="1" t="s">
        <v>280</v>
      </c>
      <c r="K137" s="1" t="s">
        <v>280</v>
      </c>
      <c r="L137" s="12"/>
      <c r="M137" s="1" t="s">
        <v>283</v>
      </c>
      <c r="N137" s="14">
        <v>35734</v>
      </c>
      <c r="O137" s="1" t="s">
        <v>855</v>
      </c>
      <c r="P137" s="1" t="s">
        <v>856</v>
      </c>
      <c r="Q137" s="15" t="s">
        <v>811</v>
      </c>
      <c r="R137" s="1" t="s">
        <v>812</v>
      </c>
      <c r="S137" s="1" t="s">
        <v>868</v>
      </c>
      <c r="T137" s="1" t="s">
        <v>869</v>
      </c>
      <c r="U137" s="9" t="s">
        <v>868</v>
      </c>
      <c r="V137" s="1" t="s">
        <v>913</v>
      </c>
      <c r="W137" s="1" t="s">
        <v>871</v>
      </c>
      <c r="X137" s="1" t="s">
        <v>34</v>
      </c>
      <c r="Y137" s="14">
        <v>45902</v>
      </c>
      <c r="Z137" s="9" t="s">
        <v>817</v>
      </c>
      <c r="AB137" s="14">
        <v>45902</v>
      </c>
      <c r="AC137" s="9" t="s">
        <v>817</v>
      </c>
      <c r="AD137" s="9" t="s">
        <v>818</v>
      </c>
      <c r="AE137" s="1" t="s">
        <v>819</v>
      </c>
      <c r="AF137" s="14" t="s">
        <v>820</v>
      </c>
      <c r="AG137" s="9" t="s">
        <v>821</v>
      </c>
      <c r="AH137" s="1" t="s">
        <v>9</v>
      </c>
      <c r="AI137" s="9" t="s">
        <v>10</v>
      </c>
      <c r="AJ137" s="1" t="s">
        <v>11</v>
      </c>
      <c r="AK137" s="1" t="s">
        <v>1382</v>
      </c>
      <c r="AL137" s="1" t="s">
        <v>1383</v>
      </c>
      <c r="AM137" s="9">
        <v>11543</v>
      </c>
      <c r="AN137" s="1" t="s">
        <v>114</v>
      </c>
      <c r="AO137" s="1" t="s">
        <v>284</v>
      </c>
      <c r="AP137" s="1" t="s">
        <v>1384</v>
      </c>
      <c r="AQ137" s="14">
        <v>45902</v>
      </c>
      <c r="AU137" s="14">
        <v>45902</v>
      </c>
      <c r="AV137" s="16">
        <v>0</v>
      </c>
      <c r="AW137" s="16">
        <v>0</v>
      </c>
      <c r="BA137" s="1" t="s">
        <v>911</v>
      </c>
      <c r="BB137" s="9">
        <v>38</v>
      </c>
      <c r="BC137" s="1" t="s">
        <v>1297</v>
      </c>
      <c r="BD137" s="9" t="s">
        <v>807</v>
      </c>
      <c r="BE137" s="1" t="s">
        <v>1385</v>
      </c>
      <c r="BF137" s="1" t="s">
        <v>280</v>
      </c>
      <c r="BG137" s="1" t="s">
        <v>1375</v>
      </c>
      <c r="BH137" s="1" t="s">
        <v>1376</v>
      </c>
      <c r="BI137" s="1" t="s">
        <v>866</v>
      </c>
      <c r="BJ137" s="21" t="str">
        <f t="shared" si="2"/>
        <v>FIXO</v>
      </c>
    </row>
    <row r="138" spans="1:62" x14ac:dyDescent="0.25">
      <c r="A138" s="7">
        <v>4</v>
      </c>
      <c r="B138" s="1" t="s">
        <v>271</v>
      </c>
      <c r="C138" s="8">
        <v>7</v>
      </c>
      <c r="D138" s="9" t="s">
        <v>807</v>
      </c>
      <c r="E138" s="10">
        <v>12063</v>
      </c>
      <c r="F138" s="11" t="s">
        <v>1386</v>
      </c>
      <c r="G138" s="1" t="s">
        <v>271</v>
      </c>
      <c r="H138" s="13" t="str">
        <f>VLOOKUP(AP138,[1]Listas!A:B,2,0)</f>
        <v xml:space="preserve">FBAG </v>
      </c>
      <c r="I138" s="1" t="s">
        <v>280</v>
      </c>
      <c r="K138" s="1"/>
      <c r="L138" s="12"/>
      <c r="M138" s="1" t="s">
        <v>285</v>
      </c>
      <c r="N138" s="14">
        <v>35562</v>
      </c>
      <c r="O138" s="1" t="s">
        <v>855</v>
      </c>
      <c r="P138" s="1" t="s">
        <v>856</v>
      </c>
      <c r="Q138" s="15" t="s">
        <v>807</v>
      </c>
      <c r="R138" s="1" t="s">
        <v>857</v>
      </c>
      <c r="S138" s="1" t="s">
        <v>868</v>
      </c>
      <c r="T138" s="1" t="s">
        <v>869</v>
      </c>
      <c r="U138" s="9" t="s">
        <v>814</v>
      </c>
      <c r="V138" s="1" t="s">
        <v>815</v>
      </c>
      <c r="W138" s="1" t="s">
        <v>1387</v>
      </c>
      <c r="X138" s="1" t="s">
        <v>286</v>
      </c>
      <c r="Y138" s="14">
        <v>45799</v>
      </c>
      <c r="Z138" s="9" t="s">
        <v>817</v>
      </c>
      <c r="AB138" s="14">
        <v>44183</v>
      </c>
      <c r="AC138" s="9" t="s">
        <v>817</v>
      </c>
      <c r="AD138" s="9" t="s">
        <v>818</v>
      </c>
      <c r="AE138" s="1" t="s">
        <v>819</v>
      </c>
      <c r="AF138" s="14">
        <v>45908</v>
      </c>
      <c r="AG138" s="9" t="s">
        <v>835</v>
      </c>
      <c r="AH138" s="1" t="s">
        <v>17</v>
      </c>
      <c r="AI138" s="9" t="s">
        <v>179</v>
      </c>
      <c r="AJ138" s="1" t="s">
        <v>180</v>
      </c>
      <c r="AK138" s="1" t="s">
        <v>1388</v>
      </c>
      <c r="AL138" s="1" t="s">
        <v>1389</v>
      </c>
      <c r="AM138" s="9">
        <v>11563</v>
      </c>
      <c r="AN138" s="1" t="s">
        <v>287</v>
      </c>
      <c r="AO138" s="1" t="s">
        <v>288</v>
      </c>
      <c r="AP138" s="1" t="s">
        <v>1390</v>
      </c>
      <c r="AQ138" s="14">
        <v>45658</v>
      </c>
      <c r="AU138" s="14">
        <v>45799</v>
      </c>
      <c r="AV138" s="16">
        <v>0</v>
      </c>
      <c r="AW138" s="16">
        <v>0</v>
      </c>
      <c r="BA138" s="1" t="s">
        <v>911</v>
      </c>
      <c r="BB138" s="9">
        <v>1</v>
      </c>
      <c r="BC138" s="1" t="s">
        <v>862</v>
      </c>
      <c r="BD138" s="9" t="s">
        <v>807</v>
      </c>
      <c r="BE138" s="1" t="s">
        <v>1385</v>
      </c>
      <c r="BF138" s="1" t="s">
        <v>280</v>
      </c>
      <c r="BG138" s="1" t="s">
        <v>1375</v>
      </c>
      <c r="BH138" s="1" t="s">
        <v>1376</v>
      </c>
      <c r="BI138" s="1" t="s">
        <v>1073</v>
      </c>
      <c r="BJ138" s="21" t="str">
        <f t="shared" si="2"/>
        <v>FIXO</v>
      </c>
    </row>
    <row r="139" spans="1:62" x14ac:dyDescent="0.25">
      <c r="A139" s="7">
        <v>4</v>
      </c>
      <c r="B139" s="1" t="s">
        <v>271</v>
      </c>
      <c r="C139" s="8">
        <v>5</v>
      </c>
      <c r="D139" s="9" t="s">
        <v>807</v>
      </c>
      <c r="E139" s="10">
        <v>12120</v>
      </c>
      <c r="F139" s="11" t="s">
        <v>1391</v>
      </c>
      <c r="G139" s="1" t="s">
        <v>41</v>
      </c>
      <c r="H139" s="13" t="str">
        <f>VLOOKUP(AP139,[1]Listas!A:B,2,0)</f>
        <v xml:space="preserve">FESP </v>
      </c>
      <c r="I139" s="1" t="s">
        <v>38</v>
      </c>
      <c r="K139" s="12"/>
      <c r="L139" s="1" t="s">
        <v>38</v>
      </c>
      <c r="M139" s="1" t="s">
        <v>289</v>
      </c>
      <c r="N139" s="14">
        <v>28434</v>
      </c>
      <c r="O139" s="1" t="s">
        <v>855</v>
      </c>
      <c r="P139" s="1" t="s">
        <v>856</v>
      </c>
      <c r="Q139" s="15" t="s">
        <v>807</v>
      </c>
      <c r="R139" s="1" t="s">
        <v>857</v>
      </c>
      <c r="S139" s="1" t="s">
        <v>811</v>
      </c>
      <c r="T139" s="1" t="s">
        <v>906</v>
      </c>
      <c r="U139" s="9" t="s">
        <v>811</v>
      </c>
      <c r="V139" s="1" t="s">
        <v>870</v>
      </c>
      <c r="W139" s="1" t="s">
        <v>979</v>
      </c>
      <c r="X139" s="1" t="s">
        <v>92</v>
      </c>
      <c r="Y139" s="14">
        <v>45778</v>
      </c>
      <c r="Z139" s="9" t="s">
        <v>817</v>
      </c>
      <c r="AB139" s="14">
        <v>44340</v>
      </c>
      <c r="AC139" s="9" t="s">
        <v>817</v>
      </c>
      <c r="AD139" s="9" t="s">
        <v>818</v>
      </c>
      <c r="AE139" s="1" t="s">
        <v>819</v>
      </c>
      <c r="AF139" s="14" t="s">
        <v>820</v>
      </c>
      <c r="AG139" s="9" t="s">
        <v>821</v>
      </c>
      <c r="AH139" s="1" t="s">
        <v>9</v>
      </c>
      <c r="AI139" s="9" t="s">
        <v>10</v>
      </c>
      <c r="AJ139" s="1" t="s">
        <v>11</v>
      </c>
      <c r="AK139" s="1" t="s">
        <v>1392</v>
      </c>
      <c r="AL139" s="1" t="s">
        <v>1393</v>
      </c>
      <c r="AM139" s="9">
        <v>11388</v>
      </c>
      <c r="AN139" s="1" t="s">
        <v>290</v>
      </c>
      <c r="AO139" s="1" t="s">
        <v>94</v>
      </c>
      <c r="AP139" s="1" t="s">
        <v>982</v>
      </c>
      <c r="AQ139" s="14">
        <v>45778</v>
      </c>
      <c r="AU139" s="14">
        <v>45799</v>
      </c>
      <c r="AV139" s="16">
        <v>0</v>
      </c>
      <c r="AW139" s="16">
        <v>0</v>
      </c>
      <c r="BA139" s="1" t="s">
        <v>911</v>
      </c>
      <c r="BB139" s="9">
        <v>1</v>
      </c>
      <c r="BC139" s="1" t="s">
        <v>862</v>
      </c>
      <c r="BD139" s="9" t="s">
        <v>807</v>
      </c>
      <c r="BE139" s="1" t="s">
        <v>893</v>
      </c>
      <c r="BF139" s="1" t="s">
        <v>38</v>
      </c>
      <c r="BG139" s="1" t="s">
        <v>883</v>
      </c>
      <c r="BH139" s="1" t="s">
        <v>884</v>
      </c>
      <c r="BI139" s="20" t="s">
        <v>983</v>
      </c>
      <c r="BJ139" s="21" t="str">
        <f t="shared" si="2"/>
        <v>FIXO</v>
      </c>
    </row>
    <row r="140" spans="1:62" x14ac:dyDescent="0.25">
      <c r="A140" s="7">
        <v>4</v>
      </c>
      <c r="B140" s="1" t="s">
        <v>271</v>
      </c>
      <c r="C140" s="8">
        <v>5</v>
      </c>
      <c r="D140" s="9" t="s">
        <v>807</v>
      </c>
      <c r="E140" s="10">
        <v>13202</v>
      </c>
      <c r="F140" s="11" t="s">
        <v>1394</v>
      </c>
      <c r="G140" s="1" t="s">
        <v>41</v>
      </c>
      <c r="H140" s="13" t="str">
        <f>VLOOKUP(AP140,[1]Listas!A:B,2,0)</f>
        <v xml:space="preserve">FESP </v>
      </c>
      <c r="I140" s="1" t="s">
        <v>38</v>
      </c>
      <c r="K140" s="12"/>
      <c r="L140" s="1" t="s">
        <v>38</v>
      </c>
      <c r="M140" s="1" t="s">
        <v>291</v>
      </c>
      <c r="N140" s="14">
        <v>28636</v>
      </c>
      <c r="O140" s="1" t="s">
        <v>855</v>
      </c>
      <c r="P140" s="1" t="s">
        <v>856</v>
      </c>
      <c r="Q140" s="15" t="s">
        <v>811</v>
      </c>
      <c r="R140" s="1" t="s">
        <v>812</v>
      </c>
      <c r="S140" s="1" t="s">
        <v>811</v>
      </c>
      <c r="T140" s="1" t="s">
        <v>906</v>
      </c>
      <c r="U140" s="9" t="s">
        <v>868</v>
      </c>
      <c r="V140" s="1" t="s">
        <v>913</v>
      </c>
      <c r="W140" s="1" t="s">
        <v>979</v>
      </c>
      <c r="X140" s="1" t="s">
        <v>92</v>
      </c>
      <c r="Y140" s="14">
        <v>45778</v>
      </c>
      <c r="Z140" s="9" t="s">
        <v>817</v>
      </c>
      <c r="AB140" s="14">
        <v>44518</v>
      </c>
      <c r="AC140" s="9" t="s">
        <v>817</v>
      </c>
      <c r="AD140" s="9" t="s">
        <v>818</v>
      </c>
      <c r="AE140" s="1" t="s">
        <v>819</v>
      </c>
      <c r="AF140" s="14" t="s">
        <v>820</v>
      </c>
      <c r="AG140" s="9" t="s">
        <v>821</v>
      </c>
      <c r="AH140" s="1" t="s">
        <v>9</v>
      </c>
      <c r="AI140" s="9" t="s">
        <v>10</v>
      </c>
      <c r="AJ140" s="1" t="s">
        <v>11</v>
      </c>
      <c r="AK140" s="1" t="s">
        <v>1395</v>
      </c>
      <c r="AL140" s="1" t="s">
        <v>981</v>
      </c>
      <c r="AM140" s="9">
        <v>11387</v>
      </c>
      <c r="AN140" s="1" t="s">
        <v>93</v>
      </c>
      <c r="AO140" s="1" t="s">
        <v>94</v>
      </c>
      <c r="AP140" s="1" t="s">
        <v>982</v>
      </c>
      <c r="AQ140" s="14">
        <v>45778</v>
      </c>
      <c r="AU140" s="14">
        <v>45799</v>
      </c>
      <c r="AV140" s="16">
        <v>0</v>
      </c>
      <c r="AW140" s="16">
        <v>0</v>
      </c>
      <c r="BA140" s="1" t="s">
        <v>911</v>
      </c>
      <c r="BB140" s="9">
        <v>1</v>
      </c>
      <c r="BC140" s="1" t="s">
        <v>862</v>
      </c>
      <c r="BD140" s="9" t="s">
        <v>807</v>
      </c>
      <c r="BE140" s="1" t="s">
        <v>893</v>
      </c>
      <c r="BF140" s="1" t="s">
        <v>38</v>
      </c>
      <c r="BG140" s="1" t="s">
        <v>883</v>
      </c>
      <c r="BH140" s="1" t="s">
        <v>884</v>
      </c>
      <c r="BI140" s="20" t="s">
        <v>983</v>
      </c>
      <c r="BJ140" s="21" t="str">
        <f t="shared" si="2"/>
        <v>FIXO</v>
      </c>
    </row>
    <row r="141" spans="1:62" x14ac:dyDescent="0.25">
      <c r="A141" s="7">
        <v>4</v>
      </c>
      <c r="B141" s="1" t="s">
        <v>271</v>
      </c>
      <c r="C141" s="8">
        <v>4</v>
      </c>
      <c r="D141" s="9" t="s">
        <v>807</v>
      </c>
      <c r="E141" s="10">
        <v>13392</v>
      </c>
      <c r="F141" s="11" t="s">
        <v>1396</v>
      </c>
      <c r="G141" s="12" t="s">
        <v>271</v>
      </c>
      <c r="H141" s="13" t="str">
        <f>VLOOKUP(AP141,[1]Listas!A:B,2,0)</f>
        <v xml:space="preserve">FPAR </v>
      </c>
      <c r="I141" s="1" t="s">
        <v>296</v>
      </c>
      <c r="K141" s="12"/>
      <c r="L141" s="12"/>
      <c r="M141" s="1" t="s">
        <v>1340</v>
      </c>
      <c r="N141" s="14">
        <v>35320</v>
      </c>
      <c r="O141" s="1" t="s">
        <v>855</v>
      </c>
      <c r="P141" s="1" t="s">
        <v>856</v>
      </c>
      <c r="Q141" s="15" t="s">
        <v>807</v>
      </c>
      <c r="R141" s="1" t="s">
        <v>857</v>
      </c>
      <c r="S141" s="1" t="s">
        <v>1017</v>
      </c>
      <c r="U141" s="9" t="s">
        <v>880</v>
      </c>
      <c r="V141" s="1" t="s">
        <v>881</v>
      </c>
      <c r="W141" s="1" t="s">
        <v>858</v>
      </c>
      <c r="X141" s="1" t="s">
        <v>29</v>
      </c>
      <c r="Y141" s="14">
        <v>45860</v>
      </c>
      <c r="Z141" s="9" t="s">
        <v>817</v>
      </c>
      <c r="AB141" s="14">
        <v>44782</v>
      </c>
      <c r="AC141" s="9" t="s">
        <v>817</v>
      </c>
      <c r="AD141" s="9" t="s">
        <v>818</v>
      </c>
      <c r="AE141" s="1" t="s">
        <v>819</v>
      </c>
      <c r="AF141" s="14" t="s">
        <v>820</v>
      </c>
      <c r="AG141" s="9" t="s">
        <v>821</v>
      </c>
      <c r="AH141" s="1" t="s">
        <v>9</v>
      </c>
      <c r="AI141" s="9" t="s">
        <v>10</v>
      </c>
      <c r="AJ141" s="1" t="s">
        <v>11</v>
      </c>
      <c r="AK141" s="1" t="s">
        <v>1397</v>
      </c>
      <c r="AL141" s="1" t="s">
        <v>1398</v>
      </c>
      <c r="AM141" s="9">
        <v>11224</v>
      </c>
      <c r="AN141" s="1" t="s">
        <v>40</v>
      </c>
      <c r="AO141" s="1" t="s">
        <v>292</v>
      </c>
      <c r="AP141" s="1" t="s">
        <v>1399</v>
      </c>
      <c r="AQ141" s="14">
        <v>45860</v>
      </c>
      <c r="AU141" s="14">
        <v>45860</v>
      </c>
      <c r="AV141" s="16">
        <v>0</v>
      </c>
      <c r="AW141" s="16">
        <v>0</v>
      </c>
      <c r="BA141" s="1" t="s">
        <v>911</v>
      </c>
      <c r="BB141" s="9">
        <v>7</v>
      </c>
      <c r="BC141" s="1" t="s">
        <v>826</v>
      </c>
      <c r="BD141" s="9" t="s">
        <v>807</v>
      </c>
      <c r="BE141" s="1" t="s">
        <v>1017</v>
      </c>
      <c r="BI141" s="20" t="s">
        <v>916</v>
      </c>
      <c r="BJ141" s="21" t="str">
        <f t="shared" si="2"/>
        <v>FIXO</v>
      </c>
    </row>
    <row r="142" spans="1:62" x14ac:dyDescent="0.25">
      <c r="A142" s="7">
        <v>4</v>
      </c>
      <c r="B142" s="1" t="s">
        <v>271</v>
      </c>
      <c r="C142" s="8">
        <v>7</v>
      </c>
      <c r="D142" s="9" t="s">
        <v>807</v>
      </c>
      <c r="E142" s="10">
        <v>13849</v>
      </c>
      <c r="F142" s="11" t="s">
        <v>1400</v>
      </c>
      <c r="G142" s="1" t="s">
        <v>271</v>
      </c>
      <c r="H142" s="13" t="str">
        <f>VLOOKUP(AP142,[1]Listas!A:B,2,0)</f>
        <v xml:space="preserve">FBAG </v>
      </c>
      <c r="I142" s="1" t="s">
        <v>280</v>
      </c>
      <c r="K142" s="12"/>
      <c r="L142" s="12"/>
      <c r="M142" s="1" t="s">
        <v>1401</v>
      </c>
      <c r="N142" s="14">
        <v>33755</v>
      </c>
      <c r="O142" s="1" t="s">
        <v>855</v>
      </c>
      <c r="P142" s="1" t="s">
        <v>856</v>
      </c>
      <c r="Q142" s="15" t="s">
        <v>807</v>
      </c>
      <c r="R142" s="1" t="s">
        <v>857</v>
      </c>
      <c r="S142" s="1" t="s">
        <v>868</v>
      </c>
      <c r="T142" s="1" t="s">
        <v>869</v>
      </c>
      <c r="U142" s="9" t="s">
        <v>951</v>
      </c>
      <c r="V142" s="1" t="s">
        <v>952</v>
      </c>
      <c r="W142" s="1" t="s">
        <v>871</v>
      </c>
      <c r="X142" s="1" t="s">
        <v>34</v>
      </c>
      <c r="Y142" s="14">
        <v>44699</v>
      </c>
      <c r="Z142" s="9" t="s">
        <v>817</v>
      </c>
      <c r="AB142" s="14">
        <v>44698</v>
      </c>
      <c r="AC142" s="9" t="s">
        <v>817</v>
      </c>
      <c r="AD142" s="9" t="s">
        <v>818</v>
      </c>
      <c r="AE142" s="1" t="s">
        <v>819</v>
      </c>
      <c r="AF142" s="14" t="s">
        <v>820</v>
      </c>
      <c r="AG142" s="9" t="s">
        <v>821</v>
      </c>
      <c r="AH142" s="1" t="s">
        <v>9</v>
      </c>
      <c r="AI142" s="9" t="s">
        <v>10</v>
      </c>
      <c r="AJ142" s="1" t="s">
        <v>11</v>
      </c>
      <c r="AK142" s="1" t="s">
        <v>1402</v>
      </c>
      <c r="AL142" s="1" t="s">
        <v>1403</v>
      </c>
      <c r="AM142" s="9">
        <v>11571</v>
      </c>
      <c r="AN142" s="1" t="s">
        <v>293</v>
      </c>
      <c r="AO142" s="1" t="s">
        <v>284</v>
      </c>
      <c r="AP142" s="1" t="s">
        <v>1384</v>
      </c>
      <c r="AQ142" s="14">
        <v>45658</v>
      </c>
      <c r="AU142" s="14">
        <v>45799</v>
      </c>
      <c r="AV142" s="16">
        <v>0</v>
      </c>
      <c r="AW142" s="16">
        <v>0</v>
      </c>
      <c r="BA142" s="1" t="s">
        <v>911</v>
      </c>
      <c r="BB142" s="9">
        <v>7</v>
      </c>
      <c r="BC142" s="1" t="s">
        <v>826</v>
      </c>
      <c r="BD142" s="9" t="s">
        <v>807</v>
      </c>
      <c r="BE142" s="1" t="s">
        <v>1017</v>
      </c>
      <c r="BI142" s="1" t="s">
        <v>878</v>
      </c>
      <c r="BJ142" s="21" t="str">
        <f t="shared" si="2"/>
        <v>FIXO</v>
      </c>
    </row>
    <row r="143" spans="1:62" x14ac:dyDescent="0.25">
      <c r="A143" s="7">
        <v>4</v>
      </c>
      <c r="B143" s="1" t="s">
        <v>271</v>
      </c>
      <c r="C143" s="8">
        <v>4</v>
      </c>
      <c r="D143" s="9" t="s">
        <v>807</v>
      </c>
      <c r="E143" s="10">
        <v>13942</v>
      </c>
      <c r="F143" s="11" t="s">
        <v>1404</v>
      </c>
      <c r="G143" s="12" t="s">
        <v>271</v>
      </c>
      <c r="H143" s="13" t="str">
        <f>VLOOKUP(AP143,[1]Listas!A:B,2,0)</f>
        <v xml:space="preserve">FPAR </v>
      </c>
      <c r="I143" s="1" t="s">
        <v>296</v>
      </c>
      <c r="K143" s="12"/>
      <c r="L143" s="1" t="s">
        <v>1351</v>
      </c>
      <c r="M143" s="1" t="s">
        <v>1405</v>
      </c>
      <c r="N143" s="14">
        <v>29750</v>
      </c>
      <c r="O143" s="1" t="s">
        <v>855</v>
      </c>
      <c r="P143" s="1" t="s">
        <v>856</v>
      </c>
      <c r="Q143" s="15" t="s">
        <v>811</v>
      </c>
      <c r="R143" s="1" t="s">
        <v>812</v>
      </c>
      <c r="S143" s="1" t="s">
        <v>1017</v>
      </c>
      <c r="U143" s="9" t="s">
        <v>832</v>
      </c>
      <c r="V143" s="1" t="s">
        <v>833</v>
      </c>
      <c r="W143" s="1" t="s">
        <v>1406</v>
      </c>
      <c r="X143" s="1" t="s">
        <v>294</v>
      </c>
      <c r="Y143" s="14">
        <v>45374</v>
      </c>
      <c r="Z143" s="9" t="s">
        <v>817</v>
      </c>
      <c r="AB143" s="14">
        <v>44713</v>
      </c>
      <c r="AC143" s="9" t="s">
        <v>817</v>
      </c>
      <c r="AD143" s="9" t="s">
        <v>818</v>
      </c>
      <c r="AE143" s="1" t="s">
        <v>819</v>
      </c>
      <c r="AF143" s="14" t="s">
        <v>820</v>
      </c>
      <c r="AG143" s="9" t="s">
        <v>821</v>
      </c>
      <c r="AH143" s="1" t="s">
        <v>9</v>
      </c>
      <c r="AI143" s="9" t="s">
        <v>10</v>
      </c>
      <c r="AJ143" s="1" t="s">
        <v>11</v>
      </c>
      <c r="AK143" s="1" t="s">
        <v>1407</v>
      </c>
      <c r="AL143" s="1" t="s">
        <v>1408</v>
      </c>
      <c r="AM143" s="9">
        <v>11207</v>
      </c>
      <c r="AN143" s="1" t="s">
        <v>295</v>
      </c>
      <c r="AO143" s="1" t="s">
        <v>1409</v>
      </c>
      <c r="AP143" s="1" t="s">
        <v>1410</v>
      </c>
      <c r="AQ143" s="14">
        <v>45658</v>
      </c>
      <c r="AU143" s="14">
        <v>45799</v>
      </c>
      <c r="AV143" s="16">
        <v>0</v>
      </c>
      <c r="AW143" s="16">
        <v>0</v>
      </c>
      <c r="BA143" s="1" t="s">
        <v>911</v>
      </c>
      <c r="BB143" s="9">
        <v>7</v>
      </c>
      <c r="BC143" s="1" t="s">
        <v>826</v>
      </c>
      <c r="BD143" s="9" t="s">
        <v>807</v>
      </c>
      <c r="BE143" s="1" t="s">
        <v>1017</v>
      </c>
      <c r="BI143" s="20" t="s">
        <v>1073</v>
      </c>
      <c r="BJ143" s="21" t="str">
        <f t="shared" si="2"/>
        <v>FIXO</v>
      </c>
    </row>
    <row r="144" spans="1:62" x14ac:dyDescent="0.25">
      <c r="A144" s="7">
        <v>4</v>
      </c>
      <c r="B144" s="1" t="s">
        <v>271</v>
      </c>
      <c r="C144" s="8">
        <v>4</v>
      </c>
      <c r="D144" s="9" t="s">
        <v>807</v>
      </c>
      <c r="E144" s="10">
        <v>13977</v>
      </c>
      <c r="F144" s="11" t="s">
        <v>1411</v>
      </c>
      <c r="G144" s="12" t="s">
        <v>271</v>
      </c>
      <c r="H144" s="13" t="str">
        <f>VLOOKUP(AP144,[1]Listas!A:B,2,0)</f>
        <v xml:space="preserve">FPAR </v>
      </c>
      <c r="I144" s="1" t="s">
        <v>296</v>
      </c>
      <c r="K144" s="12"/>
      <c r="L144" s="1" t="s">
        <v>1340</v>
      </c>
      <c r="M144" s="1" t="s">
        <v>1412</v>
      </c>
      <c r="N144" s="14">
        <v>32771</v>
      </c>
      <c r="O144" s="1" t="s">
        <v>855</v>
      </c>
      <c r="P144" s="1" t="s">
        <v>856</v>
      </c>
      <c r="Q144" s="15" t="s">
        <v>807</v>
      </c>
      <c r="R144" s="1" t="s">
        <v>857</v>
      </c>
      <c r="S144" s="1" t="s">
        <v>1017</v>
      </c>
      <c r="U144" s="9" t="s">
        <v>814</v>
      </c>
      <c r="V144" s="1" t="s">
        <v>815</v>
      </c>
      <c r="W144" s="1" t="s">
        <v>871</v>
      </c>
      <c r="X144" s="1" t="s">
        <v>34</v>
      </c>
      <c r="Y144" s="14">
        <v>44721</v>
      </c>
      <c r="Z144" s="9" t="s">
        <v>817</v>
      </c>
      <c r="AB144" s="14">
        <v>44720</v>
      </c>
      <c r="AC144" s="9" t="s">
        <v>817</v>
      </c>
      <c r="AD144" s="9" t="s">
        <v>818</v>
      </c>
      <c r="AE144" s="1" t="s">
        <v>819</v>
      </c>
      <c r="AF144" s="14">
        <v>45894</v>
      </c>
      <c r="AG144" s="9" t="s">
        <v>821</v>
      </c>
      <c r="AH144" s="1" t="s">
        <v>9</v>
      </c>
      <c r="AI144" s="9" t="s">
        <v>179</v>
      </c>
      <c r="AJ144" s="1" t="s">
        <v>180</v>
      </c>
      <c r="AK144" s="1" t="s">
        <v>1342</v>
      </c>
      <c r="AL144" s="1" t="s">
        <v>1343</v>
      </c>
      <c r="AM144" s="9">
        <v>11271</v>
      </c>
      <c r="AN144" s="1" t="s">
        <v>276</v>
      </c>
      <c r="AO144" s="1" t="s">
        <v>273</v>
      </c>
      <c r="AP144" s="1" t="s">
        <v>1331</v>
      </c>
      <c r="AQ144" s="14">
        <v>45658</v>
      </c>
      <c r="AU144" s="14">
        <v>45901</v>
      </c>
      <c r="AV144" s="16">
        <v>0</v>
      </c>
      <c r="AW144" s="16">
        <v>0</v>
      </c>
      <c r="BA144" s="1" t="s">
        <v>911</v>
      </c>
      <c r="BB144" s="9">
        <v>7</v>
      </c>
      <c r="BC144" s="1" t="s">
        <v>826</v>
      </c>
      <c r="BD144" s="9" t="s">
        <v>807</v>
      </c>
      <c r="BE144" s="1" t="s">
        <v>1017</v>
      </c>
      <c r="BI144" s="20" t="s">
        <v>916</v>
      </c>
      <c r="BJ144" s="21" t="str">
        <f t="shared" si="2"/>
        <v>FIXO</v>
      </c>
    </row>
    <row r="145" spans="1:62" x14ac:dyDescent="0.25">
      <c r="A145" s="7">
        <v>4</v>
      </c>
      <c r="B145" s="1" t="s">
        <v>271</v>
      </c>
      <c r="C145" s="8">
        <v>4</v>
      </c>
      <c r="D145" s="9" t="s">
        <v>807</v>
      </c>
      <c r="E145" s="10">
        <v>14055</v>
      </c>
      <c r="F145" s="11" t="s">
        <v>1413</v>
      </c>
      <c r="G145" s="12" t="s">
        <v>271</v>
      </c>
      <c r="H145" s="13" t="str">
        <f>VLOOKUP(AP145,[1]Listas!A:B,2,0)</f>
        <v xml:space="preserve">FPAR </v>
      </c>
      <c r="I145" s="1"/>
      <c r="K145" s="12"/>
      <c r="L145" s="12"/>
      <c r="M145" s="1" t="s">
        <v>296</v>
      </c>
      <c r="N145" s="14">
        <v>37128</v>
      </c>
      <c r="O145" s="1" t="s">
        <v>855</v>
      </c>
      <c r="P145" s="1" t="s">
        <v>856</v>
      </c>
      <c r="Q145" s="15" t="s">
        <v>807</v>
      </c>
      <c r="R145" s="1" t="s">
        <v>857</v>
      </c>
      <c r="S145" s="1" t="s">
        <v>868</v>
      </c>
      <c r="T145" s="1" t="s">
        <v>869</v>
      </c>
      <c r="U145" s="9" t="s">
        <v>1046</v>
      </c>
      <c r="V145" s="1" t="s">
        <v>1047</v>
      </c>
      <c r="W145" s="1" t="s">
        <v>1374</v>
      </c>
      <c r="X145" s="1" t="s">
        <v>281</v>
      </c>
      <c r="Y145" s="14">
        <v>45901</v>
      </c>
      <c r="Z145" s="9" t="s">
        <v>817</v>
      </c>
      <c r="AB145" s="14">
        <v>45727</v>
      </c>
      <c r="AC145" s="9" t="s">
        <v>817</v>
      </c>
      <c r="AD145" s="9" t="s">
        <v>818</v>
      </c>
      <c r="AE145" s="1" t="s">
        <v>819</v>
      </c>
      <c r="AF145" s="14" t="s">
        <v>820</v>
      </c>
      <c r="AG145" s="9" t="s">
        <v>821</v>
      </c>
      <c r="AH145" s="1" t="s">
        <v>9</v>
      </c>
      <c r="AI145" s="9" t="s">
        <v>10</v>
      </c>
      <c r="AJ145" s="1" t="s">
        <v>11</v>
      </c>
      <c r="AK145" s="1" t="s">
        <v>1414</v>
      </c>
      <c r="AL145" s="1" t="s">
        <v>1415</v>
      </c>
      <c r="AM145" s="9">
        <v>11224</v>
      </c>
      <c r="AN145" s="1" t="s">
        <v>40</v>
      </c>
      <c r="AO145" s="1" t="s">
        <v>292</v>
      </c>
      <c r="AP145" s="1" t="s">
        <v>1399</v>
      </c>
      <c r="AQ145" s="14">
        <v>45727</v>
      </c>
      <c r="AU145" s="14">
        <v>45901</v>
      </c>
      <c r="AV145" s="16">
        <v>0</v>
      </c>
      <c r="AW145" s="16">
        <v>0</v>
      </c>
      <c r="BA145" s="1" t="s">
        <v>911</v>
      </c>
      <c r="BB145" s="9">
        <v>7</v>
      </c>
      <c r="BC145" s="1" t="s">
        <v>826</v>
      </c>
      <c r="BD145" s="9" t="s">
        <v>807</v>
      </c>
      <c r="BE145" s="1" t="s">
        <v>1378</v>
      </c>
      <c r="BF145" s="1" t="s">
        <v>271</v>
      </c>
      <c r="BG145" s="1" t="s">
        <v>1379</v>
      </c>
      <c r="BH145" s="1" t="s">
        <v>1380</v>
      </c>
      <c r="BI145" s="20" t="s">
        <v>888</v>
      </c>
      <c r="BJ145" s="21" t="str">
        <f t="shared" si="2"/>
        <v>FIXO</v>
      </c>
    </row>
    <row r="146" spans="1:62" x14ac:dyDescent="0.25">
      <c r="A146" s="7">
        <v>4</v>
      </c>
      <c r="B146" s="1" t="s">
        <v>271</v>
      </c>
      <c r="C146" s="8">
        <v>7</v>
      </c>
      <c r="D146" s="9" t="s">
        <v>807</v>
      </c>
      <c r="E146" s="10">
        <v>14058</v>
      </c>
      <c r="F146" s="11" t="s">
        <v>1416</v>
      </c>
      <c r="G146" s="1" t="s">
        <v>271</v>
      </c>
      <c r="H146" s="13" t="str">
        <f>VLOOKUP(AP146,[1]Listas!A:B,2,0)</f>
        <v xml:space="preserve">FBAG </v>
      </c>
      <c r="I146" s="1" t="s">
        <v>280</v>
      </c>
      <c r="K146" s="1" t="s">
        <v>308</v>
      </c>
      <c r="L146" s="12"/>
      <c r="M146" s="1" t="s">
        <v>1417</v>
      </c>
      <c r="N146" s="14">
        <v>32641</v>
      </c>
      <c r="O146" s="1" t="s">
        <v>855</v>
      </c>
      <c r="P146" s="1" t="s">
        <v>856</v>
      </c>
      <c r="Q146" s="15" t="s">
        <v>807</v>
      </c>
      <c r="R146" s="1" t="s">
        <v>857</v>
      </c>
      <c r="S146" s="1" t="s">
        <v>868</v>
      </c>
      <c r="T146" s="1" t="s">
        <v>869</v>
      </c>
      <c r="U146" s="9" t="s">
        <v>868</v>
      </c>
      <c r="V146" s="1" t="s">
        <v>913</v>
      </c>
      <c r="W146" s="1" t="s">
        <v>871</v>
      </c>
      <c r="X146" s="1" t="s">
        <v>34</v>
      </c>
      <c r="Y146" s="14">
        <v>45366</v>
      </c>
      <c r="Z146" s="9" t="s">
        <v>817</v>
      </c>
      <c r="AB146" s="14">
        <v>44733</v>
      </c>
      <c r="AC146" s="9" t="s">
        <v>817</v>
      </c>
      <c r="AD146" s="9" t="s">
        <v>818</v>
      </c>
      <c r="AE146" s="1" t="s">
        <v>819</v>
      </c>
      <c r="AF146" s="14" t="s">
        <v>820</v>
      </c>
      <c r="AG146" s="9" t="s">
        <v>821</v>
      </c>
      <c r="AH146" s="1" t="s">
        <v>9</v>
      </c>
      <c r="AI146" s="9" t="s">
        <v>10</v>
      </c>
      <c r="AJ146" s="1" t="s">
        <v>11</v>
      </c>
      <c r="AK146" s="1" t="s">
        <v>1402</v>
      </c>
      <c r="AL146" s="1" t="s">
        <v>1403</v>
      </c>
      <c r="AM146" s="9">
        <v>11571</v>
      </c>
      <c r="AN146" s="1" t="s">
        <v>293</v>
      </c>
      <c r="AO146" s="1" t="s">
        <v>284</v>
      </c>
      <c r="AP146" s="1" t="s">
        <v>1384</v>
      </c>
      <c r="AQ146" s="14">
        <v>45658</v>
      </c>
      <c r="AU146" s="14">
        <v>45799</v>
      </c>
      <c r="AV146" s="16">
        <v>0</v>
      </c>
      <c r="AW146" s="16">
        <v>0</v>
      </c>
      <c r="BA146" s="1" t="s">
        <v>911</v>
      </c>
      <c r="BB146" s="9">
        <v>7</v>
      </c>
      <c r="BC146" s="1" t="s">
        <v>826</v>
      </c>
      <c r="BD146" s="9" t="s">
        <v>807</v>
      </c>
      <c r="BE146" s="1" t="s">
        <v>1017</v>
      </c>
      <c r="BI146" s="1" t="s">
        <v>916</v>
      </c>
      <c r="BJ146" s="21" t="str">
        <f t="shared" si="2"/>
        <v>FIXO</v>
      </c>
    </row>
    <row r="147" spans="1:62" x14ac:dyDescent="0.25">
      <c r="A147" s="7">
        <v>4</v>
      </c>
      <c r="B147" s="1" t="s">
        <v>271</v>
      </c>
      <c r="C147" s="8">
        <v>7</v>
      </c>
      <c r="D147" s="9" t="s">
        <v>807</v>
      </c>
      <c r="E147" s="10">
        <v>14126</v>
      </c>
      <c r="F147" s="11" t="s">
        <v>1418</v>
      </c>
      <c r="G147" s="1" t="s">
        <v>271</v>
      </c>
      <c r="H147" s="13" t="str">
        <f>VLOOKUP(AP147,[1]Listas!A:B,2,0)</f>
        <v xml:space="preserve">FBAG </v>
      </c>
      <c r="I147" s="1" t="s">
        <v>280</v>
      </c>
      <c r="K147" s="12"/>
      <c r="L147" s="12"/>
      <c r="M147" s="1" t="s">
        <v>297</v>
      </c>
      <c r="N147" s="14">
        <v>26176</v>
      </c>
      <c r="O147" s="1" t="s">
        <v>855</v>
      </c>
      <c r="P147" s="1" t="s">
        <v>856</v>
      </c>
      <c r="Q147" s="15" t="s">
        <v>811</v>
      </c>
      <c r="R147" s="1" t="s">
        <v>812</v>
      </c>
      <c r="S147" s="1" t="s">
        <v>868</v>
      </c>
      <c r="T147" s="1" t="s">
        <v>869</v>
      </c>
      <c r="U147" s="9" t="s">
        <v>814</v>
      </c>
      <c r="V147" s="1" t="s">
        <v>815</v>
      </c>
      <c r="W147" s="1" t="s">
        <v>1101</v>
      </c>
      <c r="X147" s="1" t="s">
        <v>153</v>
      </c>
      <c r="Y147" s="14">
        <v>45181</v>
      </c>
      <c r="Z147" s="9" t="s">
        <v>817</v>
      </c>
      <c r="AB147" s="14">
        <v>44747</v>
      </c>
      <c r="AC147" s="9" t="s">
        <v>817</v>
      </c>
      <c r="AD147" s="9" t="s">
        <v>818</v>
      </c>
      <c r="AE147" s="1" t="s">
        <v>819</v>
      </c>
      <c r="AF147" s="14" t="s">
        <v>820</v>
      </c>
      <c r="AG147" s="9" t="s">
        <v>821</v>
      </c>
      <c r="AH147" s="1" t="s">
        <v>9</v>
      </c>
      <c r="AI147" s="9" t="s">
        <v>10</v>
      </c>
      <c r="AJ147" s="1" t="s">
        <v>11</v>
      </c>
      <c r="AK147" s="1" t="s">
        <v>1419</v>
      </c>
      <c r="AL147" s="1" t="s">
        <v>1420</v>
      </c>
      <c r="AM147" s="9">
        <v>11540</v>
      </c>
      <c r="AN147" s="1" t="s">
        <v>154</v>
      </c>
      <c r="AO147" s="1" t="s">
        <v>298</v>
      </c>
      <c r="AP147" s="1" t="s">
        <v>1421</v>
      </c>
      <c r="AQ147" s="14">
        <v>45658</v>
      </c>
      <c r="AU147" s="14">
        <v>45679</v>
      </c>
      <c r="AV147" s="16">
        <v>30</v>
      </c>
      <c r="AW147" s="16">
        <v>0</v>
      </c>
      <c r="BA147" s="1" t="s">
        <v>911</v>
      </c>
      <c r="BB147" s="9">
        <v>7</v>
      </c>
      <c r="BC147" s="1" t="s">
        <v>826</v>
      </c>
      <c r="BD147" s="9" t="s">
        <v>807</v>
      </c>
      <c r="BE147" s="1" t="s">
        <v>1385</v>
      </c>
      <c r="BF147" s="1" t="s">
        <v>280</v>
      </c>
      <c r="BG147" s="1" t="s">
        <v>1375</v>
      </c>
      <c r="BH147" s="1" t="s">
        <v>1376</v>
      </c>
      <c r="BI147" s="1" t="s">
        <v>983</v>
      </c>
      <c r="BJ147" s="21" t="str">
        <f t="shared" si="2"/>
        <v>FIXO</v>
      </c>
    </row>
    <row r="148" spans="1:62" x14ac:dyDescent="0.25">
      <c r="A148" s="7">
        <v>4</v>
      </c>
      <c r="B148" s="1" t="s">
        <v>271</v>
      </c>
      <c r="C148" s="8">
        <v>5</v>
      </c>
      <c r="D148" s="9" t="s">
        <v>807</v>
      </c>
      <c r="E148" s="10">
        <v>14133</v>
      </c>
      <c r="F148" s="11" t="s">
        <v>1422</v>
      </c>
      <c r="G148" s="1" t="s">
        <v>41</v>
      </c>
      <c r="H148" s="13" t="str">
        <f>VLOOKUP(AP148,[1]Listas!A:B,2,0)</f>
        <v xml:space="preserve">FESP </v>
      </c>
      <c r="I148" s="12" t="s">
        <v>38</v>
      </c>
      <c r="K148" s="1" t="s">
        <v>32</v>
      </c>
      <c r="L148" s="1" t="s">
        <v>79</v>
      </c>
      <c r="M148" s="1" t="s">
        <v>299</v>
      </c>
      <c r="N148" s="14">
        <v>35722</v>
      </c>
      <c r="O148" s="1" t="s">
        <v>855</v>
      </c>
      <c r="P148" s="1" t="s">
        <v>856</v>
      </c>
      <c r="Q148" s="15" t="s">
        <v>807</v>
      </c>
      <c r="R148" s="1" t="s">
        <v>857</v>
      </c>
      <c r="S148" s="1" t="s">
        <v>868</v>
      </c>
      <c r="T148" s="1" t="s">
        <v>869</v>
      </c>
      <c r="U148" s="9" t="s">
        <v>868</v>
      </c>
      <c r="V148" s="1" t="s">
        <v>913</v>
      </c>
      <c r="W148" s="1" t="s">
        <v>871</v>
      </c>
      <c r="X148" s="1" t="s">
        <v>34</v>
      </c>
      <c r="Y148" s="14">
        <v>45912</v>
      </c>
      <c r="Z148" s="9" t="s">
        <v>817</v>
      </c>
      <c r="AB148" s="14">
        <v>45912</v>
      </c>
      <c r="AC148" s="9" t="s">
        <v>817</v>
      </c>
      <c r="AD148" s="9" t="s">
        <v>818</v>
      </c>
      <c r="AE148" s="1" t="s">
        <v>819</v>
      </c>
      <c r="AF148" s="14" t="s">
        <v>820</v>
      </c>
      <c r="AG148" s="9" t="s">
        <v>821</v>
      </c>
      <c r="AH148" s="1" t="s">
        <v>9</v>
      </c>
      <c r="AI148" s="9" t="s">
        <v>10</v>
      </c>
      <c r="AJ148" s="1" t="s">
        <v>11</v>
      </c>
      <c r="AK148" s="1" t="s">
        <v>1423</v>
      </c>
      <c r="AL148" s="1" t="s">
        <v>922</v>
      </c>
      <c r="AM148" s="9">
        <v>11382</v>
      </c>
      <c r="AN148" s="1" t="s">
        <v>58</v>
      </c>
      <c r="AO148" s="1" t="s">
        <v>36</v>
      </c>
      <c r="AP148" s="1" t="s">
        <v>874</v>
      </c>
      <c r="AQ148" s="14">
        <v>45912</v>
      </c>
      <c r="AU148" s="14">
        <v>45912</v>
      </c>
      <c r="AV148" s="16">
        <v>0</v>
      </c>
      <c r="AW148" s="16">
        <v>0</v>
      </c>
      <c r="BA148" s="1" t="s">
        <v>911</v>
      </c>
      <c r="BB148" s="9">
        <v>38</v>
      </c>
      <c r="BC148" s="1" t="s">
        <v>1297</v>
      </c>
      <c r="BD148" s="9" t="s">
        <v>807</v>
      </c>
      <c r="BE148" s="1" t="s">
        <v>863</v>
      </c>
      <c r="BF148" s="1" t="s">
        <v>32</v>
      </c>
      <c r="BG148" s="1" t="s">
        <v>864</v>
      </c>
      <c r="BH148" s="1" t="s">
        <v>865</v>
      </c>
      <c r="BI148" s="23" t="s">
        <v>916</v>
      </c>
      <c r="BJ148" s="21" t="str">
        <f t="shared" si="2"/>
        <v>FIXO</v>
      </c>
    </row>
    <row r="149" spans="1:62" x14ac:dyDescent="0.25">
      <c r="A149" s="7">
        <v>4</v>
      </c>
      <c r="B149" s="1" t="s">
        <v>271</v>
      </c>
      <c r="C149" s="8">
        <v>7</v>
      </c>
      <c r="D149" s="9" t="s">
        <v>807</v>
      </c>
      <c r="E149" s="10">
        <v>14152</v>
      </c>
      <c r="F149" s="11" t="s">
        <v>1424</v>
      </c>
      <c r="G149" s="1" t="s">
        <v>271</v>
      </c>
      <c r="H149" s="13" t="str">
        <f>VLOOKUP(AP149,[1]Listas!A:B,2,0)</f>
        <v xml:space="preserve">FBAG </v>
      </c>
      <c r="I149" s="1" t="s">
        <v>280</v>
      </c>
      <c r="K149" s="12"/>
      <c r="L149" s="12"/>
      <c r="M149" s="1" t="s">
        <v>300</v>
      </c>
      <c r="N149" s="14">
        <v>31352</v>
      </c>
      <c r="O149" s="1" t="s">
        <v>855</v>
      </c>
      <c r="P149" s="1" t="s">
        <v>856</v>
      </c>
      <c r="Q149" s="15" t="s">
        <v>807</v>
      </c>
      <c r="R149" s="1" t="s">
        <v>857</v>
      </c>
      <c r="S149" s="1" t="s">
        <v>811</v>
      </c>
      <c r="T149" s="1" t="s">
        <v>906</v>
      </c>
      <c r="U149" s="9" t="s">
        <v>1031</v>
      </c>
      <c r="V149" s="1" t="s">
        <v>1100</v>
      </c>
      <c r="W149" s="1" t="s">
        <v>1425</v>
      </c>
      <c r="X149" s="1" t="s">
        <v>301</v>
      </c>
      <c r="Y149" s="14">
        <v>45511</v>
      </c>
      <c r="Z149" s="9" t="s">
        <v>817</v>
      </c>
      <c r="AB149" s="14">
        <v>44761</v>
      </c>
      <c r="AC149" s="9" t="s">
        <v>817</v>
      </c>
      <c r="AD149" s="9" t="s">
        <v>818</v>
      </c>
      <c r="AE149" s="1" t="s">
        <v>819</v>
      </c>
      <c r="AF149" s="14" t="s">
        <v>820</v>
      </c>
      <c r="AG149" s="9" t="s">
        <v>821</v>
      </c>
      <c r="AH149" s="1" t="s">
        <v>9</v>
      </c>
      <c r="AI149" s="9" t="s">
        <v>10</v>
      </c>
      <c r="AJ149" s="1" t="s">
        <v>11</v>
      </c>
      <c r="AK149" s="1" t="s">
        <v>1426</v>
      </c>
      <c r="AL149" s="1" t="s">
        <v>1427</v>
      </c>
      <c r="AM149" s="9">
        <v>11543</v>
      </c>
      <c r="AN149" s="1" t="s">
        <v>114</v>
      </c>
      <c r="AO149" s="1" t="s">
        <v>284</v>
      </c>
      <c r="AP149" s="1" t="s">
        <v>1384</v>
      </c>
      <c r="AQ149" s="14">
        <v>45658</v>
      </c>
      <c r="AU149" s="14">
        <v>45799</v>
      </c>
      <c r="AV149" s="16">
        <v>0</v>
      </c>
      <c r="AW149" s="16">
        <v>0</v>
      </c>
      <c r="BA149" s="1" t="s">
        <v>911</v>
      </c>
      <c r="BB149" s="9">
        <v>7</v>
      </c>
      <c r="BC149" s="1" t="s">
        <v>826</v>
      </c>
      <c r="BD149" s="9" t="s">
        <v>807</v>
      </c>
      <c r="BE149" s="1" t="s">
        <v>1385</v>
      </c>
      <c r="BF149" s="1" t="s">
        <v>280</v>
      </c>
      <c r="BG149" s="1" t="s">
        <v>1375</v>
      </c>
      <c r="BH149" s="1" t="s">
        <v>1376</v>
      </c>
      <c r="BI149" s="1" t="s">
        <v>983</v>
      </c>
      <c r="BJ149" s="21" t="str">
        <f t="shared" si="2"/>
        <v>FIXO</v>
      </c>
    </row>
    <row r="150" spans="1:62" x14ac:dyDescent="0.25">
      <c r="A150" s="7">
        <v>4</v>
      </c>
      <c r="B150" s="1" t="s">
        <v>271</v>
      </c>
      <c r="C150" s="8">
        <v>7</v>
      </c>
      <c r="D150" s="9" t="s">
        <v>807</v>
      </c>
      <c r="E150" s="10">
        <v>14199</v>
      </c>
      <c r="F150" s="11" t="s">
        <v>1428</v>
      </c>
      <c r="G150" s="1" t="s">
        <v>271</v>
      </c>
      <c r="H150" s="13" t="str">
        <f>VLOOKUP(AP150,[1]Listas!A:B,2,0)</f>
        <v xml:space="preserve">FBAG </v>
      </c>
      <c r="I150" s="1" t="s">
        <v>280</v>
      </c>
      <c r="K150" s="1" t="s">
        <v>285</v>
      </c>
      <c r="L150" s="12"/>
      <c r="M150" s="1" t="s">
        <v>302</v>
      </c>
      <c r="N150" s="14">
        <v>31173</v>
      </c>
      <c r="O150" s="1" t="s">
        <v>855</v>
      </c>
      <c r="P150" s="1" t="s">
        <v>856</v>
      </c>
      <c r="Q150" s="15" t="s">
        <v>807</v>
      </c>
      <c r="R150" s="1" t="s">
        <v>857</v>
      </c>
      <c r="S150" s="1" t="s">
        <v>868</v>
      </c>
      <c r="T150" s="1" t="s">
        <v>869</v>
      </c>
      <c r="U150" s="9" t="s">
        <v>807</v>
      </c>
      <c r="V150" s="1" t="s">
        <v>1429</v>
      </c>
      <c r="W150" s="1" t="s">
        <v>1430</v>
      </c>
      <c r="X150" s="1" t="s">
        <v>303</v>
      </c>
      <c r="Y150" s="14">
        <v>45037</v>
      </c>
      <c r="Z150" s="9" t="s">
        <v>817</v>
      </c>
      <c r="AB150" s="14">
        <v>44775</v>
      </c>
      <c r="AC150" s="9" t="s">
        <v>817</v>
      </c>
      <c r="AD150" s="9" t="s">
        <v>818</v>
      </c>
      <c r="AE150" s="1" t="s">
        <v>819</v>
      </c>
      <c r="AF150" s="14" t="s">
        <v>820</v>
      </c>
      <c r="AG150" s="9" t="s">
        <v>821</v>
      </c>
      <c r="AH150" s="1" t="s">
        <v>9</v>
      </c>
      <c r="AI150" s="9" t="s">
        <v>10</v>
      </c>
      <c r="AJ150" s="1" t="s">
        <v>11</v>
      </c>
      <c r="AK150" s="1" t="s">
        <v>1431</v>
      </c>
      <c r="AL150" s="1" t="s">
        <v>1432</v>
      </c>
      <c r="AM150" s="9">
        <v>11507</v>
      </c>
      <c r="AN150" s="1" t="s">
        <v>295</v>
      </c>
      <c r="AO150" s="1" t="s">
        <v>304</v>
      </c>
      <c r="AP150" s="1" t="s">
        <v>1433</v>
      </c>
      <c r="AQ150" s="14">
        <v>45658</v>
      </c>
      <c r="AU150" s="14">
        <v>45799</v>
      </c>
      <c r="AV150" s="16">
        <v>0</v>
      </c>
      <c r="AW150" s="16">
        <v>0</v>
      </c>
      <c r="BA150" s="1" t="s">
        <v>911</v>
      </c>
      <c r="BB150" s="9">
        <v>7</v>
      </c>
      <c r="BC150" s="1" t="s">
        <v>826</v>
      </c>
      <c r="BD150" s="9" t="s">
        <v>807</v>
      </c>
      <c r="BE150" s="1" t="s">
        <v>1434</v>
      </c>
      <c r="BF150" s="1" t="s">
        <v>285</v>
      </c>
      <c r="BG150" s="1" t="s">
        <v>1388</v>
      </c>
      <c r="BH150" s="1" t="s">
        <v>1389</v>
      </c>
      <c r="BI150" s="1" t="s">
        <v>1073</v>
      </c>
      <c r="BJ150" s="21" t="str">
        <f t="shared" si="2"/>
        <v>FIXO</v>
      </c>
    </row>
    <row r="151" spans="1:62" x14ac:dyDescent="0.25">
      <c r="A151" s="7">
        <v>4</v>
      </c>
      <c r="B151" s="1" t="s">
        <v>271</v>
      </c>
      <c r="C151" s="8">
        <v>7</v>
      </c>
      <c r="D151" s="9" t="s">
        <v>807</v>
      </c>
      <c r="E151" s="10">
        <v>14202</v>
      </c>
      <c r="F151" s="11" t="s">
        <v>1435</v>
      </c>
      <c r="G151" s="1" t="s">
        <v>271</v>
      </c>
      <c r="H151" s="13" t="str">
        <f>VLOOKUP(AP151,[1]Listas!A:B,2,0)</f>
        <v xml:space="preserve">FBAG </v>
      </c>
      <c r="I151" s="1" t="s">
        <v>280</v>
      </c>
      <c r="K151" s="12"/>
      <c r="L151" s="12"/>
      <c r="M151" s="1" t="s">
        <v>305</v>
      </c>
      <c r="N151" s="14">
        <v>29925</v>
      </c>
      <c r="O151" s="1" t="s">
        <v>855</v>
      </c>
      <c r="P151" s="1" t="s">
        <v>856</v>
      </c>
      <c r="Q151" s="15" t="s">
        <v>807</v>
      </c>
      <c r="R151" s="1" t="s">
        <v>857</v>
      </c>
      <c r="S151" s="1" t="s">
        <v>868</v>
      </c>
      <c r="T151" s="1" t="s">
        <v>869</v>
      </c>
      <c r="U151" s="9" t="s">
        <v>868</v>
      </c>
      <c r="V151" s="1" t="s">
        <v>913</v>
      </c>
      <c r="W151" s="1" t="s">
        <v>979</v>
      </c>
      <c r="X151" s="1" t="s">
        <v>92</v>
      </c>
      <c r="Y151" s="14">
        <v>44776</v>
      </c>
      <c r="Z151" s="9" t="s">
        <v>817</v>
      </c>
      <c r="AB151" s="14">
        <v>44775</v>
      </c>
      <c r="AC151" s="9" t="s">
        <v>817</v>
      </c>
      <c r="AD151" s="9" t="s">
        <v>818</v>
      </c>
      <c r="AE151" s="1" t="s">
        <v>819</v>
      </c>
      <c r="AF151" s="14" t="s">
        <v>820</v>
      </c>
      <c r="AG151" s="9" t="s">
        <v>821</v>
      </c>
      <c r="AH151" s="1" t="s">
        <v>9</v>
      </c>
      <c r="AI151" s="9" t="s">
        <v>10</v>
      </c>
      <c r="AJ151" s="1" t="s">
        <v>11</v>
      </c>
      <c r="AK151" s="1" t="s">
        <v>1436</v>
      </c>
      <c r="AL151" s="1" t="s">
        <v>1437</v>
      </c>
      <c r="AM151" s="9">
        <v>11558</v>
      </c>
      <c r="AN151" s="1" t="s">
        <v>169</v>
      </c>
      <c r="AO151" s="1" t="s">
        <v>306</v>
      </c>
      <c r="AP151" s="1" t="s">
        <v>1438</v>
      </c>
      <c r="AQ151" s="14">
        <v>45658</v>
      </c>
      <c r="AU151" s="14">
        <v>45799</v>
      </c>
      <c r="AV151" s="16">
        <v>0</v>
      </c>
      <c r="AW151" s="16">
        <v>0</v>
      </c>
      <c r="BA151" s="1" t="s">
        <v>911</v>
      </c>
      <c r="BB151" s="9">
        <v>7</v>
      </c>
      <c r="BC151" s="1" t="s">
        <v>826</v>
      </c>
      <c r="BD151" s="9" t="s">
        <v>807</v>
      </c>
      <c r="BE151" s="1" t="s">
        <v>1439</v>
      </c>
      <c r="BF151" s="1" t="s">
        <v>307</v>
      </c>
      <c r="BG151" s="1" t="s">
        <v>1440</v>
      </c>
      <c r="BH151" s="1" t="s">
        <v>1441</v>
      </c>
      <c r="BI151" s="1" t="s">
        <v>983</v>
      </c>
      <c r="BJ151" s="21" t="str">
        <f t="shared" si="2"/>
        <v>FIXO</v>
      </c>
    </row>
    <row r="152" spans="1:62" x14ac:dyDescent="0.25">
      <c r="A152" s="7">
        <v>4</v>
      </c>
      <c r="B152" s="1" t="s">
        <v>271</v>
      </c>
      <c r="C152" s="8">
        <v>7</v>
      </c>
      <c r="D152" s="9" t="s">
        <v>807</v>
      </c>
      <c r="E152" s="10">
        <v>14204</v>
      </c>
      <c r="F152" s="11" t="s">
        <v>1442</v>
      </c>
      <c r="G152" s="1" t="s">
        <v>271</v>
      </c>
      <c r="H152" s="13" t="str">
        <f>VLOOKUP(AP152,[1]Listas!A:B,2,0)</f>
        <v xml:space="preserve">FBAG </v>
      </c>
      <c r="I152" s="1" t="s">
        <v>280</v>
      </c>
      <c r="K152" s="1"/>
      <c r="L152" s="12"/>
      <c r="M152" s="1" t="s">
        <v>308</v>
      </c>
      <c r="N152" s="14">
        <v>26618</v>
      </c>
      <c r="O152" s="1" t="s">
        <v>855</v>
      </c>
      <c r="P152" s="1" t="s">
        <v>856</v>
      </c>
      <c r="Q152" s="15" t="s">
        <v>811</v>
      </c>
      <c r="R152" s="1" t="s">
        <v>812</v>
      </c>
      <c r="S152" s="1" t="s">
        <v>868</v>
      </c>
      <c r="T152" s="1" t="s">
        <v>869</v>
      </c>
      <c r="U152" s="9" t="s">
        <v>1031</v>
      </c>
      <c r="V152" s="1" t="s">
        <v>1100</v>
      </c>
      <c r="W152" s="1" t="s">
        <v>890</v>
      </c>
      <c r="X152" s="1" t="s">
        <v>43</v>
      </c>
      <c r="Y152" s="14">
        <v>44777</v>
      </c>
      <c r="Z152" s="9" t="s">
        <v>817</v>
      </c>
      <c r="AB152" s="14">
        <v>44776</v>
      </c>
      <c r="AC152" s="9" t="s">
        <v>817</v>
      </c>
      <c r="AD152" s="9" t="s">
        <v>818</v>
      </c>
      <c r="AE152" s="1" t="s">
        <v>819</v>
      </c>
      <c r="AF152" s="14" t="s">
        <v>820</v>
      </c>
      <c r="AG152" s="9" t="s">
        <v>821</v>
      </c>
      <c r="AH152" s="1" t="s">
        <v>9</v>
      </c>
      <c r="AI152" s="9" t="s">
        <v>10</v>
      </c>
      <c r="AJ152" s="1" t="s">
        <v>11</v>
      </c>
      <c r="AK152" s="1" t="s">
        <v>1443</v>
      </c>
      <c r="AL152" s="1" t="s">
        <v>1444</v>
      </c>
      <c r="AM152" s="9">
        <v>11565</v>
      </c>
      <c r="AN152" s="1" t="s">
        <v>309</v>
      </c>
      <c r="AO152" s="1" t="s">
        <v>282</v>
      </c>
      <c r="AP152" s="1" t="s">
        <v>1377</v>
      </c>
      <c r="AQ152" s="14">
        <v>45658</v>
      </c>
      <c r="AU152" s="14">
        <v>45799</v>
      </c>
      <c r="AV152" s="16">
        <v>0</v>
      </c>
      <c r="AW152" s="16">
        <v>0</v>
      </c>
      <c r="BA152" s="1" t="s">
        <v>911</v>
      </c>
      <c r="BB152" s="9">
        <v>1</v>
      </c>
      <c r="BC152" s="1" t="s">
        <v>862</v>
      </c>
      <c r="BD152" s="9" t="s">
        <v>807</v>
      </c>
      <c r="BE152" s="1" t="s">
        <v>1385</v>
      </c>
      <c r="BF152" s="1" t="s">
        <v>280</v>
      </c>
      <c r="BG152" s="1" t="s">
        <v>1375</v>
      </c>
      <c r="BH152" s="1" t="s">
        <v>1376</v>
      </c>
      <c r="BI152" s="1" t="s">
        <v>916</v>
      </c>
      <c r="BJ152" s="21" t="str">
        <f t="shared" si="2"/>
        <v>FIXO</v>
      </c>
    </row>
    <row r="153" spans="1:62" x14ac:dyDescent="0.25">
      <c r="A153" s="7">
        <v>4</v>
      </c>
      <c r="B153" s="1" t="s">
        <v>271</v>
      </c>
      <c r="C153" s="8">
        <v>4</v>
      </c>
      <c r="D153" s="9" t="s">
        <v>807</v>
      </c>
      <c r="E153" s="10">
        <v>14257</v>
      </c>
      <c r="F153" s="11" t="s">
        <v>1445</v>
      </c>
      <c r="G153" s="12" t="s">
        <v>271</v>
      </c>
      <c r="H153" s="13" t="str">
        <f>VLOOKUP(AP153,[1]Listas!A:B,2,0)</f>
        <v xml:space="preserve">FPAR </v>
      </c>
      <c r="I153" s="1" t="s">
        <v>296</v>
      </c>
      <c r="K153" s="12"/>
      <c r="L153" s="1" t="s">
        <v>1340</v>
      </c>
      <c r="M153" s="1" t="s">
        <v>1446</v>
      </c>
      <c r="N153" s="14">
        <v>35898</v>
      </c>
      <c r="O153" s="1" t="s">
        <v>855</v>
      </c>
      <c r="P153" s="1" t="s">
        <v>856</v>
      </c>
      <c r="Q153" s="15" t="s">
        <v>811</v>
      </c>
      <c r="R153" s="1" t="s">
        <v>812</v>
      </c>
      <c r="S153" s="1" t="s">
        <v>1017</v>
      </c>
      <c r="U153" s="9" t="s">
        <v>880</v>
      </c>
      <c r="V153" s="1" t="s">
        <v>881</v>
      </c>
      <c r="W153" s="1" t="s">
        <v>871</v>
      </c>
      <c r="X153" s="1" t="s">
        <v>34</v>
      </c>
      <c r="Y153" s="14">
        <v>45353</v>
      </c>
      <c r="Z153" s="9" t="s">
        <v>817</v>
      </c>
      <c r="AB153" s="14">
        <v>44812</v>
      </c>
      <c r="AC153" s="9" t="s">
        <v>817</v>
      </c>
      <c r="AD153" s="9" t="s">
        <v>818</v>
      </c>
      <c r="AE153" s="1" t="s">
        <v>819</v>
      </c>
      <c r="AF153" s="14">
        <v>45894</v>
      </c>
      <c r="AG153" s="9" t="s">
        <v>821</v>
      </c>
      <c r="AH153" s="1" t="s">
        <v>9</v>
      </c>
      <c r="AI153" s="9" t="s">
        <v>179</v>
      </c>
      <c r="AJ153" s="1" t="s">
        <v>180</v>
      </c>
      <c r="AK153" s="1" t="s">
        <v>1342</v>
      </c>
      <c r="AL153" s="1" t="s">
        <v>1343</v>
      </c>
      <c r="AM153" s="9">
        <v>11271</v>
      </c>
      <c r="AN153" s="1" t="s">
        <v>276</v>
      </c>
      <c r="AO153" s="1" t="s">
        <v>273</v>
      </c>
      <c r="AP153" s="1" t="s">
        <v>1331</v>
      </c>
      <c r="AQ153" s="14">
        <v>45658</v>
      </c>
      <c r="AU153" s="14">
        <v>45901</v>
      </c>
      <c r="AV153" s="16">
        <v>0</v>
      </c>
      <c r="AW153" s="16">
        <v>0</v>
      </c>
      <c r="BA153" s="1" t="s">
        <v>911</v>
      </c>
      <c r="BB153" s="9">
        <v>7</v>
      </c>
      <c r="BC153" s="1" t="s">
        <v>826</v>
      </c>
      <c r="BD153" s="9" t="s">
        <v>807</v>
      </c>
      <c r="BE153" s="1" t="s">
        <v>1017</v>
      </c>
      <c r="BI153" s="20" t="s">
        <v>916</v>
      </c>
      <c r="BJ153" s="21" t="str">
        <f t="shared" si="2"/>
        <v>FIXO</v>
      </c>
    </row>
    <row r="154" spans="1:62" x14ac:dyDescent="0.25">
      <c r="A154" s="7">
        <v>4</v>
      </c>
      <c r="B154" s="1" t="s">
        <v>271</v>
      </c>
      <c r="C154" s="8">
        <v>7</v>
      </c>
      <c r="D154" s="9" t="s">
        <v>807</v>
      </c>
      <c r="E154" s="10">
        <v>14441</v>
      </c>
      <c r="F154" s="11" t="s">
        <v>1447</v>
      </c>
      <c r="G154" s="1" t="s">
        <v>271</v>
      </c>
      <c r="H154" s="13" t="str">
        <f>VLOOKUP(AP154,[1]Listas!A:B,2,0)</f>
        <v xml:space="preserve">FBAG </v>
      </c>
      <c r="I154" s="1" t="s">
        <v>280</v>
      </c>
      <c r="K154" s="1" t="s">
        <v>285</v>
      </c>
      <c r="L154" s="12"/>
      <c r="M154" s="1" t="s">
        <v>310</v>
      </c>
      <c r="N154" s="14">
        <v>38113</v>
      </c>
      <c r="O154" s="1" t="s">
        <v>855</v>
      </c>
      <c r="P154" s="1" t="s">
        <v>856</v>
      </c>
      <c r="Q154" s="15" t="s">
        <v>807</v>
      </c>
      <c r="R154" s="1" t="s">
        <v>857</v>
      </c>
      <c r="S154" s="1" t="s">
        <v>868</v>
      </c>
      <c r="T154" s="1" t="s">
        <v>869</v>
      </c>
      <c r="U154" s="9" t="s">
        <v>814</v>
      </c>
      <c r="V154" s="1" t="s">
        <v>815</v>
      </c>
      <c r="W154" s="1" t="s">
        <v>1406</v>
      </c>
      <c r="X154" s="1" t="s">
        <v>294</v>
      </c>
      <c r="Y154" s="14">
        <v>45068</v>
      </c>
      <c r="Z154" s="9" t="s">
        <v>817</v>
      </c>
      <c r="AB154" s="14">
        <v>44839</v>
      </c>
      <c r="AC154" s="9" t="s">
        <v>817</v>
      </c>
      <c r="AD154" s="9" t="s">
        <v>818</v>
      </c>
      <c r="AE154" s="1" t="s">
        <v>819</v>
      </c>
      <c r="AF154" s="14" t="s">
        <v>820</v>
      </c>
      <c r="AG154" s="9" t="s">
        <v>821</v>
      </c>
      <c r="AH154" s="1" t="s">
        <v>9</v>
      </c>
      <c r="AI154" s="9" t="s">
        <v>10</v>
      </c>
      <c r="AJ154" s="1" t="s">
        <v>11</v>
      </c>
      <c r="AK154" s="1" t="s">
        <v>1448</v>
      </c>
      <c r="AL154" s="1" t="s">
        <v>1449</v>
      </c>
      <c r="AM154" s="9">
        <v>11507</v>
      </c>
      <c r="AN154" s="1" t="s">
        <v>295</v>
      </c>
      <c r="AO154" s="1" t="s">
        <v>311</v>
      </c>
      <c r="AP154" s="1" t="s">
        <v>1450</v>
      </c>
      <c r="AQ154" s="14">
        <v>45658</v>
      </c>
      <c r="AU154" s="14">
        <v>45810</v>
      </c>
      <c r="AV154" s="16">
        <v>0</v>
      </c>
      <c r="AW154" s="16">
        <v>0</v>
      </c>
      <c r="BA154" s="1" t="s">
        <v>911</v>
      </c>
      <c r="BB154" s="9">
        <v>7</v>
      </c>
      <c r="BC154" s="1" t="s">
        <v>826</v>
      </c>
      <c r="BD154" s="9" t="s">
        <v>807</v>
      </c>
      <c r="BE154" s="1" t="s">
        <v>1434</v>
      </c>
      <c r="BF154" s="1" t="s">
        <v>285</v>
      </c>
      <c r="BG154" s="1" t="s">
        <v>1388</v>
      </c>
      <c r="BH154" s="1" t="s">
        <v>1389</v>
      </c>
      <c r="BI154" s="1" t="s">
        <v>1073</v>
      </c>
      <c r="BJ154" s="21" t="str">
        <f t="shared" si="2"/>
        <v>FIXO</v>
      </c>
    </row>
    <row r="155" spans="1:62" x14ac:dyDescent="0.25">
      <c r="A155" s="7">
        <v>4</v>
      </c>
      <c r="B155" s="1" t="s">
        <v>271</v>
      </c>
      <c r="C155" s="8">
        <v>7</v>
      </c>
      <c r="D155" s="9" t="s">
        <v>807</v>
      </c>
      <c r="E155" s="10">
        <v>14637</v>
      </c>
      <c r="F155" s="11" t="s">
        <v>1451</v>
      </c>
      <c r="G155" s="1" t="s">
        <v>271</v>
      </c>
      <c r="H155" s="13" t="str">
        <f>VLOOKUP(AP155,[1]Listas!A:B,2,0)</f>
        <v xml:space="preserve">FBAG </v>
      </c>
      <c r="I155" s="1" t="s">
        <v>280</v>
      </c>
      <c r="K155" s="12"/>
      <c r="L155" s="12"/>
      <c r="M155" s="1" t="s">
        <v>312</v>
      </c>
      <c r="N155" s="14">
        <v>29268</v>
      </c>
      <c r="O155" s="1" t="s">
        <v>855</v>
      </c>
      <c r="P155" s="1" t="s">
        <v>856</v>
      </c>
      <c r="Q155" s="15" t="s">
        <v>811</v>
      </c>
      <c r="R155" s="1" t="s">
        <v>812</v>
      </c>
      <c r="S155" s="1" t="s">
        <v>1017</v>
      </c>
      <c r="U155" s="9" t="s">
        <v>811</v>
      </c>
      <c r="V155" s="1" t="s">
        <v>870</v>
      </c>
      <c r="W155" s="1" t="s">
        <v>979</v>
      </c>
      <c r="X155" s="1" t="s">
        <v>92</v>
      </c>
      <c r="Y155" s="14">
        <v>44903</v>
      </c>
      <c r="Z155" s="9" t="s">
        <v>817</v>
      </c>
      <c r="AB155" s="14">
        <v>44902</v>
      </c>
      <c r="AC155" s="9" t="s">
        <v>817</v>
      </c>
      <c r="AD155" s="9" t="s">
        <v>818</v>
      </c>
      <c r="AE155" s="1" t="s">
        <v>819</v>
      </c>
      <c r="AF155" s="14" t="s">
        <v>820</v>
      </c>
      <c r="AG155" s="9" t="s">
        <v>821</v>
      </c>
      <c r="AH155" s="1" t="s">
        <v>9</v>
      </c>
      <c r="AI155" s="9" t="s">
        <v>10</v>
      </c>
      <c r="AJ155" s="1" t="s">
        <v>11</v>
      </c>
      <c r="AK155" s="1" t="s">
        <v>1452</v>
      </c>
      <c r="AL155" s="1" t="s">
        <v>1453</v>
      </c>
      <c r="AM155" s="9">
        <v>11518</v>
      </c>
      <c r="AN155" s="1" t="s">
        <v>122</v>
      </c>
      <c r="AO155" s="1" t="s">
        <v>306</v>
      </c>
      <c r="AP155" s="1" t="s">
        <v>1438</v>
      </c>
      <c r="AQ155" s="14">
        <v>45658</v>
      </c>
      <c r="AU155" s="14">
        <v>45799</v>
      </c>
      <c r="AV155" s="16">
        <v>0</v>
      </c>
      <c r="AW155" s="16">
        <v>0</v>
      </c>
      <c r="BA155" s="1" t="s">
        <v>911</v>
      </c>
      <c r="BB155" s="9">
        <v>1</v>
      </c>
      <c r="BC155" s="1" t="s">
        <v>862</v>
      </c>
      <c r="BD155" s="9" t="s">
        <v>807</v>
      </c>
      <c r="BE155" s="1" t="s">
        <v>1439</v>
      </c>
      <c r="BF155" s="1" t="s">
        <v>307</v>
      </c>
      <c r="BG155" s="1" t="s">
        <v>1440</v>
      </c>
      <c r="BH155" s="1" t="s">
        <v>1441</v>
      </c>
      <c r="BI155" s="1" t="s">
        <v>983</v>
      </c>
      <c r="BJ155" s="21" t="str">
        <f t="shared" si="2"/>
        <v>FIXO</v>
      </c>
    </row>
    <row r="156" spans="1:62" x14ac:dyDescent="0.25">
      <c r="A156" s="7">
        <v>4</v>
      </c>
      <c r="B156" s="1" t="s">
        <v>271</v>
      </c>
      <c r="C156" s="8">
        <v>4</v>
      </c>
      <c r="D156" s="9" t="s">
        <v>807</v>
      </c>
      <c r="E156" s="10">
        <v>14880</v>
      </c>
      <c r="F156" s="11" t="s">
        <v>1454</v>
      </c>
      <c r="G156" s="12" t="s">
        <v>71</v>
      </c>
      <c r="H156" s="13" t="str">
        <f>VLOOKUP(AP156,[1]Listas!A:B,2,0)</f>
        <v xml:space="preserve">FPAR </v>
      </c>
      <c r="I156" s="1" t="s">
        <v>27</v>
      </c>
      <c r="K156" s="12"/>
      <c r="L156" s="12"/>
      <c r="M156" s="1" t="s">
        <v>313</v>
      </c>
      <c r="N156" s="14">
        <v>37972</v>
      </c>
      <c r="O156" s="1" t="s">
        <v>809</v>
      </c>
      <c r="P156" s="1" t="s">
        <v>810</v>
      </c>
      <c r="Q156" s="15" t="s">
        <v>807</v>
      </c>
      <c r="R156" s="1" t="s">
        <v>857</v>
      </c>
      <c r="S156" s="1" t="s">
        <v>868</v>
      </c>
      <c r="T156" s="1" t="s">
        <v>869</v>
      </c>
      <c r="U156" s="9" t="s">
        <v>1046</v>
      </c>
      <c r="V156" s="1" t="s">
        <v>1047</v>
      </c>
      <c r="W156" s="1" t="s">
        <v>998</v>
      </c>
      <c r="X156" s="1" t="s">
        <v>104</v>
      </c>
      <c r="Y156" s="14">
        <v>45727</v>
      </c>
      <c r="Z156" s="9" t="s">
        <v>817</v>
      </c>
      <c r="AB156" s="14">
        <v>45727</v>
      </c>
      <c r="AC156" s="9" t="s">
        <v>817</v>
      </c>
      <c r="AD156" s="9" t="s">
        <v>818</v>
      </c>
      <c r="AE156" s="1" t="s">
        <v>819</v>
      </c>
      <c r="AF156" s="14" t="s">
        <v>820</v>
      </c>
      <c r="AG156" s="9" t="s">
        <v>821</v>
      </c>
      <c r="AH156" s="1" t="s">
        <v>9</v>
      </c>
      <c r="AI156" s="9" t="s">
        <v>10</v>
      </c>
      <c r="AJ156" s="1" t="s">
        <v>11</v>
      </c>
      <c r="AK156" s="1" t="s">
        <v>1455</v>
      </c>
      <c r="AL156" s="1" t="s">
        <v>1456</v>
      </c>
      <c r="AM156" s="9">
        <v>11201</v>
      </c>
      <c r="AN156" s="1" t="s">
        <v>83</v>
      </c>
      <c r="AO156" s="1" t="s">
        <v>314</v>
      </c>
      <c r="AP156" s="1" t="s">
        <v>1457</v>
      </c>
      <c r="AQ156" s="14">
        <v>45727</v>
      </c>
      <c r="AU156" s="14">
        <v>45727</v>
      </c>
      <c r="AV156" s="16">
        <v>0</v>
      </c>
      <c r="AW156" s="16">
        <v>0</v>
      </c>
      <c r="BA156" s="1" t="s">
        <v>911</v>
      </c>
      <c r="BB156" s="9">
        <v>7</v>
      </c>
      <c r="BC156" s="1" t="s">
        <v>826</v>
      </c>
      <c r="BD156" s="9" t="s">
        <v>807</v>
      </c>
      <c r="BE156" s="1" t="s">
        <v>850</v>
      </c>
      <c r="BF156" s="1" t="s">
        <v>27</v>
      </c>
      <c r="BG156" s="1" t="s">
        <v>851</v>
      </c>
      <c r="BH156" s="1" t="s">
        <v>852</v>
      </c>
      <c r="BI156" s="20" t="s">
        <v>853</v>
      </c>
      <c r="BJ156" s="21" t="str">
        <f t="shared" si="2"/>
        <v>FIXO</v>
      </c>
    </row>
    <row r="157" spans="1:62" x14ac:dyDescent="0.25">
      <c r="A157" s="7">
        <v>4</v>
      </c>
      <c r="B157" s="1" t="s">
        <v>271</v>
      </c>
      <c r="C157" s="8">
        <v>5</v>
      </c>
      <c r="D157" s="9" t="s">
        <v>807</v>
      </c>
      <c r="E157" s="10">
        <v>15191</v>
      </c>
      <c r="F157" s="11" t="s">
        <v>1458</v>
      </c>
      <c r="G157" s="12" t="s">
        <v>71</v>
      </c>
      <c r="H157" s="13" t="str">
        <f>VLOOKUP(AP157,[1]Listas!A:B,2,0)</f>
        <v xml:space="preserve">FESP </v>
      </c>
      <c r="I157" s="1" t="s">
        <v>27</v>
      </c>
      <c r="K157" s="1" t="s">
        <v>21</v>
      </c>
      <c r="L157" s="12"/>
      <c r="M157" s="1" t="s">
        <v>315</v>
      </c>
      <c r="N157" s="14">
        <v>37929</v>
      </c>
      <c r="O157" s="1" t="s">
        <v>809</v>
      </c>
      <c r="P157" s="1" t="s">
        <v>810</v>
      </c>
      <c r="Q157" s="15" t="s">
        <v>807</v>
      </c>
      <c r="R157" s="1" t="s">
        <v>857</v>
      </c>
      <c r="S157" s="1" t="s">
        <v>868</v>
      </c>
      <c r="T157" s="1" t="s">
        <v>869</v>
      </c>
      <c r="U157" s="9" t="s">
        <v>951</v>
      </c>
      <c r="V157" s="1" t="s">
        <v>952</v>
      </c>
      <c r="W157" s="1" t="s">
        <v>1220</v>
      </c>
      <c r="X157" s="1" t="s">
        <v>220</v>
      </c>
      <c r="Y157" s="14">
        <v>45734</v>
      </c>
      <c r="Z157" s="9" t="s">
        <v>817</v>
      </c>
      <c r="AB157" s="14">
        <v>45734</v>
      </c>
      <c r="AC157" s="9" t="s">
        <v>817</v>
      </c>
      <c r="AD157" s="9" t="s">
        <v>818</v>
      </c>
      <c r="AE157" s="1" t="s">
        <v>819</v>
      </c>
      <c r="AF157" s="14" t="s">
        <v>820</v>
      </c>
      <c r="AG157" s="9" t="s">
        <v>999</v>
      </c>
      <c r="AH157" s="1" t="s">
        <v>105</v>
      </c>
      <c r="AI157" s="9" t="s">
        <v>10</v>
      </c>
      <c r="AJ157" s="1" t="s">
        <v>11</v>
      </c>
      <c r="AK157" s="1" t="s">
        <v>1459</v>
      </c>
      <c r="AL157" s="1" t="s">
        <v>1460</v>
      </c>
      <c r="AM157" s="9">
        <v>11318</v>
      </c>
      <c r="AN157" s="1" t="s">
        <v>122</v>
      </c>
      <c r="AO157" s="1" t="s">
        <v>94</v>
      </c>
      <c r="AP157" s="1" t="s">
        <v>982</v>
      </c>
      <c r="AQ157" s="14">
        <v>45734</v>
      </c>
      <c r="AU157" s="14">
        <v>45734</v>
      </c>
      <c r="AV157" s="16">
        <v>0</v>
      </c>
      <c r="AW157" s="16">
        <v>0</v>
      </c>
      <c r="BA157" s="1" t="s">
        <v>911</v>
      </c>
      <c r="BB157" s="9">
        <v>7</v>
      </c>
      <c r="BC157" s="1" t="s">
        <v>826</v>
      </c>
      <c r="BD157" s="9" t="s">
        <v>807</v>
      </c>
      <c r="BE157" s="1" t="s">
        <v>1160</v>
      </c>
      <c r="BF157" s="1" t="s">
        <v>21</v>
      </c>
      <c r="BG157" s="1" t="s">
        <v>846</v>
      </c>
      <c r="BH157" s="1" t="s">
        <v>847</v>
      </c>
      <c r="BI157" s="1" t="s">
        <v>1055</v>
      </c>
      <c r="BJ157" s="21" t="str">
        <f t="shared" si="2"/>
        <v>FIXO</v>
      </c>
    </row>
    <row r="158" spans="1:62" x14ac:dyDescent="0.25">
      <c r="A158" s="7">
        <v>4</v>
      </c>
      <c r="B158" s="1" t="s">
        <v>271</v>
      </c>
      <c r="C158" s="8">
        <v>7</v>
      </c>
      <c r="D158" s="9" t="s">
        <v>807</v>
      </c>
      <c r="E158" s="10">
        <v>15194</v>
      </c>
      <c r="F158" s="11" t="s">
        <v>1461</v>
      </c>
      <c r="G158" s="1" t="s">
        <v>271</v>
      </c>
      <c r="H158" s="13" t="str">
        <f>VLOOKUP(AP158,[1]Listas!A:B,2,0)</f>
        <v xml:space="preserve">FBAG </v>
      </c>
      <c r="I158" s="1" t="s">
        <v>280</v>
      </c>
      <c r="K158" s="1" t="s">
        <v>308</v>
      </c>
      <c r="L158" s="12"/>
      <c r="M158" s="1" t="s">
        <v>1462</v>
      </c>
      <c r="N158" s="14">
        <v>34148</v>
      </c>
      <c r="O158" s="1" t="s">
        <v>855</v>
      </c>
      <c r="P158" s="1" t="s">
        <v>856</v>
      </c>
      <c r="Q158" s="15" t="s">
        <v>807</v>
      </c>
      <c r="R158" s="1" t="s">
        <v>857</v>
      </c>
      <c r="S158" s="1" t="s">
        <v>868</v>
      </c>
      <c r="T158" s="1" t="s">
        <v>869</v>
      </c>
      <c r="U158" s="9" t="s">
        <v>814</v>
      </c>
      <c r="V158" s="1" t="s">
        <v>815</v>
      </c>
      <c r="W158" s="1" t="s">
        <v>871</v>
      </c>
      <c r="X158" s="1" t="s">
        <v>34</v>
      </c>
      <c r="Y158" s="14">
        <v>45238</v>
      </c>
      <c r="Z158" s="9" t="s">
        <v>817</v>
      </c>
      <c r="AB158" s="14">
        <v>45237</v>
      </c>
      <c r="AC158" s="9" t="s">
        <v>817</v>
      </c>
      <c r="AD158" s="9" t="s">
        <v>818</v>
      </c>
      <c r="AE158" s="1" t="s">
        <v>819</v>
      </c>
      <c r="AF158" s="14" t="s">
        <v>820</v>
      </c>
      <c r="AG158" s="9" t="s">
        <v>821</v>
      </c>
      <c r="AH158" s="1" t="s">
        <v>9</v>
      </c>
      <c r="AI158" s="9" t="s">
        <v>10</v>
      </c>
      <c r="AJ158" s="1" t="s">
        <v>11</v>
      </c>
      <c r="AK158" s="1" t="s">
        <v>1402</v>
      </c>
      <c r="AL158" s="1" t="s">
        <v>1403</v>
      </c>
      <c r="AM158" s="9">
        <v>11571</v>
      </c>
      <c r="AN158" s="1" t="s">
        <v>293</v>
      </c>
      <c r="AO158" s="1" t="s">
        <v>284</v>
      </c>
      <c r="AP158" s="1" t="s">
        <v>1384</v>
      </c>
      <c r="AQ158" s="14">
        <v>45658</v>
      </c>
      <c r="AU158" s="14">
        <v>45799</v>
      </c>
      <c r="AV158" s="16">
        <v>0</v>
      </c>
      <c r="AW158" s="16">
        <v>0</v>
      </c>
      <c r="BA158" s="1" t="s">
        <v>911</v>
      </c>
      <c r="BB158" s="9">
        <v>7</v>
      </c>
      <c r="BC158" s="1" t="s">
        <v>826</v>
      </c>
      <c r="BD158" s="9" t="s">
        <v>807</v>
      </c>
      <c r="BE158" s="1" t="s">
        <v>1017</v>
      </c>
      <c r="BI158" s="1" t="s">
        <v>916</v>
      </c>
      <c r="BJ158" s="21" t="str">
        <f t="shared" si="2"/>
        <v>FIXO</v>
      </c>
    </row>
    <row r="159" spans="1:62" x14ac:dyDescent="0.25">
      <c r="A159" s="7">
        <v>4</v>
      </c>
      <c r="B159" s="1" t="s">
        <v>271</v>
      </c>
      <c r="C159" s="8">
        <v>7</v>
      </c>
      <c r="D159" s="9" t="s">
        <v>807</v>
      </c>
      <c r="E159" s="10">
        <v>15479</v>
      </c>
      <c r="F159" s="11" t="s">
        <v>1463</v>
      </c>
      <c r="G159" s="1" t="s">
        <v>271</v>
      </c>
      <c r="H159" s="13" t="str">
        <f>VLOOKUP(AP159,[1]Listas!A:B,2,0)</f>
        <v xml:space="preserve">FBAG </v>
      </c>
      <c r="I159" s="1" t="s">
        <v>280</v>
      </c>
      <c r="K159" s="1" t="s">
        <v>308</v>
      </c>
      <c r="L159" s="12"/>
      <c r="M159" s="1" t="s">
        <v>317</v>
      </c>
      <c r="N159" s="14">
        <v>34836</v>
      </c>
      <c r="O159" s="1" t="s">
        <v>855</v>
      </c>
      <c r="P159" s="1" t="s">
        <v>856</v>
      </c>
      <c r="Q159" s="15" t="s">
        <v>807</v>
      </c>
      <c r="R159" s="1" t="s">
        <v>857</v>
      </c>
      <c r="S159" s="1" t="s">
        <v>868</v>
      </c>
      <c r="T159" s="1" t="s">
        <v>869</v>
      </c>
      <c r="U159" s="9" t="s">
        <v>880</v>
      </c>
      <c r="V159" s="1" t="s">
        <v>881</v>
      </c>
      <c r="W159" s="1" t="s">
        <v>871</v>
      </c>
      <c r="X159" s="1" t="s">
        <v>34</v>
      </c>
      <c r="Y159" s="14">
        <v>45112</v>
      </c>
      <c r="Z159" s="9" t="s">
        <v>817</v>
      </c>
      <c r="AB159" s="14">
        <v>45111</v>
      </c>
      <c r="AC159" s="9" t="s">
        <v>817</v>
      </c>
      <c r="AD159" s="9" t="s">
        <v>818</v>
      </c>
      <c r="AE159" s="1" t="s">
        <v>819</v>
      </c>
      <c r="AF159" s="14" t="s">
        <v>820</v>
      </c>
      <c r="AG159" s="9" t="s">
        <v>821</v>
      </c>
      <c r="AH159" s="1" t="s">
        <v>9</v>
      </c>
      <c r="AI159" s="9" t="s">
        <v>10</v>
      </c>
      <c r="AJ159" s="1" t="s">
        <v>11</v>
      </c>
      <c r="AK159" s="1" t="s">
        <v>1464</v>
      </c>
      <c r="AL159" s="1" t="s">
        <v>1465</v>
      </c>
      <c r="AM159" s="9">
        <v>11570</v>
      </c>
      <c r="AN159" s="1" t="s">
        <v>276</v>
      </c>
      <c r="AO159" s="1" t="s">
        <v>284</v>
      </c>
      <c r="AP159" s="1" t="s">
        <v>1384</v>
      </c>
      <c r="AQ159" s="14">
        <v>45658</v>
      </c>
      <c r="AU159" s="14">
        <v>45799</v>
      </c>
      <c r="AV159" s="16">
        <v>0</v>
      </c>
      <c r="AW159" s="16">
        <v>0</v>
      </c>
      <c r="BA159" s="1" t="s">
        <v>911</v>
      </c>
      <c r="BB159" s="9">
        <v>7</v>
      </c>
      <c r="BC159" s="1" t="s">
        <v>826</v>
      </c>
      <c r="BD159" s="9" t="s">
        <v>807</v>
      </c>
      <c r="BE159" s="1" t="s">
        <v>1466</v>
      </c>
      <c r="BF159" s="1" t="s">
        <v>308</v>
      </c>
      <c r="BG159" s="1" t="s">
        <v>1443</v>
      </c>
      <c r="BH159" s="1" t="s">
        <v>1444</v>
      </c>
      <c r="BI159" s="1" t="s">
        <v>916</v>
      </c>
      <c r="BJ159" s="21" t="str">
        <f t="shared" si="2"/>
        <v>FIXO</v>
      </c>
    </row>
    <row r="160" spans="1:62" x14ac:dyDescent="0.25">
      <c r="A160" s="7">
        <v>4</v>
      </c>
      <c r="B160" s="1" t="s">
        <v>271</v>
      </c>
      <c r="C160" s="8">
        <v>7</v>
      </c>
      <c r="D160" s="9" t="s">
        <v>807</v>
      </c>
      <c r="E160" s="10">
        <v>15488</v>
      </c>
      <c r="F160" s="11" t="s">
        <v>1467</v>
      </c>
      <c r="G160" s="1" t="s">
        <v>271</v>
      </c>
      <c r="H160" s="13" t="str">
        <f>VLOOKUP(AP160,[1]Listas!A:B,2,0)</f>
        <v xml:space="preserve">FBAG </v>
      </c>
      <c r="I160" s="1" t="s">
        <v>280</v>
      </c>
      <c r="K160" s="12"/>
      <c r="L160" s="12"/>
      <c r="M160" s="1" t="s">
        <v>318</v>
      </c>
      <c r="N160" s="14">
        <v>33822</v>
      </c>
      <c r="O160" s="1" t="s">
        <v>809</v>
      </c>
      <c r="P160" s="1" t="s">
        <v>810</v>
      </c>
      <c r="Q160" s="15" t="s">
        <v>807</v>
      </c>
      <c r="R160" s="1" t="s">
        <v>857</v>
      </c>
      <c r="S160" s="1" t="s">
        <v>868</v>
      </c>
      <c r="T160" s="1" t="s">
        <v>869</v>
      </c>
      <c r="U160" s="9" t="s">
        <v>868</v>
      </c>
      <c r="V160" s="1" t="s">
        <v>913</v>
      </c>
      <c r="W160" s="1" t="s">
        <v>1051</v>
      </c>
      <c r="X160" s="1" t="s">
        <v>126</v>
      </c>
      <c r="Y160" s="14">
        <v>45112</v>
      </c>
      <c r="Z160" s="9" t="s">
        <v>817</v>
      </c>
      <c r="AB160" s="14">
        <v>45111</v>
      </c>
      <c r="AC160" s="9" t="s">
        <v>817</v>
      </c>
      <c r="AD160" s="9" t="s">
        <v>818</v>
      </c>
      <c r="AE160" s="1" t="s">
        <v>819</v>
      </c>
      <c r="AF160" s="14">
        <v>45885</v>
      </c>
      <c r="AG160" s="9" t="s">
        <v>821</v>
      </c>
      <c r="AH160" s="1" t="s">
        <v>9</v>
      </c>
      <c r="AI160" s="9" t="s">
        <v>120</v>
      </c>
      <c r="AJ160" s="1" t="s">
        <v>121</v>
      </c>
      <c r="AK160" s="1" t="s">
        <v>1468</v>
      </c>
      <c r="AL160" s="1" t="s">
        <v>1469</v>
      </c>
      <c r="AM160" s="9">
        <v>11555</v>
      </c>
      <c r="AN160" s="1" t="s">
        <v>127</v>
      </c>
      <c r="AO160" s="1" t="s">
        <v>319</v>
      </c>
      <c r="AP160" s="1" t="s">
        <v>1470</v>
      </c>
      <c r="AQ160" s="14">
        <v>45658</v>
      </c>
      <c r="AU160" s="14">
        <v>45799</v>
      </c>
      <c r="AV160" s="16">
        <v>0</v>
      </c>
      <c r="AW160" s="16">
        <v>0</v>
      </c>
      <c r="BA160" s="1" t="s">
        <v>911</v>
      </c>
      <c r="BB160" s="9">
        <v>27</v>
      </c>
      <c r="BC160" s="1" t="s">
        <v>1471</v>
      </c>
      <c r="BD160" s="9" t="s">
        <v>807</v>
      </c>
      <c r="BE160" s="1" t="s">
        <v>850</v>
      </c>
      <c r="BF160" s="1" t="s">
        <v>27</v>
      </c>
      <c r="BG160" s="1" t="s">
        <v>851</v>
      </c>
      <c r="BH160" s="1" t="s">
        <v>852</v>
      </c>
      <c r="BI160" s="1" t="s">
        <v>1055</v>
      </c>
      <c r="BJ160" s="21" t="str">
        <f t="shared" si="2"/>
        <v>FIXO</v>
      </c>
    </row>
    <row r="161" spans="1:62" x14ac:dyDescent="0.25">
      <c r="A161" s="7">
        <v>4</v>
      </c>
      <c r="B161" s="1" t="s">
        <v>271</v>
      </c>
      <c r="C161" s="8">
        <v>7</v>
      </c>
      <c r="D161" s="9" t="s">
        <v>807</v>
      </c>
      <c r="E161" s="10">
        <v>15713</v>
      </c>
      <c r="F161" s="11" t="s">
        <v>1472</v>
      </c>
      <c r="G161" s="12" t="s">
        <v>71</v>
      </c>
      <c r="H161" s="13" t="str">
        <f>VLOOKUP(AP161,[1]Listas!A:B,2,0)</f>
        <v xml:space="preserve">FBAG </v>
      </c>
      <c r="I161" s="1" t="s">
        <v>27</v>
      </c>
      <c r="K161" s="12"/>
      <c r="L161" s="12"/>
      <c r="M161" s="1" t="s">
        <v>320</v>
      </c>
      <c r="N161" s="14">
        <v>34779</v>
      </c>
      <c r="O161" s="1" t="s">
        <v>855</v>
      </c>
      <c r="P161" s="1" t="s">
        <v>856</v>
      </c>
      <c r="Q161" s="15" t="s">
        <v>807</v>
      </c>
      <c r="R161" s="1" t="s">
        <v>857</v>
      </c>
      <c r="S161" s="1" t="s">
        <v>868</v>
      </c>
      <c r="T161" s="1" t="s">
        <v>869</v>
      </c>
      <c r="U161" s="9" t="s">
        <v>814</v>
      </c>
      <c r="V161" s="1" t="s">
        <v>815</v>
      </c>
      <c r="W161" s="1" t="s">
        <v>998</v>
      </c>
      <c r="X161" s="1" t="s">
        <v>104</v>
      </c>
      <c r="Y161" s="14">
        <v>45262</v>
      </c>
      <c r="Z161" s="9" t="s">
        <v>817</v>
      </c>
      <c r="AB161" s="14">
        <v>45146</v>
      </c>
      <c r="AC161" s="9" t="s">
        <v>817</v>
      </c>
      <c r="AD161" s="9" t="s">
        <v>818</v>
      </c>
      <c r="AE161" s="1" t="s">
        <v>819</v>
      </c>
      <c r="AF161" s="14" t="s">
        <v>820</v>
      </c>
      <c r="AG161" s="9" t="s">
        <v>821</v>
      </c>
      <c r="AH161" s="1" t="s">
        <v>9</v>
      </c>
      <c r="AI161" s="9" t="s">
        <v>10</v>
      </c>
      <c r="AJ161" s="1" t="s">
        <v>11</v>
      </c>
      <c r="AK161" s="1" t="s">
        <v>1473</v>
      </c>
      <c r="AL161" s="1" t="s">
        <v>1474</v>
      </c>
      <c r="AM161" s="9">
        <v>11501</v>
      </c>
      <c r="AN161" s="1" t="s">
        <v>83</v>
      </c>
      <c r="AO161" s="1" t="s">
        <v>321</v>
      </c>
      <c r="AP161" s="1" t="s">
        <v>1475</v>
      </c>
      <c r="AQ161" s="14">
        <v>45658</v>
      </c>
      <c r="AU161" s="14">
        <v>45799</v>
      </c>
      <c r="AV161" s="16">
        <v>0</v>
      </c>
      <c r="AW161" s="16">
        <v>0</v>
      </c>
      <c r="BA161" s="1" t="s">
        <v>911</v>
      </c>
      <c r="BB161" s="9">
        <v>1</v>
      </c>
      <c r="BC161" s="1" t="s">
        <v>862</v>
      </c>
      <c r="BD161" s="9" t="s">
        <v>807</v>
      </c>
      <c r="BE161" s="1" t="s">
        <v>850</v>
      </c>
      <c r="BF161" s="1" t="s">
        <v>27</v>
      </c>
      <c r="BG161" s="1" t="s">
        <v>851</v>
      </c>
      <c r="BH161" s="1" t="s">
        <v>852</v>
      </c>
      <c r="BI161" s="1" t="s">
        <v>853</v>
      </c>
      <c r="BJ161" s="21" t="str">
        <f t="shared" si="2"/>
        <v>FIXO</v>
      </c>
    </row>
    <row r="162" spans="1:62" x14ac:dyDescent="0.25">
      <c r="A162" s="7">
        <v>4</v>
      </c>
      <c r="B162" s="1" t="s">
        <v>271</v>
      </c>
      <c r="C162" s="8">
        <v>7</v>
      </c>
      <c r="D162" s="9" t="s">
        <v>807</v>
      </c>
      <c r="E162" s="10">
        <v>15971</v>
      </c>
      <c r="F162" s="11" t="s">
        <v>1476</v>
      </c>
      <c r="G162" s="1" t="s">
        <v>271</v>
      </c>
      <c r="H162" s="13" t="str">
        <f>VLOOKUP(AP162,[1]Listas!A:B,2,0)</f>
        <v xml:space="preserve">FBAG </v>
      </c>
      <c r="I162" s="1" t="s">
        <v>280</v>
      </c>
      <c r="K162" s="1" t="s">
        <v>308</v>
      </c>
      <c r="L162" s="12"/>
      <c r="M162" s="1" t="s">
        <v>322</v>
      </c>
      <c r="N162" s="14">
        <v>34664</v>
      </c>
      <c r="O162" s="1" t="s">
        <v>855</v>
      </c>
      <c r="P162" s="1" t="s">
        <v>856</v>
      </c>
      <c r="Q162" s="15" t="s">
        <v>811</v>
      </c>
      <c r="R162" s="1" t="s">
        <v>812</v>
      </c>
      <c r="S162" s="1" t="s">
        <v>868</v>
      </c>
      <c r="T162" s="1" t="s">
        <v>869</v>
      </c>
      <c r="U162" s="9" t="s">
        <v>880</v>
      </c>
      <c r="V162" s="1" t="s">
        <v>881</v>
      </c>
      <c r="W162" s="1" t="s">
        <v>871</v>
      </c>
      <c r="X162" s="1" t="s">
        <v>34</v>
      </c>
      <c r="Y162" s="14">
        <v>45353</v>
      </c>
      <c r="Z162" s="9" t="s">
        <v>817</v>
      </c>
      <c r="AB162" s="14">
        <v>45177</v>
      </c>
      <c r="AC162" s="9" t="s">
        <v>817</v>
      </c>
      <c r="AD162" s="9" t="s">
        <v>818</v>
      </c>
      <c r="AE162" s="1" t="s">
        <v>819</v>
      </c>
      <c r="AF162" s="14" t="s">
        <v>820</v>
      </c>
      <c r="AG162" s="9" t="s">
        <v>835</v>
      </c>
      <c r="AH162" s="1" t="s">
        <v>17</v>
      </c>
      <c r="AI162" s="9" t="s">
        <v>10</v>
      </c>
      <c r="AJ162" s="1" t="s">
        <v>11</v>
      </c>
      <c r="AK162" s="1" t="s">
        <v>1464</v>
      </c>
      <c r="AL162" s="1" t="s">
        <v>1465</v>
      </c>
      <c r="AM162" s="9">
        <v>11570</v>
      </c>
      <c r="AN162" s="1" t="s">
        <v>276</v>
      </c>
      <c r="AO162" s="1" t="s">
        <v>284</v>
      </c>
      <c r="AP162" s="1" t="s">
        <v>1384</v>
      </c>
      <c r="AQ162" s="14">
        <v>45658</v>
      </c>
      <c r="AU162" s="14">
        <v>45901</v>
      </c>
      <c r="AV162" s="16">
        <v>0</v>
      </c>
      <c r="AW162" s="16">
        <v>0</v>
      </c>
      <c r="BA162" s="1" t="s">
        <v>911</v>
      </c>
      <c r="BB162" s="9">
        <v>1</v>
      </c>
      <c r="BC162" s="1" t="s">
        <v>862</v>
      </c>
      <c r="BD162" s="9" t="s">
        <v>807</v>
      </c>
      <c r="BE162" s="1" t="s">
        <v>1466</v>
      </c>
      <c r="BF162" s="1" t="s">
        <v>308</v>
      </c>
      <c r="BG162" s="1" t="s">
        <v>1443</v>
      </c>
      <c r="BH162" s="1" t="s">
        <v>1444</v>
      </c>
      <c r="BI162" s="1" t="s">
        <v>916</v>
      </c>
      <c r="BJ162" s="21" t="str">
        <f t="shared" si="2"/>
        <v>FIXO</v>
      </c>
    </row>
    <row r="163" spans="1:62" x14ac:dyDescent="0.25">
      <c r="A163" s="7">
        <v>4</v>
      </c>
      <c r="B163" s="1" t="s">
        <v>271</v>
      </c>
      <c r="C163" s="8">
        <v>5</v>
      </c>
      <c r="D163" s="9" t="s">
        <v>807</v>
      </c>
      <c r="E163" s="10">
        <v>16119</v>
      </c>
      <c r="F163" s="11" t="s">
        <v>1477</v>
      </c>
      <c r="G163" s="1" t="s">
        <v>41</v>
      </c>
      <c r="H163" s="13" t="str">
        <f>VLOOKUP(AP163,[1]Listas!A:B,2,0)</f>
        <v xml:space="preserve">FESP </v>
      </c>
      <c r="I163" s="12" t="s">
        <v>38</v>
      </c>
      <c r="K163" s="1" t="s">
        <v>32</v>
      </c>
      <c r="L163" s="12"/>
      <c r="M163" s="1" t="s">
        <v>323</v>
      </c>
      <c r="N163" s="14">
        <v>38330</v>
      </c>
      <c r="O163" s="1" t="s">
        <v>855</v>
      </c>
      <c r="P163" s="1" t="s">
        <v>856</v>
      </c>
      <c r="Q163" s="15" t="s">
        <v>807</v>
      </c>
      <c r="R163" s="1" t="s">
        <v>857</v>
      </c>
      <c r="S163" s="1" t="s">
        <v>868</v>
      </c>
      <c r="T163" s="1" t="s">
        <v>869</v>
      </c>
      <c r="U163" s="9" t="s">
        <v>880</v>
      </c>
      <c r="V163" s="1" t="s">
        <v>881</v>
      </c>
      <c r="W163" s="1" t="s">
        <v>925</v>
      </c>
      <c r="X163" s="1" t="s">
        <v>61</v>
      </c>
      <c r="Y163" s="14">
        <v>45538</v>
      </c>
      <c r="Z163" s="9" t="s">
        <v>817</v>
      </c>
      <c r="AB163" s="14">
        <v>45446</v>
      </c>
      <c r="AC163" s="9" t="s">
        <v>817</v>
      </c>
      <c r="AD163" s="9" t="s">
        <v>818</v>
      </c>
      <c r="AE163" s="1" t="s">
        <v>819</v>
      </c>
      <c r="AF163" s="14" t="s">
        <v>820</v>
      </c>
      <c r="AG163" s="9" t="s">
        <v>821</v>
      </c>
      <c r="AH163" s="1" t="s">
        <v>9</v>
      </c>
      <c r="AI163" s="9" t="s">
        <v>10</v>
      </c>
      <c r="AJ163" s="1" t="s">
        <v>11</v>
      </c>
      <c r="AK163" s="1" t="s">
        <v>1478</v>
      </c>
      <c r="AL163" s="1" t="s">
        <v>927</v>
      </c>
      <c r="AM163" s="9">
        <v>11336</v>
      </c>
      <c r="AN163" s="1" t="s">
        <v>62</v>
      </c>
      <c r="AO163" s="1" t="s">
        <v>63</v>
      </c>
      <c r="AP163" s="1" t="s">
        <v>928</v>
      </c>
      <c r="AQ163" s="14">
        <v>45658</v>
      </c>
      <c r="AU163" s="14">
        <v>45799</v>
      </c>
      <c r="AV163" s="16">
        <v>0</v>
      </c>
      <c r="AW163" s="16">
        <v>0</v>
      </c>
      <c r="BA163" s="1" t="s">
        <v>911</v>
      </c>
      <c r="BB163" s="9">
        <v>1</v>
      </c>
      <c r="BC163" s="1" t="s">
        <v>862</v>
      </c>
      <c r="BD163" s="9" t="s">
        <v>807</v>
      </c>
      <c r="BE163" s="1" t="s">
        <v>863</v>
      </c>
      <c r="BF163" s="1" t="s">
        <v>32</v>
      </c>
      <c r="BG163" s="1" t="s">
        <v>864</v>
      </c>
      <c r="BH163" s="1" t="s">
        <v>865</v>
      </c>
      <c r="BI163" s="1" t="s">
        <v>929</v>
      </c>
      <c r="BJ163" s="21" t="str">
        <f t="shared" si="2"/>
        <v>FIXO</v>
      </c>
    </row>
    <row r="164" spans="1:62" x14ac:dyDescent="0.25">
      <c r="A164" s="7">
        <v>4</v>
      </c>
      <c r="B164" s="1" t="s">
        <v>271</v>
      </c>
      <c r="C164" s="8">
        <v>7</v>
      </c>
      <c r="D164" s="9" t="s">
        <v>807</v>
      </c>
      <c r="E164" s="10">
        <v>16566</v>
      </c>
      <c r="F164" s="11" t="s">
        <v>1479</v>
      </c>
      <c r="G164" s="1" t="s">
        <v>271</v>
      </c>
      <c r="H164" s="13" t="str">
        <f>VLOOKUP(AP164,[1]Listas!A:B,2,0)</f>
        <v xml:space="preserve">FBAG </v>
      </c>
      <c r="I164" s="1" t="s">
        <v>280</v>
      </c>
      <c r="K164" s="12"/>
      <c r="L164" s="12"/>
      <c r="M164" s="1" t="s">
        <v>324</v>
      </c>
      <c r="N164" s="14">
        <v>33011</v>
      </c>
      <c r="O164" s="1" t="s">
        <v>855</v>
      </c>
      <c r="P164" s="1" t="s">
        <v>856</v>
      </c>
      <c r="Q164" s="15" t="s">
        <v>807</v>
      </c>
      <c r="R164" s="1" t="s">
        <v>857</v>
      </c>
      <c r="S164" s="1" t="s">
        <v>868</v>
      </c>
      <c r="T164" s="1" t="s">
        <v>869</v>
      </c>
      <c r="U164" s="9" t="s">
        <v>880</v>
      </c>
      <c r="V164" s="1" t="s">
        <v>881</v>
      </c>
      <c r="W164" s="1" t="s">
        <v>871</v>
      </c>
      <c r="X164" s="1" t="s">
        <v>34</v>
      </c>
      <c r="Y164" s="14">
        <v>45901</v>
      </c>
      <c r="Z164" s="9" t="s">
        <v>817</v>
      </c>
      <c r="AB164" s="14">
        <v>45251</v>
      </c>
      <c r="AC164" s="9" t="s">
        <v>817</v>
      </c>
      <c r="AD164" s="9" t="s">
        <v>818</v>
      </c>
      <c r="AE164" s="1" t="s">
        <v>819</v>
      </c>
      <c r="AF164" s="14" t="s">
        <v>820</v>
      </c>
      <c r="AG164" s="9" t="s">
        <v>821</v>
      </c>
      <c r="AH164" s="1" t="s">
        <v>9</v>
      </c>
      <c r="AI164" s="9" t="s">
        <v>10</v>
      </c>
      <c r="AJ164" s="1" t="s">
        <v>11</v>
      </c>
      <c r="AK164" s="1" t="s">
        <v>1382</v>
      </c>
      <c r="AL164" s="1" t="s">
        <v>1383</v>
      </c>
      <c r="AM164" s="9">
        <v>11543</v>
      </c>
      <c r="AN164" s="1" t="s">
        <v>114</v>
      </c>
      <c r="AO164" s="1" t="s">
        <v>284</v>
      </c>
      <c r="AP164" s="1" t="s">
        <v>1384</v>
      </c>
      <c r="AQ164" s="14">
        <v>45658</v>
      </c>
      <c r="AU164" s="14">
        <v>45799</v>
      </c>
      <c r="AV164" s="16">
        <v>0</v>
      </c>
      <c r="AW164" s="16">
        <v>0</v>
      </c>
      <c r="BA164" s="1" t="s">
        <v>911</v>
      </c>
      <c r="BB164" s="9">
        <v>7</v>
      </c>
      <c r="BC164" s="1" t="s">
        <v>826</v>
      </c>
      <c r="BD164" s="9" t="s">
        <v>807</v>
      </c>
      <c r="BE164" s="1" t="s">
        <v>1385</v>
      </c>
      <c r="BF164" s="1" t="s">
        <v>280</v>
      </c>
      <c r="BG164" s="1" t="s">
        <v>1375</v>
      </c>
      <c r="BH164" s="1" t="s">
        <v>1376</v>
      </c>
      <c r="BI164" s="1" t="s">
        <v>1118</v>
      </c>
      <c r="BJ164" s="21" t="str">
        <f t="shared" si="2"/>
        <v>FIXO</v>
      </c>
    </row>
    <row r="165" spans="1:62" x14ac:dyDescent="0.25">
      <c r="A165" s="7">
        <v>4</v>
      </c>
      <c r="B165" s="1" t="s">
        <v>271</v>
      </c>
      <c r="C165" s="8">
        <v>5</v>
      </c>
      <c r="D165" s="9" t="s">
        <v>807</v>
      </c>
      <c r="E165" s="10">
        <v>16951</v>
      </c>
      <c r="F165" s="11" t="s">
        <v>1480</v>
      </c>
      <c r="G165" s="1" t="s">
        <v>41</v>
      </c>
      <c r="H165" s="13" t="str">
        <f>VLOOKUP(AP165,[1]Listas!A:B,2,0)</f>
        <v xml:space="preserve">FESP </v>
      </c>
      <c r="I165" s="12" t="s">
        <v>38</v>
      </c>
      <c r="K165" s="1" t="s">
        <v>32</v>
      </c>
      <c r="L165" s="1" t="s">
        <v>79</v>
      </c>
      <c r="M165" s="1" t="s">
        <v>325</v>
      </c>
      <c r="N165" s="14">
        <v>35606</v>
      </c>
      <c r="O165" s="1" t="s">
        <v>855</v>
      </c>
      <c r="P165" s="1" t="s">
        <v>856</v>
      </c>
      <c r="Q165" s="15" t="s">
        <v>807</v>
      </c>
      <c r="R165" s="1" t="s">
        <v>857</v>
      </c>
      <c r="S165" s="1" t="s">
        <v>868</v>
      </c>
      <c r="T165" s="1" t="s">
        <v>869</v>
      </c>
      <c r="U165" s="9" t="s">
        <v>814</v>
      </c>
      <c r="V165" s="1" t="s">
        <v>815</v>
      </c>
      <c r="W165" s="1" t="s">
        <v>871</v>
      </c>
      <c r="X165" s="1" t="s">
        <v>34</v>
      </c>
      <c r="Y165" s="14">
        <v>45385</v>
      </c>
      <c r="Z165" s="9" t="s">
        <v>817</v>
      </c>
      <c r="AB165" s="14">
        <v>45384</v>
      </c>
      <c r="AC165" s="9" t="s">
        <v>817</v>
      </c>
      <c r="AD165" s="9" t="s">
        <v>818</v>
      </c>
      <c r="AE165" s="1" t="s">
        <v>819</v>
      </c>
      <c r="AF165" s="14" t="s">
        <v>820</v>
      </c>
      <c r="AG165" s="9" t="s">
        <v>821</v>
      </c>
      <c r="AH165" s="1" t="s">
        <v>9</v>
      </c>
      <c r="AI165" s="9" t="s">
        <v>10</v>
      </c>
      <c r="AJ165" s="1" t="s">
        <v>11</v>
      </c>
      <c r="AK165" s="1" t="s">
        <v>1481</v>
      </c>
      <c r="AL165" s="1" t="s">
        <v>919</v>
      </c>
      <c r="AM165" s="9">
        <v>11377</v>
      </c>
      <c r="AN165" s="1" t="s">
        <v>56</v>
      </c>
      <c r="AO165" s="1" t="s">
        <v>36</v>
      </c>
      <c r="AP165" s="1" t="s">
        <v>874</v>
      </c>
      <c r="AQ165" s="14">
        <v>45658</v>
      </c>
      <c r="AU165" s="14">
        <v>45799</v>
      </c>
      <c r="AV165" s="16">
        <v>0</v>
      </c>
      <c r="AW165" s="16">
        <v>0</v>
      </c>
      <c r="BA165" s="1" t="s">
        <v>911</v>
      </c>
      <c r="BB165" s="9">
        <v>1</v>
      </c>
      <c r="BC165" s="1" t="s">
        <v>862</v>
      </c>
      <c r="BD165" s="9" t="s">
        <v>807</v>
      </c>
      <c r="BE165" s="1" t="s">
        <v>863</v>
      </c>
      <c r="BF165" s="1" t="s">
        <v>32</v>
      </c>
      <c r="BG165" s="1" t="s">
        <v>864</v>
      </c>
      <c r="BH165" s="1" t="s">
        <v>865</v>
      </c>
      <c r="BI165" s="1" t="s">
        <v>916</v>
      </c>
      <c r="BJ165" s="21" t="str">
        <f t="shared" si="2"/>
        <v>FIXO</v>
      </c>
    </row>
    <row r="166" spans="1:62" x14ac:dyDescent="0.25">
      <c r="A166" s="7">
        <v>4</v>
      </c>
      <c r="B166" s="1" t="s">
        <v>271</v>
      </c>
      <c r="C166" s="8">
        <v>7</v>
      </c>
      <c r="D166" s="9" t="s">
        <v>807</v>
      </c>
      <c r="E166" s="10">
        <v>16971</v>
      </c>
      <c r="F166" s="11" t="s">
        <v>1482</v>
      </c>
      <c r="G166" s="1" t="s">
        <v>271</v>
      </c>
      <c r="H166" s="13" t="str">
        <f>VLOOKUP(AP166,[1]Listas!A:B,2,0)</f>
        <v xml:space="preserve">FBAG </v>
      </c>
      <c r="I166" s="1" t="s">
        <v>280</v>
      </c>
      <c r="K166" s="12"/>
      <c r="L166" s="12"/>
      <c r="M166" s="1" t="s">
        <v>326</v>
      </c>
      <c r="N166" s="14">
        <v>34868</v>
      </c>
      <c r="O166" s="1" t="s">
        <v>855</v>
      </c>
      <c r="P166" s="1" t="s">
        <v>856</v>
      </c>
      <c r="Q166" s="15" t="s">
        <v>807</v>
      </c>
      <c r="R166" s="1" t="s">
        <v>857</v>
      </c>
      <c r="S166" s="1" t="s">
        <v>868</v>
      </c>
      <c r="T166" s="1" t="s">
        <v>869</v>
      </c>
      <c r="U166" s="9" t="s">
        <v>880</v>
      </c>
      <c r="V166" s="1" t="s">
        <v>881</v>
      </c>
      <c r="W166" s="1" t="s">
        <v>871</v>
      </c>
      <c r="X166" s="1" t="s">
        <v>34</v>
      </c>
      <c r="Y166" s="14">
        <v>45296</v>
      </c>
      <c r="Z166" s="9" t="s">
        <v>817</v>
      </c>
      <c r="AB166" s="14">
        <v>45295</v>
      </c>
      <c r="AC166" s="9" t="s">
        <v>817</v>
      </c>
      <c r="AD166" s="9" t="s">
        <v>818</v>
      </c>
      <c r="AE166" s="1" t="s">
        <v>819</v>
      </c>
      <c r="AF166" s="14" t="s">
        <v>820</v>
      </c>
      <c r="AG166" s="9" t="s">
        <v>821</v>
      </c>
      <c r="AH166" s="1" t="s">
        <v>9</v>
      </c>
      <c r="AI166" s="9" t="s">
        <v>10</v>
      </c>
      <c r="AJ166" s="1" t="s">
        <v>11</v>
      </c>
      <c r="AK166" s="1" t="s">
        <v>1483</v>
      </c>
      <c r="AL166" s="1" t="s">
        <v>1484</v>
      </c>
      <c r="AM166" s="9">
        <v>11569</v>
      </c>
      <c r="AN166" s="1" t="s">
        <v>272</v>
      </c>
      <c r="AO166" s="1" t="s">
        <v>284</v>
      </c>
      <c r="AP166" s="1" t="s">
        <v>1384</v>
      </c>
      <c r="AQ166" s="14">
        <v>45658</v>
      </c>
      <c r="AU166" s="14">
        <v>45799</v>
      </c>
      <c r="AV166" s="16">
        <v>0</v>
      </c>
      <c r="AW166" s="16">
        <v>0</v>
      </c>
      <c r="BA166" s="1" t="s">
        <v>911</v>
      </c>
      <c r="BB166" s="9">
        <v>7</v>
      </c>
      <c r="BC166" s="1" t="s">
        <v>826</v>
      </c>
      <c r="BD166" s="9" t="s">
        <v>807</v>
      </c>
      <c r="BE166" s="1" t="s">
        <v>1439</v>
      </c>
      <c r="BF166" s="1" t="s">
        <v>307</v>
      </c>
      <c r="BG166" s="1" t="s">
        <v>1440</v>
      </c>
      <c r="BH166" s="1" t="s">
        <v>1441</v>
      </c>
      <c r="BI166" s="1" t="s">
        <v>878</v>
      </c>
      <c r="BJ166" s="21" t="str">
        <f t="shared" si="2"/>
        <v>FIXO</v>
      </c>
    </row>
    <row r="167" spans="1:62" x14ac:dyDescent="0.25">
      <c r="A167" s="7">
        <v>4</v>
      </c>
      <c r="B167" s="1" t="s">
        <v>271</v>
      </c>
      <c r="C167" s="8">
        <v>7</v>
      </c>
      <c r="D167" s="9" t="s">
        <v>807</v>
      </c>
      <c r="E167" s="10">
        <v>17036</v>
      </c>
      <c r="F167" s="11" t="s">
        <v>1485</v>
      </c>
      <c r="G167" s="1" t="s">
        <v>271</v>
      </c>
      <c r="H167" s="13" t="str">
        <f>VLOOKUP(AP167,[1]Listas!A:B,2,0)</f>
        <v xml:space="preserve">FBAG </v>
      </c>
      <c r="I167" s="1" t="s">
        <v>280</v>
      </c>
      <c r="K167" s="1" t="s">
        <v>285</v>
      </c>
      <c r="L167" s="12"/>
      <c r="M167" s="1" t="s">
        <v>327</v>
      </c>
      <c r="N167" s="14">
        <v>30387</v>
      </c>
      <c r="O167" s="1" t="s">
        <v>855</v>
      </c>
      <c r="P167" s="1" t="s">
        <v>856</v>
      </c>
      <c r="Q167" s="15" t="s">
        <v>807</v>
      </c>
      <c r="R167" s="1" t="s">
        <v>857</v>
      </c>
      <c r="S167" s="1" t="s">
        <v>868</v>
      </c>
      <c r="T167" s="1" t="s">
        <v>869</v>
      </c>
      <c r="U167" s="9" t="s">
        <v>811</v>
      </c>
      <c r="V167" s="1" t="s">
        <v>870</v>
      </c>
      <c r="W167" s="1" t="s">
        <v>1430</v>
      </c>
      <c r="X167" s="1" t="s">
        <v>303</v>
      </c>
      <c r="Y167" s="14">
        <v>45393</v>
      </c>
      <c r="Z167" s="9" t="s">
        <v>817</v>
      </c>
      <c r="AB167" s="14">
        <v>45301</v>
      </c>
      <c r="AC167" s="9" t="s">
        <v>817</v>
      </c>
      <c r="AD167" s="9" t="s">
        <v>818</v>
      </c>
      <c r="AE167" s="1" t="s">
        <v>819</v>
      </c>
      <c r="AF167" s="14" t="s">
        <v>820</v>
      </c>
      <c r="AG167" s="9" t="s">
        <v>821</v>
      </c>
      <c r="AH167" s="1" t="s">
        <v>9</v>
      </c>
      <c r="AI167" s="9" t="s">
        <v>10</v>
      </c>
      <c r="AJ167" s="1" t="s">
        <v>11</v>
      </c>
      <c r="AK167" s="1" t="s">
        <v>1431</v>
      </c>
      <c r="AL167" s="1" t="s">
        <v>1432</v>
      </c>
      <c r="AM167" s="9">
        <v>11507</v>
      </c>
      <c r="AN167" s="1" t="s">
        <v>295</v>
      </c>
      <c r="AO167" s="1" t="s">
        <v>304</v>
      </c>
      <c r="AP167" s="1" t="s">
        <v>1433</v>
      </c>
      <c r="AQ167" s="14">
        <v>45658</v>
      </c>
      <c r="AU167" s="14">
        <v>45799</v>
      </c>
      <c r="AV167" s="16">
        <v>0</v>
      </c>
      <c r="AW167" s="16">
        <v>0</v>
      </c>
      <c r="BA167" s="1" t="s">
        <v>911</v>
      </c>
      <c r="BB167" s="9">
        <v>7</v>
      </c>
      <c r="BC167" s="1" t="s">
        <v>826</v>
      </c>
      <c r="BD167" s="9" t="s">
        <v>807</v>
      </c>
      <c r="BE167" s="1" t="s">
        <v>1434</v>
      </c>
      <c r="BF167" s="1" t="s">
        <v>285</v>
      </c>
      <c r="BG167" s="1" t="s">
        <v>1388</v>
      </c>
      <c r="BH167" s="1" t="s">
        <v>1389</v>
      </c>
      <c r="BI167" s="1" t="s">
        <v>1073</v>
      </c>
      <c r="BJ167" s="21" t="str">
        <f t="shared" si="2"/>
        <v>FIXO</v>
      </c>
    </row>
    <row r="168" spans="1:62" x14ac:dyDescent="0.25">
      <c r="A168" s="7">
        <v>4</v>
      </c>
      <c r="B168" s="1" t="s">
        <v>271</v>
      </c>
      <c r="C168" s="8">
        <v>5</v>
      </c>
      <c r="D168" s="9" t="s">
        <v>807</v>
      </c>
      <c r="E168" s="10">
        <v>17049</v>
      </c>
      <c r="F168" s="11" t="s">
        <v>1486</v>
      </c>
      <c r="G168" s="1" t="s">
        <v>41</v>
      </c>
      <c r="H168" s="13" t="str">
        <f>VLOOKUP(AP168,[1]Listas!A:B,2,0)</f>
        <v xml:space="preserve">FESP </v>
      </c>
      <c r="I168" s="1" t="s">
        <v>38</v>
      </c>
      <c r="K168" s="12"/>
      <c r="L168" s="1" t="s">
        <v>38</v>
      </c>
      <c r="M168" s="1" t="s">
        <v>1487</v>
      </c>
      <c r="N168" s="14">
        <v>35799</v>
      </c>
      <c r="O168" s="1" t="s">
        <v>855</v>
      </c>
      <c r="P168" s="1" t="s">
        <v>856</v>
      </c>
      <c r="Q168" s="15" t="s">
        <v>807</v>
      </c>
      <c r="R168" s="1" t="s">
        <v>857</v>
      </c>
      <c r="S168" s="1" t="s">
        <v>868</v>
      </c>
      <c r="T168" s="1" t="s">
        <v>869</v>
      </c>
      <c r="U168" s="9" t="s">
        <v>868</v>
      </c>
      <c r="V168" s="1" t="s">
        <v>913</v>
      </c>
      <c r="W168" s="1" t="s">
        <v>1488</v>
      </c>
      <c r="X168" s="1" t="s">
        <v>1489</v>
      </c>
      <c r="Y168" s="14">
        <v>45912</v>
      </c>
      <c r="Z168" s="9" t="s">
        <v>817</v>
      </c>
      <c r="AB168" s="14">
        <v>45912</v>
      </c>
      <c r="AC168" s="9" t="s">
        <v>817</v>
      </c>
      <c r="AD168" s="9" t="s">
        <v>818</v>
      </c>
      <c r="AE168" s="1" t="s">
        <v>819</v>
      </c>
      <c r="AF168" s="14" t="s">
        <v>820</v>
      </c>
      <c r="AG168" s="9" t="s">
        <v>821</v>
      </c>
      <c r="AH168" s="1" t="s">
        <v>9</v>
      </c>
      <c r="AI168" s="9" t="s">
        <v>10</v>
      </c>
      <c r="AJ168" s="1" t="s">
        <v>11</v>
      </c>
      <c r="AK168" s="1" t="s">
        <v>1490</v>
      </c>
      <c r="AL168" s="1" t="s">
        <v>1491</v>
      </c>
      <c r="AM168" s="9">
        <v>11385</v>
      </c>
      <c r="AN168" s="1" t="s">
        <v>191</v>
      </c>
      <c r="AO168" s="1" t="s">
        <v>170</v>
      </c>
      <c r="AP168" s="1" t="s">
        <v>1126</v>
      </c>
      <c r="AQ168" s="14">
        <v>45912</v>
      </c>
      <c r="AU168" s="14">
        <v>45912</v>
      </c>
      <c r="AV168" s="16">
        <v>0</v>
      </c>
      <c r="AW168" s="16">
        <v>0</v>
      </c>
      <c r="BA168" s="1" t="s">
        <v>911</v>
      </c>
      <c r="BB168" s="9">
        <v>38</v>
      </c>
      <c r="BC168" s="1" t="s">
        <v>1297</v>
      </c>
      <c r="BD168" s="9" t="s">
        <v>807</v>
      </c>
      <c r="BE168" s="1" t="s">
        <v>1017</v>
      </c>
      <c r="BI168" s="20" t="s">
        <v>983</v>
      </c>
      <c r="BJ168" s="21" t="str">
        <f t="shared" si="2"/>
        <v>FIXO</v>
      </c>
    </row>
    <row r="169" spans="1:62" x14ac:dyDescent="0.25">
      <c r="A169" s="7">
        <v>4</v>
      </c>
      <c r="B169" s="1" t="s">
        <v>271</v>
      </c>
      <c r="C169" s="8">
        <v>7</v>
      </c>
      <c r="D169" s="9" t="s">
        <v>807</v>
      </c>
      <c r="E169" s="10">
        <v>17544</v>
      </c>
      <c r="F169" s="11" t="s">
        <v>1492</v>
      </c>
      <c r="G169" s="1" t="s">
        <v>271</v>
      </c>
      <c r="H169" s="13" t="str">
        <f>VLOOKUP(AP169,[1]Listas!A:B,2,0)</f>
        <v xml:space="preserve">FBAG </v>
      </c>
      <c r="I169" s="1" t="s">
        <v>280</v>
      </c>
      <c r="K169" s="12"/>
      <c r="L169" s="12"/>
      <c r="M169" s="1" t="s">
        <v>307</v>
      </c>
      <c r="N169" s="14">
        <v>36827</v>
      </c>
      <c r="O169" s="1" t="s">
        <v>855</v>
      </c>
      <c r="P169" s="1" t="s">
        <v>856</v>
      </c>
      <c r="Q169" s="15" t="s">
        <v>807</v>
      </c>
      <c r="R169" s="1" t="s">
        <v>857</v>
      </c>
      <c r="S169" s="1" t="s">
        <v>868</v>
      </c>
      <c r="T169" s="1" t="s">
        <v>869</v>
      </c>
      <c r="U169" s="9" t="s">
        <v>814</v>
      </c>
      <c r="V169" s="1" t="s">
        <v>815</v>
      </c>
      <c r="W169" s="1" t="s">
        <v>858</v>
      </c>
      <c r="X169" s="1" t="s">
        <v>29</v>
      </c>
      <c r="Y169" s="14">
        <v>45818</v>
      </c>
      <c r="Z169" s="9" t="s">
        <v>817</v>
      </c>
      <c r="AB169" s="14">
        <v>45394</v>
      </c>
      <c r="AC169" s="9" t="s">
        <v>817</v>
      </c>
      <c r="AD169" s="9" t="s">
        <v>818</v>
      </c>
      <c r="AE169" s="1" t="s">
        <v>819</v>
      </c>
      <c r="AF169" s="14" t="s">
        <v>820</v>
      </c>
      <c r="AG169" s="9" t="s">
        <v>835</v>
      </c>
      <c r="AH169" s="1" t="s">
        <v>17</v>
      </c>
      <c r="AI169" s="9" t="s">
        <v>10</v>
      </c>
      <c r="AJ169" s="1" t="s">
        <v>11</v>
      </c>
      <c r="AK169" s="1" t="s">
        <v>1440</v>
      </c>
      <c r="AL169" s="1" t="s">
        <v>1441</v>
      </c>
      <c r="AM169" s="9">
        <v>11524</v>
      </c>
      <c r="AN169" s="1" t="s">
        <v>40</v>
      </c>
      <c r="AO169" s="1" t="s">
        <v>282</v>
      </c>
      <c r="AP169" s="1" t="s">
        <v>1377</v>
      </c>
      <c r="AQ169" s="14">
        <v>45818</v>
      </c>
      <c r="AU169" s="14">
        <v>45799</v>
      </c>
      <c r="AV169" s="16">
        <v>0</v>
      </c>
      <c r="AW169" s="16">
        <v>0</v>
      </c>
      <c r="BA169" s="1" t="s">
        <v>911</v>
      </c>
      <c r="BB169" s="9">
        <v>7</v>
      </c>
      <c r="BC169" s="1" t="s">
        <v>826</v>
      </c>
      <c r="BD169" s="9" t="s">
        <v>807</v>
      </c>
      <c r="BE169" s="1" t="s">
        <v>1385</v>
      </c>
      <c r="BF169" s="1" t="s">
        <v>280</v>
      </c>
      <c r="BG169" s="1" t="s">
        <v>1375</v>
      </c>
      <c r="BH169" s="1" t="s">
        <v>1376</v>
      </c>
      <c r="BI169" s="1" t="s">
        <v>1044</v>
      </c>
      <c r="BJ169" s="21" t="str">
        <f t="shared" si="2"/>
        <v>FIXO</v>
      </c>
    </row>
    <row r="170" spans="1:62" x14ac:dyDescent="0.25">
      <c r="A170" s="7">
        <v>4</v>
      </c>
      <c r="B170" s="1" t="s">
        <v>271</v>
      </c>
      <c r="C170" s="8">
        <v>7</v>
      </c>
      <c r="D170" s="9" t="s">
        <v>807</v>
      </c>
      <c r="E170" s="10">
        <v>17663</v>
      </c>
      <c r="F170" s="11" t="s">
        <v>1493</v>
      </c>
      <c r="G170" s="1" t="s">
        <v>271</v>
      </c>
      <c r="H170" s="13" t="str">
        <f>VLOOKUP(AP170,[1]Listas!A:B,2,0)</f>
        <v xml:space="preserve">FBAG </v>
      </c>
      <c r="I170" s="1" t="s">
        <v>280</v>
      </c>
      <c r="K170" s="1" t="s">
        <v>308</v>
      </c>
      <c r="L170" s="12"/>
      <c r="M170" s="1" t="s">
        <v>1494</v>
      </c>
      <c r="N170" s="14">
        <v>36846</v>
      </c>
      <c r="O170" s="1" t="s">
        <v>855</v>
      </c>
      <c r="P170" s="1" t="s">
        <v>856</v>
      </c>
      <c r="Q170" s="15" t="s">
        <v>807</v>
      </c>
      <c r="R170" s="1" t="s">
        <v>857</v>
      </c>
      <c r="S170" s="1" t="s">
        <v>868</v>
      </c>
      <c r="T170" s="1" t="s">
        <v>869</v>
      </c>
      <c r="U170" s="9" t="s">
        <v>880</v>
      </c>
      <c r="V170" s="1" t="s">
        <v>881</v>
      </c>
      <c r="W170" s="1" t="s">
        <v>871</v>
      </c>
      <c r="X170" s="1" t="s">
        <v>34</v>
      </c>
      <c r="Y170" s="14">
        <v>45428</v>
      </c>
      <c r="Z170" s="9" t="s">
        <v>817</v>
      </c>
      <c r="AB170" s="14">
        <v>45427</v>
      </c>
      <c r="AC170" s="9" t="s">
        <v>817</v>
      </c>
      <c r="AD170" s="9" t="s">
        <v>818</v>
      </c>
      <c r="AE170" s="1" t="s">
        <v>819</v>
      </c>
      <c r="AF170" s="14" t="s">
        <v>820</v>
      </c>
      <c r="AG170" s="9" t="s">
        <v>821</v>
      </c>
      <c r="AH170" s="1" t="s">
        <v>9</v>
      </c>
      <c r="AI170" s="9" t="s">
        <v>10</v>
      </c>
      <c r="AJ170" s="1" t="s">
        <v>11</v>
      </c>
      <c r="AK170" s="1" t="s">
        <v>1402</v>
      </c>
      <c r="AL170" s="1" t="s">
        <v>1403</v>
      </c>
      <c r="AM170" s="9">
        <v>11571</v>
      </c>
      <c r="AN170" s="1" t="s">
        <v>293</v>
      </c>
      <c r="AO170" s="1" t="s">
        <v>284</v>
      </c>
      <c r="AP170" s="1" t="s">
        <v>1384</v>
      </c>
      <c r="AQ170" s="14">
        <v>45658</v>
      </c>
      <c r="AU170" s="14">
        <v>45799</v>
      </c>
      <c r="AV170" s="16">
        <v>0</v>
      </c>
      <c r="AW170" s="16">
        <v>0</v>
      </c>
      <c r="BA170" s="1" t="s">
        <v>911</v>
      </c>
      <c r="BB170" s="9">
        <v>7</v>
      </c>
      <c r="BC170" s="1" t="s">
        <v>826</v>
      </c>
      <c r="BD170" s="9" t="s">
        <v>807</v>
      </c>
      <c r="BE170" s="1" t="s">
        <v>1017</v>
      </c>
      <c r="BI170" s="1" t="s">
        <v>916</v>
      </c>
      <c r="BJ170" s="21" t="str">
        <f t="shared" si="2"/>
        <v>FIXO</v>
      </c>
    </row>
    <row r="171" spans="1:62" x14ac:dyDescent="0.25">
      <c r="A171" s="7">
        <v>4</v>
      </c>
      <c r="B171" s="1" t="s">
        <v>271</v>
      </c>
      <c r="C171" s="8">
        <v>5</v>
      </c>
      <c r="D171" s="9" t="s">
        <v>807</v>
      </c>
      <c r="E171" s="10">
        <v>18447</v>
      </c>
      <c r="F171" s="11" t="s">
        <v>1495</v>
      </c>
      <c r="G171" s="12" t="s">
        <v>71</v>
      </c>
      <c r="H171" s="13" t="str">
        <f>VLOOKUP(AP171,[1]Listas!A:B,2,0)</f>
        <v xml:space="preserve">FESP </v>
      </c>
      <c r="I171" s="1" t="s">
        <v>27</v>
      </c>
      <c r="K171" s="1" t="s">
        <v>248</v>
      </c>
      <c r="L171" s="12"/>
      <c r="M171" s="1" t="s">
        <v>328</v>
      </c>
      <c r="N171" s="14">
        <v>36794</v>
      </c>
      <c r="O171" s="1" t="s">
        <v>809</v>
      </c>
      <c r="P171" s="1" t="s">
        <v>810</v>
      </c>
      <c r="Q171" s="15" t="s">
        <v>807</v>
      </c>
      <c r="R171" s="1" t="s">
        <v>857</v>
      </c>
      <c r="S171" s="1" t="s">
        <v>868</v>
      </c>
      <c r="T171" s="1" t="s">
        <v>869</v>
      </c>
      <c r="U171" s="9" t="s">
        <v>832</v>
      </c>
      <c r="V171" s="1" t="s">
        <v>833</v>
      </c>
      <c r="W171" s="1" t="s">
        <v>998</v>
      </c>
      <c r="X171" s="1" t="s">
        <v>104</v>
      </c>
      <c r="Y171" s="14">
        <v>45525</v>
      </c>
      <c r="Z171" s="9" t="s">
        <v>817</v>
      </c>
      <c r="AB171" s="14">
        <v>45524</v>
      </c>
      <c r="AC171" s="9" t="s">
        <v>817</v>
      </c>
      <c r="AD171" s="9" t="s">
        <v>818</v>
      </c>
      <c r="AE171" s="1" t="s">
        <v>819</v>
      </c>
      <c r="AF171" s="14" t="s">
        <v>820</v>
      </c>
      <c r="AG171" s="9" t="s">
        <v>821</v>
      </c>
      <c r="AH171" s="1" t="s">
        <v>9</v>
      </c>
      <c r="AI171" s="9" t="s">
        <v>10</v>
      </c>
      <c r="AJ171" s="1" t="s">
        <v>11</v>
      </c>
      <c r="AK171" s="1" t="s">
        <v>1496</v>
      </c>
      <c r="AL171" s="1" t="s">
        <v>1497</v>
      </c>
      <c r="AM171" s="9">
        <v>11320</v>
      </c>
      <c r="AN171" s="1" t="s">
        <v>47</v>
      </c>
      <c r="AO171" s="1" t="s">
        <v>329</v>
      </c>
      <c r="AP171" s="1" t="s">
        <v>1498</v>
      </c>
      <c r="AQ171" s="14">
        <v>45658</v>
      </c>
      <c r="AU171" s="14">
        <v>45799</v>
      </c>
      <c r="AV171" s="16">
        <v>0</v>
      </c>
      <c r="AW171" s="16">
        <v>0</v>
      </c>
      <c r="BA171" s="1" t="s">
        <v>911</v>
      </c>
      <c r="BB171" s="9">
        <v>1</v>
      </c>
      <c r="BC171" s="1" t="s">
        <v>862</v>
      </c>
      <c r="BD171" s="9" t="s">
        <v>807</v>
      </c>
      <c r="BE171" s="1" t="s">
        <v>850</v>
      </c>
      <c r="BF171" s="1" t="s">
        <v>27</v>
      </c>
      <c r="BG171" s="1" t="s">
        <v>851</v>
      </c>
      <c r="BH171" s="1" t="s">
        <v>852</v>
      </c>
      <c r="BI171" s="20" t="s">
        <v>853</v>
      </c>
      <c r="BJ171" s="21" t="str">
        <f t="shared" si="2"/>
        <v>FIXO</v>
      </c>
    </row>
    <row r="172" spans="1:62" x14ac:dyDescent="0.25">
      <c r="A172" s="7">
        <v>4</v>
      </c>
      <c r="B172" s="1" t="s">
        <v>271</v>
      </c>
      <c r="C172" s="8">
        <v>7</v>
      </c>
      <c r="D172" s="9" t="s">
        <v>807</v>
      </c>
      <c r="E172" s="10">
        <v>18657</v>
      </c>
      <c r="F172" s="11" t="s">
        <v>1499</v>
      </c>
      <c r="G172" s="1" t="s">
        <v>271</v>
      </c>
      <c r="H172" s="13" t="str">
        <f>VLOOKUP(AP172,[1]Listas!A:B,2,0)</f>
        <v xml:space="preserve">FBAG </v>
      </c>
      <c r="I172" s="1" t="s">
        <v>280</v>
      </c>
      <c r="K172" s="12"/>
      <c r="L172" s="12"/>
      <c r="M172" s="1" t="s">
        <v>330</v>
      </c>
      <c r="N172" s="14">
        <v>27127</v>
      </c>
      <c r="O172" s="1" t="s">
        <v>855</v>
      </c>
      <c r="P172" s="1" t="s">
        <v>856</v>
      </c>
      <c r="Q172" s="15" t="s">
        <v>807</v>
      </c>
      <c r="R172" s="1" t="s">
        <v>857</v>
      </c>
      <c r="S172" s="1" t="s">
        <v>868</v>
      </c>
      <c r="T172" s="1" t="s">
        <v>869</v>
      </c>
      <c r="U172" s="9" t="s">
        <v>868</v>
      </c>
      <c r="V172" s="1" t="s">
        <v>913</v>
      </c>
      <c r="W172" s="1" t="s">
        <v>1051</v>
      </c>
      <c r="X172" s="1" t="s">
        <v>126</v>
      </c>
      <c r="Y172" s="14">
        <v>45539</v>
      </c>
      <c r="Z172" s="9" t="s">
        <v>817</v>
      </c>
      <c r="AB172" s="14">
        <v>45538</v>
      </c>
      <c r="AC172" s="9" t="s">
        <v>817</v>
      </c>
      <c r="AD172" s="9" t="s">
        <v>818</v>
      </c>
      <c r="AE172" s="1" t="s">
        <v>819</v>
      </c>
      <c r="AF172" s="14" t="s">
        <v>820</v>
      </c>
      <c r="AG172" s="9" t="s">
        <v>821</v>
      </c>
      <c r="AH172" s="1" t="s">
        <v>9</v>
      </c>
      <c r="AI172" s="9" t="s">
        <v>10</v>
      </c>
      <c r="AJ172" s="1" t="s">
        <v>11</v>
      </c>
      <c r="AK172" s="1" t="s">
        <v>1468</v>
      </c>
      <c r="AL172" s="1" t="s">
        <v>1469</v>
      </c>
      <c r="AM172" s="9">
        <v>11555</v>
      </c>
      <c r="AN172" s="1" t="s">
        <v>127</v>
      </c>
      <c r="AO172" s="1" t="s">
        <v>319</v>
      </c>
      <c r="AP172" s="1" t="s">
        <v>1470</v>
      </c>
      <c r="AQ172" s="14">
        <v>45658</v>
      </c>
      <c r="AU172" s="14">
        <v>45799</v>
      </c>
      <c r="AV172" s="16">
        <v>0</v>
      </c>
      <c r="AW172" s="16">
        <v>0</v>
      </c>
      <c r="BA172" s="1" t="s">
        <v>911</v>
      </c>
      <c r="BB172" s="9">
        <v>27</v>
      </c>
      <c r="BC172" s="1" t="s">
        <v>1471</v>
      </c>
      <c r="BD172" s="9" t="s">
        <v>807</v>
      </c>
      <c r="BE172" s="1" t="s">
        <v>850</v>
      </c>
      <c r="BF172" s="1" t="s">
        <v>27</v>
      </c>
      <c r="BG172" s="1" t="s">
        <v>851</v>
      </c>
      <c r="BH172" s="1" t="s">
        <v>852</v>
      </c>
      <c r="BI172" s="1" t="s">
        <v>1055</v>
      </c>
      <c r="BJ172" s="21" t="str">
        <f t="shared" si="2"/>
        <v>FIXO</v>
      </c>
    </row>
    <row r="173" spans="1:62" x14ac:dyDescent="0.25">
      <c r="A173" s="7">
        <v>4</v>
      </c>
      <c r="B173" s="1" t="s">
        <v>271</v>
      </c>
      <c r="C173" s="8">
        <v>5</v>
      </c>
      <c r="D173" s="9" t="s">
        <v>807</v>
      </c>
      <c r="E173" s="10">
        <v>18661</v>
      </c>
      <c r="F173" s="11" t="s">
        <v>1500</v>
      </c>
      <c r="G173" s="1" t="s">
        <v>41</v>
      </c>
      <c r="H173" s="13" t="str">
        <f>VLOOKUP(AP173,[1]Listas!A:B,2,0)</f>
        <v xml:space="preserve">FESP </v>
      </c>
      <c r="I173" s="1" t="s">
        <v>38</v>
      </c>
      <c r="K173" s="12"/>
      <c r="L173" s="1" t="s">
        <v>38</v>
      </c>
      <c r="M173" s="1" t="s">
        <v>331</v>
      </c>
      <c r="N173" s="14">
        <v>26668</v>
      </c>
      <c r="O173" s="1" t="s">
        <v>855</v>
      </c>
      <c r="P173" s="1" t="s">
        <v>856</v>
      </c>
      <c r="Q173" s="15" t="s">
        <v>807</v>
      </c>
      <c r="R173" s="1" t="s">
        <v>857</v>
      </c>
      <c r="S173" s="1" t="s">
        <v>868</v>
      </c>
      <c r="T173" s="1" t="s">
        <v>869</v>
      </c>
      <c r="U173" s="9" t="s">
        <v>811</v>
      </c>
      <c r="V173" s="1" t="s">
        <v>870</v>
      </c>
      <c r="W173" s="1" t="s">
        <v>979</v>
      </c>
      <c r="X173" s="1" t="s">
        <v>92</v>
      </c>
      <c r="Y173" s="14">
        <v>45521</v>
      </c>
      <c r="Z173" s="9" t="s">
        <v>817</v>
      </c>
      <c r="AB173" s="14">
        <v>45520</v>
      </c>
      <c r="AC173" s="9" t="s">
        <v>817</v>
      </c>
      <c r="AD173" s="9" t="s">
        <v>818</v>
      </c>
      <c r="AE173" s="1" t="s">
        <v>819</v>
      </c>
      <c r="AF173" s="14" t="s">
        <v>820</v>
      </c>
      <c r="AG173" s="9" t="s">
        <v>821</v>
      </c>
      <c r="AH173" s="1" t="s">
        <v>9</v>
      </c>
      <c r="AI173" s="9" t="s">
        <v>10</v>
      </c>
      <c r="AJ173" s="1" t="s">
        <v>11</v>
      </c>
      <c r="AK173" s="1" t="s">
        <v>1501</v>
      </c>
      <c r="AL173" s="1" t="s">
        <v>1502</v>
      </c>
      <c r="AM173" s="9">
        <v>11389</v>
      </c>
      <c r="AN173" s="1" t="s">
        <v>332</v>
      </c>
      <c r="AO173" s="1" t="s">
        <v>170</v>
      </c>
      <c r="AP173" s="1" t="s">
        <v>1126</v>
      </c>
      <c r="AQ173" s="14">
        <v>45778</v>
      </c>
      <c r="AU173" s="14">
        <v>45799</v>
      </c>
      <c r="AV173" s="16">
        <v>0</v>
      </c>
      <c r="AW173" s="16">
        <v>0</v>
      </c>
      <c r="BA173" s="1" t="s">
        <v>911</v>
      </c>
      <c r="BB173" s="9">
        <v>7</v>
      </c>
      <c r="BC173" s="1" t="s">
        <v>826</v>
      </c>
      <c r="BD173" s="9" t="s">
        <v>807</v>
      </c>
      <c r="BE173" s="1" t="s">
        <v>893</v>
      </c>
      <c r="BF173" s="1" t="s">
        <v>38</v>
      </c>
      <c r="BG173" s="1" t="s">
        <v>883</v>
      </c>
      <c r="BH173" s="1" t="s">
        <v>884</v>
      </c>
      <c r="BI173" s="20" t="s">
        <v>983</v>
      </c>
      <c r="BJ173" s="21" t="str">
        <f t="shared" si="2"/>
        <v>FIXO</v>
      </c>
    </row>
    <row r="174" spans="1:62" x14ac:dyDescent="0.25">
      <c r="A174" s="7">
        <v>4</v>
      </c>
      <c r="B174" s="1" t="s">
        <v>271</v>
      </c>
      <c r="C174" s="8">
        <v>7</v>
      </c>
      <c r="D174" s="9" t="s">
        <v>807</v>
      </c>
      <c r="E174" s="10">
        <v>18801</v>
      </c>
      <c r="F174" s="11" t="s">
        <v>1503</v>
      </c>
      <c r="G174" s="1" t="s">
        <v>271</v>
      </c>
      <c r="H174" s="13" t="str">
        <f>VLOOKUP(AP174,[1]Listas!A:B,2,0)</f>
        <v xml:space="preserve">FBAG </v>
      </c>
      <c r="I174" s="1" t="s">
        <v>280</v>
      </c>
      <c r="K174" s="1" t="s">
        <v>280</v>
      </c>
      <c r="L174" s="12"/>
      <c r="M174" s="1" t="s">
        <v>1504</v>
      </c>
      <c r="N174" s="14">
        <v>37715</v>
      </c>
      <c r="O174" s="1" t="s">
        <v>855</v>
      </c>
      <c r="P174" s="1" t="s">
        <v>856</v>
      </c>
      <c r="Q174" s="15" t="s">
        <v>807</v>
      </c>
      <c r="R174" s="1" t="s">
        <v>857</v>
      </c>
      <c r="S174" s="1" t="s">
        <v>868</v>
      </c>
      <c r="T174" s="1" t="s">
        <v>869</v>
      </c>
      <c r="U174" s="9" t="s">
        <v>951</v>
      </c>
      <c r="V174" s="1" t="s">
        <v>952</v>
      </c>
      <c r="W174" s="1" t="s">
        <v>871</v>
      </c>
      <c r="X174" s="1" t="s">
        <v>34</v>
      </c>
      <c r="Y174" s="14">
        <v>45547</v>
      </c>
      <c r="Z174" s="9" t="s">
        <v>817</v>
      </c>
      <c r="AB174" s="14">
        <v>45546</v>
      </c>
      <c r="AC174" s="9" t="s">
        <v>817</v>
      </c>
      <c r="AD174" s="9" t="s">
        <v>818</v>
      </c>
      <c r="AE174" s="1" t="s">
        <v>819</v>
      </c>
      <c r="AF174" s="14" t="s">
        <v>820</v>
      </c>
      <c r="AG174" s="9" t="s">
        <v>821</v>
      </c>
      <c r="AH174" s="1" t="s">
        <v>9</v>
      </c>
      <c r="AI174" s="9" t="s">
        <v>10</v>
      </c>
      <c r="AJ174" s="1" t="s">
        <v>11</v>
      </c>
      <c r="AK174" s="1" t="s">
        <v>1402</v>
      </c>
      <c r="AL174" s="1" t="s">
        <v>1403</v>
      </c>
      <c r="AM174" s="9">
        <v>11571</v>
      </c>
      <c r="AN174" s="1" t="s">
        <v>293</v>
      </c>
      <c r="AO174" s="1" t="s">
        <v>284</v>
      </c>
      <c r="AP174" s="1" t="s">
        <v>1384</v>
      </c>
      <c r="AQ174" s="14">
        <v>45658</v>
      </c>
      <c r="AU174" s="14">
        <v>45901</v>
      </c>
      <c r="AV174" s="16">
        <v>0</v>
      </c>
      <c r="AW174" s="16">
        <v>0</v>
      </c>
      <c r="BA174" s="1" t="s">
        <v>911</v>
      </c>
      <c r="BB174" s="9">
        <v>7</v>
      </c>
      <c r="BC174" s="1" t="s">
        <v>826</v>
      </c>
      <c r="BD174" s="9" t="s">
        <v>807</v>
      </c>
      <c r="BE174" s="1" t="s">
        <v>1017</v>
      </c>
      <c r="BI174" s="1" t="s">
        <v>866</v>
      </c>
      <c r="BJ174" s="21" t="str">
        <f t="shared" si="2"/>
        <v>FIXO</v>
      </c>
    </row>
    <row r="175" spans="1:62" x14ac:dyDescent="0.25">
      <c r="A175" s="7">
        <v>4</v>
      </c>
      <c r="B175" s="1" t="s">
        <v>271</v>
      </c>
      <c r="C175" s="8">
        <v>7</v>
      </c>
      <c r="D175" s="9" t="s">
        <v>807</v>
      </c>
      <c r="E175" s="10">
        <v>18914</v>
      </c>
      <c r="F175" s="11" t="s">
        <v>1505</v>
      </c>
      <c r="G175" s="1" t="s">
        <v>271</v>
      </c>
      <c r="H175" s="13" t="str">
        <f>VLOOKUP(AP175,[1]Listas!A:B,2,0)</f>
        <v xml:space="preserve">FBAG </v>
      </c>
      <c r="I175" s="1" t="s">
        <v>280</v>
      </c>
      <c r="K175" s="12"/>
      <c r="L175" s="12"/>
      <c r="M175" s="1" t="s">
        <v>333</v>
      </c>
      <c r="N175" s="14">
        <v>30858</v>
      </c>
      <c r="O175" s="1" t="s">
        <v>809</v>
      </c>
      <c r="P175" s="1" t="s">
        <v>810</v>
      </c>
      <c r="Q175" s="15" t="s">
        <v>807</v>
      </c>
      <c r="R175" s="1" t="s">
        <v>857</v>
      </c>
      <c r="S175" s="1" t="s">
        <v>868</v>
      </c>
      <c r="T175" s="1" t="s">
        <v>869</v>
      </c>
      <c r="U175" s="9" t="s">
        <v>814</v>
      </c>
      <c r="V175" s="1" t="s">
        <v>815</v>
      </c>
      <c r="W175" s="1" t="s">
        <v>1220</v>
      </c>
      <c r="X175" s="1" t="s">
        <v>220</v>
      </c>
      <c r="Y175" s="14">
        <v>45673</v>
      </c>
      <c r="Z175" s="9" t="s">
        <v>817</v>
      </c>
      <c r="AB175" s="14">
        <v>45672</v>
      </c>
      <c r="AC175" s="9" t="s">
        <v>817</v>
      </c>
      <c r="AD175" s="9" t="s">
        <v>818</v>
      </c>
      <c r="AE175" s="1" t="s">
        <v>819</v>
      </c>
      <c r="AF175" s="14" t="s">
        <v>820</v>
      </c>
      <c r="AG175" s="9" t="s">
        <v>821</v>
      </c>
      <c r="AH175" s="1" t="s">
        <v>9</v>
      </c>
      <c r="AI175" s="9" t="s">
        <v>10</v>
      </c>
      <c r="AJ175" s="1" t="s">
        <v>11</v>
      </c>
      <c r="AK175" s="1" t="s">
        <v>1506</v>
      </c>
      <c r="AL175" s="1" t="s">
        <v>1507</v>
      </c>
      <c r="AM175" s="9">
        <v>11518</v>
      </c>
      <c r="AN175" s="1" t="s">
        <v>122</v>
      </c>
      <c r="AO175" s="1" t="s">
        <v>306</v>
      </c>
      <c r="AP175" s="1" t="s">
        <v>1438</v>
      </c>
      <c r="AQ175" s="14">
        <v>45672</v>
      </c>
      <c r="AU175" s="14">
        <v>45799</v>
      </c>
      <c r="AV175" s="16">
        <v>0</v>
      </c>
      <c r="AW175" s="16">
        <v>0</v>
      </c>
      <c r="BA175" s="1" t="s">
        <v>911</v>
      </c>
      <c r="BB175" s="9">
        <v>1</v>
      </c>
      <c r="BC175" s="1" t="s">
        <v>862</v>
      </c>
      <c r="BD175" s="9" t="s">
        <v>807</v>
      </c>
      <c r="BE175" s="1" t="s">
        <v>1385</v>
      </c>
      <c r="BF175" s="1" t="s">
        <v>280</v>
      </c>
      <c r="BG175" s="1" t="s">
        <v>1375</v>
      </c>
      <c r="BH175" s="1" t="s">
        <v>1376</v>
      </c>
      <c r="BI175" s="1" t="s">
        <v>1055</v>
      </c>
      <c r="BJ175" s="21" t="str">
        <f t="shared" si="2"/>
        <v>FIXO</v>
      </c>
    </row>
    <row r="176" spans="1:62" x14ac:dyDescent="0.25">
      <c r="A176" s="7">
        <v>4</v>
      </c>
      <c r="B176" s="1" t="s">
        <v>271</v>
      </c>
      <c r="C176" s="8">
        <v>5</v>
      </c>
      <c r="D176" s="9" t="s">
        <v>807</v>
      </c>
      <c r="E176" s="10">
        <v>19185</v>
      </c>
      <c r="F176" s="11" t="s">
        <v>1508</v>
      </c>
      <c r="G176" s="12" t="s">
        <v>71</v>
      </c>
      <c r="H176" s="13" t="str">
        <f>VLOOKUP(AP176,[1]Listas!A:B,2,0)</f>
        <v xml:space="preserve">FESP </v>
      </c>
      <c r="I176" s="1" t="s">
        <v>27</v>
      </c>
      <c r="K176" s="1" t="s">
        <v>248</v>
      </c>
      <c r="L176" s="12"/>
      <c r="M176" s="1" t="s">
        <v>334</v>
      </c>
      <c r="N176" s="14">
        <v>35865</v>
      </c>
      <c r="O176" s="1" t="s">
        <v>809</v>
      </c>
      <c r="P176" s="1" t="s">
        <v>810</v>
      </c>
      <c r="Q176" s="15" t="s">
        <v>811</v>
      </c>
      <c r="R176" s="1" t="s">
        <v>812</v>
      </c>
      <c r="S176" s="1" t="s">
        <v>868</v>
      </c>
      <c r="T176" s="1" t="s">
        <v>869</v>
      </c>
      <c r="U176" s="9" t="s">
        <v>814</v>
      </c>
      <c r="V176" s="1" t="s">
        <v>815</v>
      </c>
      <c r="W176" s="1" t="s">
        <v>1062</v>
      </c>
      <c r="X176" s="1" t="s">
        <v>132</v>
      </c>
      <c r="Y176" s="14">
        <v>45602</v>
      </c>
      <c r="Z176" s="9" t="s">
        <v>817</v>
      </c>
      <c r="AB176" s="14">
        <v>45601</v>
      </c>
      <c r="AC176" s="9" t="s">
        <v>817</v>
      </c>
      <c r="AD176" s="9" t="s">
        <v>818</v>
      </c>
      <c r="AE176" s="1" t="s">
        <v>819</v>
      </c>
      <c r="AF176" s="14" t="s">
        <v>820</v>
      </c>
      <c r="AG176" s="9" t="s">
        <v>821</v>
      </c>
      <c r="AH176" s="1" t="s">
        <v>9</v>
      </c>
      <c r="AI176" s="9" t="s">
        <v>10</v>
      </c>
      <c r="AJ176" s="1" t="s">
        <v>11</v>
      </c>
      <c r="AK176" s="1" t="s">
        <v>1367</v>
      </c>
      <c r="AL176" s="1" t="s">
        <v>1368</v>
      </c>
      <c r="AM176" s="9">
        <v>11353</v>
      </c>
      <c r="AN176" s="1" t="s">
        <v>278</v>
      </c>
      <c r="AO176" s="1" t="s">
        <v>279</v>
      </c>
      <c r="AP176" s="1" t="s">
        <v>1369</v>
      </c>
      <c r="AQ176" s="14">
        <v>45658</v>
      </c>
      <c r="AU176" s="14">
        <v>45799</v>
      </c>
      <c r="AV176" s="16">
        <v>0</v>
      </c>
      <c r="AW176" s="16">
        <v>0</v>
      </c>
      <c r="BA176" s="1" t="s">
        <v>911</v>
      </c>
      <c r="BB176" s="9">
        <v>34</v>
      </c>
      <c r="BC176" s="1" t="s">
        <v>1370</v>
      </c>
      <c r="BD176" s="9" t="s">
        <v>807</v>
      </c>
      <c r="BE176" s="1" t="s">
        <v>850</v>
      </c>
      <c r="BF176" s="1" t="s">
        <v>27</v>
      </c>
      <c r="BG176" s="1" t="s">
        <v>851</v>
      </c>
      <c r="BH176" s="1" t="s">
        <v>852</v>
      </c>
      <c r="BI176" s="20" t="s">
        <v>853</v>
      </c>
      <c r="BJ176" s="21" t="str">
        <f t="shared" si="2"/>
        <v>FIXO</v>
      </c>
    </row>
    <row r="177" spans="1:62" x14ac:dyDescent="0.25">
      <c r="A177" s="7">
        <v>4</v>
      </c>
      <c r="B177" s="1" t="s">
        <v>271</v>
      </c>
      <c r="C177" s="8">
        <v>5</v>
      </c>
      <c r="D177" s="9" t="s">
        <v>807</v>
      </c>
      <c r="E177" s="10">
        <v>19252</v>
      </c>
      <c r="F177" s="11" t="s">
        <v>1509</v>
      </c>
      <c r="G177" s="12" t="s">
        <v>71</v>
      </c>
      <c r="H177" s="13" t="str">
        <f>VLOOKUP(AP177,[1]Listas!A:B,2,0)</f>
        <v xml:space="preserve">FESP </v>
      </c>
      <c r="I177" s="1" t="s">
        <v>27</v>
      </c>
      <c r="K177" s="1" t="s">
        <v>21</v>
      </c>
      <c r="L177" s="1" t="s">
        <v>1167</v>
      </c>
      <c r="M177" s="1" t="s">
        <v>335</v>
      </c>
      <c r="N177" s="14">
        <v>34729</v>
      </c>
      <c r="O177" s="1" t="s">
        <v>809</v>
      </c>
      <c r="P177" s="1" t="s">
        <v>810</v>
      </c>
      <c r="Q177" s="15" t="s">
        <v>811</v>
      </c>
      <c r="R177" s="1" t="s">
        <v>812</v>
      </c>
      <c r="S177" s="1" t="s">
        <v>868</v>
      </c>
      <c r="T177" s="1" t="s">
        <v>869</v>
      </c>
      <c r="U177" s="9" t="s">
        <v>880</v>
      </c>
      <c r="V177" s="1" t="s">
        <v>881</v>
      </c>
      <c r="W177" s="1" t="s">
        <v>1051</v>
      </c>
      <c r="X177" s="1" t="s">
        <v>126</v>
      </c>
      <c r="Y177" s="14">
        <v>45677</v>
      </c>
      <c r="Z177" s="9" t="s">
        <v>817</v>
      </c>
      <c r="AB177" s="14">
        <v>45672</v>
      </c>
      <c r="AC177" s="9" t="s">
        <v>817</v>
      </c>
      <c r="AD177" s="9" t="s">
        <v>818</v>
      </c>
      <c r="AE177" s="1" t="s">
        <v>819</v>
      </c>
      <c r="AF177" s="14" t="s">
        <v>820</v>
      </c>
      <c r="AG177" s="9" t="s">
        <v>821</v>
      </c>
      <c r="AH177" s="1" t="s">
        <v>9</v>
      </c>
      <c r="AI177" s="9" t="s">
        <v>10</v>
      </c>
      <c r="AJ177" s="1" t="s">
        <v>11</v>
      </c>
      <c r="AK177" s="1" t="s">
        <v>1510</v>
      </c>
      <c r="AL177" s="1" t="s">
        <v>1511</v>
      </c>
      <c r="AM177" s="9">
        <v>11355</v>
      </c>
      <c r="AN177" s="1" t="s">
        <v>127</v>
      </c>
      <c r="AO177" s="1" t="s">
        <v>196</v>
      </c>
      <c r="AP177" s="1" t="s">
        <v>1172</v>
      </c>
      <c r="AQ177" s="14">
        <v>45672</v>
      </c>
      <c r="AU177" s="14">
        <v>45793</v>
      </c>
      <c r="AV177" s="16">
        <v>0</v>
      </c>
      <c r="AW177" s="16">
        <v>0</v>
      </c>
      <c r="BA177" s="1" t="s">
        <v>911</v>
      </c>
      <c r="BB177" s="9">
        <v>28</v>
      </c>
      <c r="BC177" s="1" t="s">
        <v>1512</v>
      </c>
      <c r="BD177" s="9" t="s">
        <v>807</v>
      </c>
      <c r="BE177" s="1" t="s">
        <v>1160</v>
      </c>
      <c r="BF177" s="1" t="s">
        <v>21</v>
      </c>
      <c r="BG177" s="1" t="s">
        <v>846</v>
      </c>
      <c r="BH177" s="1" t="s">
        <v>847</v>
      </c>
      <c r="BI177" s="1" t="s">
        <v>1055</v>
      </c>
      <c r="BJ177" s="21" t="str">
        <f t="shared" si="2"/>
        <v>FIXO</v>
      </c>
    </row>
    <row r="178" spans="1:62" x14ac:dyDescent="0.25">
      <c r="A178" s="7">
        <v>4</v>
      </c>
      <c r="B178" s="1" t="s">
        <v>271</v>
      </c>
      <c r="C178" s="8">
        <v>5</v>
      </c>
      <c r="D178" s="9" t="s">
        <v>807</v>
      </c>
      <c r="E178" s="10">
        <v>19891</v>
      </c>
      <c r="F178" s="11" t="s">
        <v>1513</v>
      </c>
      <c r="G178" s="12" t="s">
        <v>71</v>
      </c>
      <c r="H178" s="13" t="str">
        <f>VLOOKUP(AP178,[1]Listas!A:B,2,0)</f>
        <v xml:space="preserve">FESP </v>
      </c>
      <c r="I178" s="1" t="s">
        <v>27</v>
      </c>
      <c r="K178" s="1" t="s">
        <v>248</v>
      </c>
      <c r="L178" s="12"/>
      <c r="M178" s="1" t="s">
        <v>336</v>
      </c>
      <c r="N178" s="14">
        <v>37059</v>
      </c>
      <c r="O178" s="1" t="s">
        <v>809</v>
      </c>
      <c r="P178" s="1" t="s">
        <v>810</v>
      </c>
      <c r="Q178" s="15" t="s">
        <v>807</v>
      </c>
      <c r="R178" s="1" t="s">
        <v>857</v>
      </c>
      <c r="S178" s="1" t="s">
        <v>868</v>
      </c>
      <c r="T178" s="1" t="s">
        <v>869</v>
      </c>
      <c r="U178" s="9" t="s">
        <v>814</v>
      </c>
      <c r="V178" s="1" t="s">
        <v>815</v>
      </c>
      <c r="W178" s="1" t="s">
        <v>1062</v>
      </c>
      <c r="X178" s="1" t="s">
        <v>132</v>
      </c>
      <c r="Y178" s="14">
        <v>45677</v>
      </c>
      <c r="Z178" s="9" t="s">
        <v>817</v>
      </c>
      <c r="AB178" s="14">
        <v>45677</v>
      </c>
      <c r="AC178" s="9" t="s">
        <v>817</v>
      </c>
      <c r="AD178" s="9" t="s">
        <v>818</v>
      </c>
      <c r="AE178" s="1" t="s">
        <v>819</v>
      </c>
      <c r="AF178" s="14" t="s">
        <v>820</v>
      </c>
      <c r="AG178" s="9" t="s">
        <v>821</v>
      </c>
      <c r="AH178" s="1" t="s">
        <v>9</v>
      </c>
      <c r="AI178" s="9" t="s">
        <v>10</v>
      </c>
      <c r="AJ178" s="1" t="s">
        <v>11</v>
      </c>
      <c r="AK178" s="1" t="s">
        <v>1514</v>
      </c>
      <c r="AL178" s="1" t="s">
        <v>1515</v>
      </c>
      <c r="AM178" s="9">
        <v>11301</v>
      </c>
      <c r="AN178" s="1" t="s">
        <v>25</v>
      </c>
      <c r="AO178" s="1" t="s">
        <v>26</v>
      </c>
      <c r="AP178" s="1" t="s">
        <v>848</v>
      </c>
      <c r="AQ178" s="14">
        <v>45677</v>
      </c>
      <c r="AU178" s="14">
        <v>45799</v>
      </c>
      <c r="AV178" s="16">
        <v>0</v>
      </c>
      <c r="AW178" s="16">
        <v>0</v>
      </c>
      <c r="BA178" s="1" t="s">
        <v>911</v>
      </c>
      <c r="BB178" s="9">
        <v>1</v>
      </c>
      <c r="BC178" s="1" t="s">
        <v>862</v>
      </c>
      <c r="BD178" s="9" t="s">
        <v>807</v>
      </c>
      <c r="BE178" s="1" t="s">
        <v>850</v>
      </c>
      <c r="BF178" s="1" t="s">
        <v>27</v>
      </c>
      <c r="BG178" s="1" t="s">
        <v>851</v>
      </c>
      <c r="BH178" s="1" t="s">
        <v>852</v>
      </c>
      <c r="BI178" s="20" t="s">
        <v>853</v>
      </c>
      <c r="BJ178" s="21" t="str">
        <f t="shared" si="2"/>
        <v>FIXO</v>
      </c>
    </row>
    <row r="179" spans="1:62" x14ac:dyDescent="0.25">
      <c r="A179" s="7">
        <v>4</v>
      </c>
      <c r="B179" s="1" t="s">
        <v>271</v>
      </c>
      <c r="C179" s="8">
        <v>7</v>
      </c>
      <c r="D179" s="9" t="s">
        <v>807</v>
      </c>
      <c r="E179" s="10">
        <v>20066</v>
      </c>
      <c r="F179" s="11" t="s">
        <v>1516</v>
      </c>
      <c r="G179" s="1" t="s">
        <v>271</v>
      </c>
      <c r="H179" s="13" t="str">
        <f>VLOOKUP(AP179,[1]Listas!A:B,2,0)</f>
        <v xml:space="preserve">FBAG </v>
      </c>
      <c r="I179" s="1" t="s">
        <v>280</v>
      </c>
      <c r="K179" s="1" t="s">
        <v>308</v>
      </c>
      <c r="L179" s="12"/>
      <c r="M179" s="1" t="s">
        <v>337</v>
      </c>
      <c r="N179" s="14">
        <v>38986</v>
      </c>
      <c r="O179" s="1" t="s">
        <v>855</v>
      </c>
      <c r="P179" s="1" t="s">
        <v>856</v>
      </c>
      <c r="Q179" s="15" t="s">
        <v>807</v>
      </c>
      <c r="R179" s="1" t="s">
        <v>857</v>
      </c>
      <c r="S179" s="1" t="s">
        <v>868</v>
      </c>
      <c r="T179" s="1" t="s">
        <v>869</v>
      </c>
      <c r="U179" s="9" t="s">
        <v>951</v>
      </c>
      <c r="V179" s="1" t="s">
        <v>952</v>
      </c>
      <c r="W179" s="1" t="s">
        <v>871</v>
      </c>
      <c r="X179" s="1" t="s">
        <v>34</v>
      </c>
      <c r="Y179" s="14">
        <v>45811</v>
      </c>
      <c r="Z179" s="9" t="s">
        <v>817</v>
      </c>
      <c r="AB179" s="14">
        <v>45692</v>
      </c>
      <c r="AC179" s="9" t="s">
        <v>817</v>
      </c>
      <c r="AD179" s="9" t="s">
        <v>818</v>
      </c>
      <c r="AE179" s="1" t="s">
        <v>819</v>
      </c>
      <c r="AF179" s="14" t="s">
        <v>820</v>
      </c>
      <c r="AG179" s="9" t="s">
        <v>999</v>
      </c>
      <c r="AH179" s="1" t="s">
        <v>105</v>
      </c>
      <c r="AI179" s="9" t="s">
        <v>10</v>
      </c>
      <c r="AJ179" s="1" t="s">
        <v>11</v>
      </c>
      <c r="AK179" s="1" t="s">
        <v>1382</v>
      </c>
      <c r="AL179" s="1" t="s">
        <v>1383</v>
      </c>
      <c r="AM179" s="9">
        <v>11543</v>
      </c>
      <c r="AN179" s="1" t="s">
        <v>114</v>
      </c>
      <c r="AO179" s="1" t="s">
        <v>284</v>
      </c>
      <c r="AP179" s="1" t="s">
        <v>1384</v>
      </c>
      <c r="AQ179" s="14">
        <v>45811</v>
      </c>
      <c r="AU179" s="14">
        <v>45692</v>
      </c>
      <c r="AV179" s="16">
        <v>0</v>
      </c>
      <c r="AW179" s="16">
        <v>0</v>
      </c>
      <c r="BA179" s="1" t="s">
        <v>911</v>
      </c>
      <c r="BB179" s="9">
        <v>7</v>
      </c>
      <c r="BC179" s="1" t="s">
        <v>826</v>
      </c>
      <c r="BD179" s="9" t="s">
        <v>807</v>
      </c>
      <c r="BE179" s="1" t="s">
        <v>1385</v>
      </c>
      <c r="BF179" s="1" t="s">
        <v>280</v>
      </c>
      <c r="BG179" s="1" t="s">
        <v>1375</v>
      </c>
      <c r="BH179" s="1" t="s">
        <v>1376</v>
      </c>
      <c r="BI179" s="1" t="s">
        <v>916</v>
      </c>
      <c r="BJ179" s="21" t="str">
        <f t="shared" si="2"/>
        <v>FIXO</v>
      </c>
    </row>
    <row r="180" spans="1:62" x14ac:dyDescent="0.25">
      <c r="A180" s="7">
        <v>4</v>
      </c>
      <c r="B180" s="1" t="s">
        <v>271</v>
      </c>
      <c r="C180" s="8">
        <v>5</v>
      </c>
      <c r="D180" s="9" t="s">
        <v>807</v>
      </c>
      <c r="E180" s="10">
        <v>20078</v>
      </c>
      <c r="F180" s="11" t="s">
        <v>1517</v>
      </c>
      <c r="G180" s="12" t="s">
        <v>71</v>
      </c>
      <c r="H180" s="13" t="str">
        <f>VLOOKUP(AP180,[1]Listas!A:B,2,0)</f>
        <v xml:space="preserve">FESP </v>
      </c>
      <c r="I180" s="1" t="s">
        <v>27</v>
      </c>
      <c r="K180" s="1" t="s">
        <v>21</v>
      </c>
      <c r="L180" s="1" t="s">
        <v>1167</v>
      </c>
      <c r="M180" s="1" t="s">
        <v>338</v>
      </c>
      <c r="N180" s="14">
        <v>32083</v>
      </c>
      <c r="O180" s="1" t="s">
        <v>809</v>
      </c>
      <c r="P180" s="1" t="s">
        <v>810</v>
      </c>
      <c r="Q180" s="15" t="s">
        <v>814</v>
      </c>
      <c r="R180" s="1" t="s">
        <v>1075</v>
      </c>
      <c r="S180" s="1" t="s">
        <v>868</v>
      </c>
      <c r="T180" s="1" t="s">
        <v>869</v>
      </c>
      <c r="U180" s="9" t="s">
        <v>814</v>
      </c>
      <c r="V180" s="1" t="s">
        <v>815</v>
      </c>
      <c r="W180" s="1" t="s">
        <v>1518</v>
      </c>
      <c r="X180" s="1" t="s">
        <v>339</v>
      </c>
      <c r="Y180" s="14">
        <v>45693</v>
      </c>
      <c r="Z180" s="9" t="s">
        <v>817</v>
      </c>
      <c r="AB180" s="14">
        <v>45693</v>
      </c>
      <c r="AC180" s="9" t="s">
        <v>817</v>
      </c>
      <c r="AD180" s="9" t="s">
        <v>818</v>
      </c>
      <c r="AE180" s="1" t="s">
        <v>819</v>
      </c>
      <c r="AF180" s="14" t="s">
        <v>820</v>
      </c>
      <c r="AG180" s="9" t="s">
        <v>821</v>
      </c>
      <c r="AH180" s="1" t="s">
        <v>9</v>
      </c>
      <c r="AI180" s="9" t="s">
        <v>10</v>
      </c>
      <c r="AJ180" s="1" t="s">
        <v>11</v>
      </c>
      <c r="AK180" s="1" t="s">
        <v>1519</v>
      </c>
      <c r="AL180" s="1" t="s">
        <v>1520</v>
      </c>
      <c r="AM180" s="9">
        <v>11355</v>
      </c>
      <c r="AN180" s="1" t="s">
        <v>127</v>
      </c>
      <c r="AO180" s="1" t="s">
        <v>196</v>
      </c>
      <c r="AP180" s="1" t="s">
        <v>1172</v>
      </c>
      <c r="AQ180" s="14">
        <v>45693</v>
      </c>
      <c r="AU180" s="14">
        <v>45793</v>
      </c>
      <c r="AV180" s="16">
        <v>0</v>
      </c>
      <c r="AW180" s="16">
        <v>0</v>
      </c>
      <c r="BA180" s="1" t="s">
        <v>911</v>
      </c>
      <c r="BB180" s="9">
        <v>11</v>
      </c>
      <c r="BC180" s="1" t="s">
        <v>1521</v>
      </c>
      <c r="BD180" s="9" t="s">
        <v>807</v>
      </c>
      <c r="BE180" s="1" t="s">
        <v>1160</v>
      </c>
      <c r="BF180" s="1" t="s">
        <v>21</v>
      </c>
      <c r="BG180" s="1" t="s">
        <v>846</v>
      </c>
      <c r="BH180" s="1" t="s">
        <v>847</v>
      </c>
      <c r="BI180" s="1" t="s">
        <v>1055</v>
      </c>
      <c r="BJ180" s="21" t="str">
        <f t="shared" si="2"/>
        <v>FIXO</v>
      </c>
    </row>
    <row r="181" spans="1:62" x14ac:dyDescent="0.25">
      <c r="A181" s="7">
        <v>4</v>
      </c>
      <c r="B181" s="1" t="s">
        <v>271</v>
      </c>
      <c r="C181" s="8">
        <v>5</v>
      </c>
      <c r="D181" s="9" t="s">
        <v>807</v>
      </c>
      <c r="E181" s="10">
        <v>20079</v>
      </c>
      <c r="F181" s="11" t="s">
        <v>1522</v>
      </c>
      <c r="G181" s="12" t="s">
        <v>71</v>
      </c>
      <c r="H181" s="13" t="str">
        <f>VLOOKUP(AP181,[1]Listas!A:B,2,0)</f>
        <v xml:space="preserve">FESP </v>
      </c>
      <c r="I181" s="1" t="s">
        <v>27</v>
      </c>
      <c r="K181" s="1" t="s">
        <v>21</v>
      </c>
      <c r="L181" s="1" t="s">
        <v>1167</v>
      </c>
      <c r="M181" s="1" t="s">
        <v>340</v>
      </c>
      <c r="N181" s="14">
        <v>27836</v>
      </c>
      <c r="O181" s="1" t="s">
        <v>809</v>
      </c>
      <c r="P181" s="1" t="s">
        <v>810</v>
      </c>
      <c r="Q181" s="15" t="s">
        <v>811</v>
      </c>
      <c r="R181" s="1" t="s">
        <v>812</v>
      </c>
      <c r="S181" s="1" t="s">
        <v>868</v>
      </c>
      <c r="T181" s="1" t="s">
        <v>869</v>
      </c>
      <c r="U181" s="9" t="s">
        <v>811</v>
      </c>
      <c r="V181" s="1" t="s">
        <v>870</v>
      </c>
      <c r="W181" s="1" t="s">
        <v>1051</v>
      </c>
      <c r="X181" s="1" t="s">
        <v>126</v>
      </c>
      <c r="Y181" s="14">
        <v>45694</v>
      </c>
      <c r="Z181" s="9" t="s">
        <v>817</v>
      </c>
      <c r="AB181" s="14">
        <v>45694</v>
      </c>
      <c r="AC181" s="9" t="s">
        <v>817</v>
      </c>
      <c r="AD181" s="9" t="s">
        <v>818</v>
      </c>
      <c r="AE181" s="1" t="s">
        <v>819</v>
      </c>
      <c r="AF181" s="14" t="s">
        <v>820</v>
      </c>
      <c r="AG181" s="9" t="s">
        <v>821</v>
      </c>
      <c r="AH181" s="1" t="s">
        <v>9</v>
      </c>
      <c r="AI181" s="9" t="s">
        <v>10</v>
      </c>
      <c r="AJ181" s="1" t="s">
        <v>11</v>
      </c>
      <c r="AK181" s="1" t="s">
        <v>1510</v>
      </c>
      <c r="AL181" s="1" t="s">
        <v>1511</v>
      </c>
      <c r="AM181" s="9">
        <v>11355</v>
      </c>
      <c r="AN181" s="1" t="s">
        <v>127</v>
      </c>
      <c r="AO181" s="1" t="s">
        <v>196</v>
      </c>
      <c r="AP181" s="1" t="s">
        <v>1172</v>
      </c>
      <c r="AQ181" s="14">
        <v>45694</v>
      </c>
      <c r="AU181" s="14">
        <v>45793</v>
      </c>
      <c r="AV181" s="16">
        <v>0</v>
      </c>
      <c r="AW181" s="16">
        <v>0</v>
      </c>
      <c r="BA181" s="1" t="s">
        <v>911</v>
      </c>
      <c r="BB181" s="9">
        <v>11</v>
      </c>
      <c r="BC181" s="1" t="s">
        <v>1521</v>
      </c>
      <c r="BD181" s="9" t="s">
        <v>807</v>
      </c>
      <c r="BE181" s="1" t="s">
        <v>1160</v>
      </c>
      <c r="BF181" s="1" t="s">
        <v>21</v>
      </c>
      <c r="BG181" s="1" t="s">
        <v>846</v>
      </c>
      <c r="BH181" s="1" t="s">
        <v>847</v>
      </c>
      <c r="BI181" s="1" t="s">
        <v>1055</v>
      </c>
      <c r="BJ181" s="21" t="str">
        <f t="shared" si="2"/>
        <v>FIXO</v>
      </c>
    </row>
    <row r="182" spans="1:62" x14ac:dyDescent="0.25">
      <c r="A182" s="7">
        <v>4</v>
      </c>
      <c r="B182" s="1" t="s">
        <v>271</v>
      </c>
      <c r="C182" s="8">
        <v>5</v>
      </c>
      <c r="D182" s="9" t="s">
        <v>807</v>
      </c>
      <c r="E182" s="10">
        <v>20371</v>
      </c>
      <c r="F182" s="11" t="s">
        <v>1523</v>
      </c>
      <c r="G182" s="12" t="s">
        <v>71</v>
      </c>
      <c r="H182" s="13" t="str">
        <f>VLOOKUP(AP182,[1]Listas!A:B,2,0)</f>
        <v xml:space="preserve">FESP </v>
      </c>
      <c r="I182" s="1" t="s">
        <v>27</v>
      </c>
      <c r="K182" s="1" t="s">
        <v>21</v>
      </c>
      <c r="L182" s="1" t="s">
        <v>1167</v>
      </c>
      <c r="M182" s="1" t="s">
        <v>341</v>
      </c>
      <c r="N182" s="14">
        <v>28251</v>
      </c>
      <c r="O182" s="1" t="s">
        <v>809</v>
      </c>
      <c r="P182" s="1" t="s">
        <v>810</v>
      </c>
      <c r="Q182" s="15" t="s">
        <v>811</v>
      </c>
      <c r="R182" s="1" t="s">
        <v>812</v>
      </c>
      <c r="S182" s="1" t="s">
        <v>868</v>
      </c>
      <c r="T182" s="1" t="s">
        <v>869</v>
      </c>
      <c r="U182" s="9" t="s">
        <v>814</v>
      </c>
      <c r="V182" s="1" t="s">
        <v>815</v>
      </c>
      <c r="W182" s="1" t="s">
        <v>1051</v>
      </c>
      <c r="X182" s="1" t="s">
        <v>126</v>
      </c>
      <c r="Y182" s="14">
        <v>45733</v>
      </c>
      <c r="Z182" s="9" t="s">
        <v>817</v>
      </c>
      <c r="AB182" s="14">
        <v>45733</v>
      </c>
      <c r="AC182" s="9" t="s">
        <v>817</v>
      </c>
      <c r="AD182" s="9" t="s">
        <v>818</v>
      </c>
      <c r="AE182" s="1" t="s">
        <v>819</v>
      </c>
      <c r="AF182" s="14" t="s">
        <v>820</v>
      </c>
      <c r="AG182" s="9" t="s">
        <v>821</v>
      </c>
      <c r="AH182" s="1" t="s">
        <v>9</v>
      </c>
      <c r="AI182" s="9" t="s">
        <v>10</v>
      </c>
      <c r="AJ182" s="1" t="s">
        <v>11</v>
      </c>
      <c r="AK182" s="1" t="s">
        <v>1510</v>
      </c>
      <c r="AL182" s="1" t="s">
        <v>1511</v>
      </c>
      <c r="AM182" s="9">
        <v>11355</v>
      </c>
      <c r="AN182" s="1" t="s">
        <v>127</v>
      </c>
      <c r="AO182" s="1" t="s">
        <v>196</v>
      </c>
      <c r="AP182" s="1" t="s">
        <v>1172</v>
      </c>
      <c r="AQ182" s="14">
        <v>45733</v>
      </c>
      <c r="AU182" s="14">
        <v>45733</v>
      </c>
      <c r="AV182" s="16">
        <v>0</v>
      </c>
      <c r="AW182" s="16">
        <v>0</v>
      </c>
      <c r="BA182" s="1" t="s">
        <v>911</v>
      </c>
      <c r="BB182" s="9">
        <v>11</v>
      </c>
      <c r="BC182" s="1" t="s">
        <v>1521</v>
      </c>
      <c r="BD182" s="9" t="s">
        <v>807</v>
      </c>
      <c r="BE182" s="1" t="s">
        <v>1160</v>
      </c>
      <c r="BF182" s="1" t="s">
        <v>21</v>
      </c>
      <c r="BG182" s="1" t="s">
        <v>846</v>
      </c>
      <c r="BH182" s="1" t="s">
        <v>847</v>
      </c>
      <c r="BI182" s="1" t="s">
        <v>1055</v>
      </c>
      <c r="BJ182" s="21" t="str">
        <f t="shared" si="2"/>
        <v>FIXO</v>
      </c>
    </row>
    <row r="183" spans="1:62" x14ac:dyDescent="0.25">
      <c r="A183" s="7">
        <v>4</v>
      </c>
      <c r="B183" s="1" t="s">
        <v>271</v>
      </c>
      <c r="C183" s="8">
        <v>5</v>
      </c>
      <c r="D183" s="9" t="s">
        <v>807</v>
      </c>
      <c r="E183" s="10">
        <v>20903</v>
      </c>
      <c r="F183" s="11" t="s">
        <v>1524</v>
      </c>
      <c r="G183" s="12" t="s">
        <v>71</v>
      </c>
      <c r="H183" s="13" t="str">
        <f>VLOOKUP(AP183,[1]Listas!A:B,2,0)</f>
        <v xml:space="preserve">FESP </v>
      </c>
      <c r="I183" s="1" t="s">
        <v>27</v>
      </c>
      <c r="K183" s="1" t="s">
        <v>21</v>
      </c>
      <c r="L183" s="12"/>
      <c r="M183" s="1" t="s">
        <v>342</v>
      </c>
      <c r="N183" s="14">
        <v>38744</v>
      </c>
      <c r="O183" s="1" t="s">
        <v>809</v>
      </c>
      <c r="P183" s="1" t="s">
        <v>810</v>
      </c>
      <c r="Q183" s="15" t="s">
        <v>807</v>
      </c>
      <c r="R183" s="1" t="s">
        <v>857</v>
      </c>
      <c r="S183" s="1" t="s">
        <v>868</v>
      </c>
      <c r="T183" s="1" t="s">
        <v>869</v>
      </c>
      <c r="U183" s="9" t="s">
        <v>951</v>
      </c>
      <c r="V183" s="1" t="s">
        <v>952</v>
      </c>
      <c r="W183" s="1" t="s">
        <v>1220</v>
      </c>
      <c r="X183" s="1" t="s">
        <v>220</v>
      </c>
      <c r="Y183" s="14">
        <v>45811</v>
      </c>
      <c r="Z183" s="9" t="s">
        <v>817</v>
      </c>
      <c r="AB183" s="14">
        <v>45811</v>
      </c>
      <c r="AC183" s="9" t="s">
        <v>817</v>
      </c>
      <c r="AD183" s="9" t="s">
        <v>818</v>
      </c>
      <c r="AE183" s="1" t="s">
        <v>819</v>
      </c>
      <c r="AF183" s="14" t="s">
        <v>820</v>
      </c>
      <c r="AG183" s="9" t="s">
        <v>821</v>
      </c>
      <c r="AH183" s="1" t="s">
        <v>9</v>
      </c>
      <c r="AI183" s="9" t="s">
        <v>10</v>
      </c>
      <c r="AJ183" s="1" t="s">
        <v>11</v>
      </c>
      <c r="AK183" s="1" t="s">
        <v>1459</v>
      </c>
      <c r="AL183" s="1" t="s">
        <v>1460</v>
      </c>
      <c r="AM183" s="9">
        <v>11318</v>
      </c>
      <c r="AN183" s="1" t="s">
        <v>122</v>
      </c>
      <c r="AO183" s="1" t="s">
        <v>94</v>
      </c>
      <c r="AP183" s="1" t="s">
        <v>982</v>
      </c>
      <c r="AQ183" s="14">
        <v>45811</v>
      </c>
      <c r="AU183" s="14">
        <v>45811</v>
      </c>
      <c r="AV183" s="16">
        <v>0</v>
      </c>
      <c r="AW183" s="16">
        <v>0</v>
      </c>
      <c r="BA183" s="1" t="s">
        <v>911</v>
      </c>
      <c r="BB183" s="9">
        <v>7</v>
      </c>
      <c r="BC183" s="1" t="s">
        <v>826</v>
      </c>
      <c r="BD183" s="9" t="s">
        <v>807</v>
      </c>
      <c r="BE183" s="1" t="s">
        <v>1160</v>
      </c>
      <c r="BF183" s="1" t="s">
        <v>21</v>
      </c>
      <c r="BG183" s="1" t="s">
        <v>846</v>
      </c>
      <c r="BH183" s="1" t="s">
        <v>847</v>
      </c>
      <c r="BI183" s="1" t="s">
        <v>1055</v>
      </c>
      <c r="BJ183" s="21" t="str">
        <f t="shared" si="2"/>
        <v>FIXO</v>
      </c>
    </row>
    <row r="184" spans="1:62" x14ac:dyDescent="0.25">
      <c r="A184" s="7">
        <v>4</v>
      </c>
      <c r="B184" s="1" t="s">
        <v>271</v>
      </c>
      <c r="C184" s="8">
        <v>5</v>
      </c>
      <c r="D184" s="9" t="s">
        <v>807</v>
      </c>
      <c r="E184" s="10">
        <v>20904</v>
      </c>
      <c r="F184" s="11" t="s">
        <v>1525</v>
      </c>
      <c r="G184" s="12" t="s">
        <v>71</v>
      </c>
      <c r="H184" s="13" t="str">
        <f>VLOOKUP(AP184,[1]Listas!A:B,2,0)</f>
        <v xml:space="preserve">FESP </v>
      </c>
      <c r="I184" s="1" t="s">
        <v>27</v>
      </c>
      <c r="K184" s="1" t="s">
        <v>248</v>
      </c>
      <c r="L184" s="12"/>
      <c r="M184" s="1" t="s">
        <v>343</v>
      </c>
      <c r="N184" s="14">
        <v>38823</v>
      </c>
      <c r="O184" s="1" t="s">
        <v>809</v>
      </c>
      <c r="P184" s="1" t="s">
        <v>810</v>
      </c>
      <c r="Q184" s="15" t="s">
        <v>807</v>
      </c>
      <c r="R184" s="1" t="s">
        <v>857</v>
      </c>
      <c r="S184" s="1" t="s">
        <v>807</v>
      </c>
      <c r="T184" s="1" t="s">
        <v>813</v>
      </c>
      <c r="U184" s="9" t="s">
        <v>814</v>
      </c>
      <c r="V184" s="1" t="s">
        <v>815</v>
      </c>
      <c r="W184" s="1" t="s">
        <v>1062</v>
      </c>
      <c r="X184" s="1" t="s">
        <v>132</v>
      </c>
      <c r="Y184" s="14">
        <v>45811</v>
      </c>
      <c r="Z184" s="9" t="s">
        <v>817</v>
      </c>
      <c r="AB184" s="14">
        <v>45811</v>
      </c>
      <c r="AC184" s="9" t="s">
        <v>817</v>
      </c>
      <c r="AD184" s="9" t="s">
        <v>818</v>
      </c>
      <c r="AE184" s="1" t="s">
        <v>819</v>
      </c>
      <c r="AF184" s="14" t="s">
        <v>820</v>
      </c>
      <c r="AG184" s="9" t="s">
        <v>821</v>
      </c>
      <c r="AH184" s="1" t="s">
        <v>9</v>
      </c>
      <c r="AI184" s="9" t="s">
        <v>10</v>
      </c>
      <c r="AJ184" s="1" t="s">
        <v>11</v>
      </c>
      <c r="AK184" s="1" t="s">
        <v>1514</v>
      </c>
      <c r="AL184" s="1" t="s">
        <v>1515</v>
      </c>
      <c r="AM184" s="9">
        <v>11301</v>
      </c>
      <c r="AN184" s="1" t="s">
        <v>25</v>
      </c>
      <c r="AO184" s="1" t="s">
        <v>26</v>
      </c>
      <c r="AP184" s="1" t="s">
        <v>848</v>
      </c>
      <c r="AQ184" s="14">
        <v>45811</v>
      </c>
      <c r="AU184" s="14">
        <v>45811</v>
      </c>
      <c r="AV184" s="16">
        <v>0</v>
      </c>
      <c r="AW184" s="16">
        <v>0</v>
      </c>
      <c r="BA184" s="1" t="s">
        <v>911</v>
      </c>
      <c r="BB184" s="9">
        <v>7</v>
      </c>
      <c r="BC184" s="1" t="s">
        <v>826</v>
      </c>
      <c r="BD184" s="9" t="s">
        <v>807</v>
      </c>
      <c r="BE184" s="1" t="s">
        <v>850</v>
      </c>
      <c r="BF184" s="1" t="s">
        <v>27</v>
      </c>
      <c r="BG184" s="1" t="s">
        <v>851</v>
      </c>
      <c r="BH184" s="1" t="s">
        <v>852</v>
      </c>
      <c r="BI184" s="20" t="s">
        <v>853</v>
      </c>
      <c r="BJ184" s="21" t="str">
        <f t="shared" si="2"/>
        <v>FIXO</v>
      </c>
    </row>
    <row r="185" spans="1:62" x14ac:dyDescent="0.25">
      <c r="A185" s="7">
        <v>4</v>
      </c>
      <c r="B185" s="1" t="s">
        <v>271</v>
      </c>
      <c r="C185" s="8">
        <v>7</v>
      </c>
      <c r="D185" s="9" t="s">
        <v>807</v>
      </c>
      <c r="E185" s="10">
        <v>20990</v>
      </c>
      <c r="F185" s="11" t="s">
        <v>1526</v>
      </c>
      <c r="G185" s="1" t="s">
        <v>271</v>
      </c>
      <c r="H185" s="13" t="str">
        <f>VLOOKUP(AP185,[1]Listas!A:B,2,0)</f>
        <v xml:space="preserve">FBAG </v>
      </c>
      <c r="I185" s="1" t="s">
        <v>280</v>
      </c>
      <c r="K185" s="12"/>
      <c r="L185" s="12"/>
      <c r="M185" s="1" t="s">
        <v>344</v>
      </c>
      <c r="N185" s="14">
        <v>35655</v>
      </c>
      <c r="O185" s="1" t="s">
        <v>855</v>
      </c>
      <c r="P185" s="1" t="s">
        <v>856</v>
      </c>
      <c r="Q185" s="15" t="s">
        <v>807</v>
      </c>
      <c r="R185" s="1" t="s">
        <v>857</v>
      </c>
      <c r="S185" s="1" t="s">
        <v>811</v>
      </c>
      <c r="T185" s="1" t="s">
        <v>906</v>
      </c>
      <c r="U185" s="9" t="s">
        <v>951</v>
      </c>
      <c r="V185" s="1" t="s">
        <v>952</v>
      </c>
      <c r="W185" s="1" t="s">
        <v>871</v>
      </c>
      <c r="X185" s="1" t="s">
        <v>34</v>
      </c>
      <c r="Y185" s="14">
        <v>45818</v>
      </c>
      <c r="Z185" s="9" t="s">
        <v>817</v>
      </c>
      <c r="AB185" s="14">
        <v>45818</v>
      </c>
      <c r="AC185" s="9" t="s">
        <v>817</v>
      </c>
      <c r="AD185" s="9" t="s">
        <v>818</v>
      </c>
      <c r="AE185" s="1" t="s">
        <v>819</v>
      </c>
      <c r="AF185" s="14" t="s">
        <v>820</v>
      </c>
      <c r="AG185" s="9" t="s">
        <v>821</v>
      </c>
      <c r="AH185" s="1" t="s">
        <v>9</v>
      </c>
      <c r="AI185" s="9" t="s">
        <v>10</v>
      </c>
      <c r="AJ185" s="1" t="s">
        <v>11</v>
      </c>
      <c r="AK185" s="1" t="s">
        <v>1483</v>
      </c>
      <c r="AL185" s="1" t="s">
        <v>1484</v>
      </c>
      <c r="AM185" s="9">
        <v>11569</v>
      </c>
      <c r="AN185" s="1" t="s">
        <v>272</v>
      </c>
      <c r="AO185" s="1" t="s">
        <v>284</v>
      </c>
      <c r="AP185" s="1" t="s">
        <v>1384</v>
      </c>
      <c r="AQ185" s="14">
        <v>45818</v>
      </c>
      <c r="AU185" s="14">
        <v>45818</v>
      </c>
      <c r="AV185" s="16">
        <v>0</v>
      </c>
      <c r="AW185" s="16">
        <v>0</v>
      </c>
      <c r="BA185" s="1" t="s">
        <v>911</v>
      </c>
      <c r="BB185" s="9">
        <v>7</v>
      </c>
      <c r="BC185" s="1" t="s">
        <v>826</v>
      </c>
      <c r="BD185" s="9" t="s">
        <v>807</v>
      </c>
      <c r="BE185" s="1" t="s">
        <v>1439</v>
      </c>
      <c r="BF185" s="1" t="s">
        <v>307</v>
      </c>
      <c r="BG185" s="1" t="s">
        <v>1440</v>
      </c>
      <c r="BH185" s="1" t="s">
        <v>1441</v>
      </c>
      <c r="BI185" s="1" t="s">
        <v>878</v>
      </c>
      <c r="BJ185" s="21" t="str">
        <f t="shared" si="2"/>
        <v>FIXO</v>
      </c>
    </row>
    <row r="186" spans="1:62" x14ac:dyDescent="0.25">
      <c r="A186" s="7">
        <v>4</v>
      </c>
      <c r="B186" s="1" t="s">
        <v>271</v>
      </c>
      <c r="C186" s="8">
        <v>4</v>
      </c>
      <c r="D186" s="9" t="s">
        <v>807</v>
      </c>
      <c r="E186" s="10">
        <v>21059</v>
      </c>
      <c r="F186" s="11" t="s">
        <v>1527</v>
      </c>
      <c r="G186" s="12" t="s">
        <v>271</v>
      </c>
      <c r="H186" s="13" t="str">
        <f>VLOOKUP(AP186,[1]Listas!A:B,2,0)</f>
        <v xml:space="preserve">FPAR </v>
      </c>
      <c r="I186" s="1" t="s">
        <v>296</v>
      </c>
      <c r="K186" s="12"/>
      <c r="L186" s="1" t="s">
        <v>296</v>
      </c>
      <c r="M186" s="1" t="s">
        <v>345</v>
      </c>
      <c r="N186" s="14">
        <v>33303</v>
      </c>
      <c r="O186" s="1" t="s">
        <v>809</v>
      </c>
      <c r="P186" s="1" t="s">
        <v>810</v>
      </c>
      <c r="Q186" s="15" t="s">
        <v>811</v>
      </c>
      <c r="R186" s="1" t="s">
        <v>812</v>
      </c>
      <c r="S186" s="1" t="s">
        <v>807</v>
      </c>
      <c r="T186" s="1" t="s">
        <v>813</v>
      </c>
      <c r="U186" s="9" t="s">
        <v>868</v>
      </c>
      <c r="V186" s="1" t="s">
        <v>913</v>
      </c>
      <c r="W186" s="1" t="s">
        <v>1051</v>
      </c>
      <c r="X186" s="1" t="s">
        <v>126</v>
      </c>
      <c r="Y186" s="14">
        <v>45840</v>
      </c>
      <c r="Z186" s="9" t="s">
        <v>817</v>
      </c>
      <c r="AB186" s="14">
        <v>45821</v>
      </c>
      <c r="AC186" s="9" t="s">
        <v>817</v>
      </c>
      <c r="AD186" s="9" t="s">
        <v>818</v>
      </c>
      <c r="AE186" s="1" t="s">
        <v>819</v>
      </c>
      <c r="AF186" s="14" t="s">
        <v>820</v>
      </c>
      <c r="AG186" s="9" t="s">
        <v>821</v>
      </c>
      <c r="AH186" s="1" t="s">
        <v>9</v>
      </c>
      <c r="AI186" s="9" t="s">
        <v>10</v>
      </c>
      <c r="AJ186" s="1" t="s">
        <v>11</v>
      </c>
      <c r="AK186" s="1" t="s">
        <v>1528</v>
      </c>
      <c r="AL186" s="1" t="s">
        <v>1529</v>
      </c>
      <c r="AM186" s="9">
        <v>11255</v>
      </c>
      <c r="AN186" s="1" t="s">
        <v>127</v>
      </c>
      <c r="AO186" s="1" t="s">
        <v>346</v>
      </c>
      <c r="AP186" s="1" t="s">
        <v>1530</v>
      </c>
      <c r="AQ186" s="14">
        <v>45840</v>
      </c>
      <c r="AU186" s="14">
        <v>45840</v>
      </c>
      <c r="AV186" s="16">
        <v>0</v>
      </c>
      <c r="AW186" s="16">
        <v>0</v>
      </c>
      <c r="BA186" s="1" t="s">
        <v>911</v>
      </c>
      <c r="BB186" s="9">
        <v>18</v>
      </c>
      <c r="BC186" s="1" t="s">
        <v>1531</v>
      </c>
      <c r="BD186" s="9" t="s">
        <v>807</v>
      </c>
      <c r="BE186" s="1" t="s">
        <v>850</v>
      </c>
      <c r="BF186" s="1" t="s">
        <v>27</v>
      </c>
      <c r="BG186" s="1" t="s">
        <v>851</v>
      </c>
      <c r="BH186" s="1" t="s">
        <v>852</v>
      </c>
      <c r="BI186" s="20" t="s">
        <v>1055</v>
      </c>
      <c r="BJ186" s="21" t="str">
        <f t="shared" si="2"/>
        <v>FIXO</v>
      </c>
    </row>
    <row r="187" spans="1:62" x14ac:dyDescent="0.25">
      <c r="A187" s="7">
        <v>4</v>
      </c>
      <c r="B187" s="1" t="s">
        <v>271</v>
      </c>
      <c r="C187" s="8">
        <v>5</v>
      </c>
      <c r="D187" s="9" t="s">
        <v>807</v>
      </c>
      <c r="E187" s="10">
        <v>21220</v>
      </c>
      <c r="F187" s="11" t="s">
        <v>1532</v>
      </c>
      <c r="G187" s="12" t="s">
        <v>71</v>
      </c>
      <c r="H187" s="13" t="str">
        <f>VLOOKUP(AP187,[1]Listas!A:B,2,0)</f>
        <v xml:space="preserve">FESP </v>
      </c>
      <c r="I187" s="1" t="s">
        <v>27</v>
      </c>
      <c r="K187" s="1" t="s">
        <v>21</v>
      </c>
      <c r="L187" s="1" t="s">
        <v>1167</v>
      </c>
      <c r="M187" s="1" t="s">
        <v>347</v>
      </c>
      <c r="N187" s="14">
        <v>36976</v>
      </c>
      <c r="O187" s="1" t="s">
        <v>809</v>
      </c>
      <c r="P187" s="1" t="s">
        <v>810</v>
      </c>
      <c r="Q187" s="15" t="s">
        <v>807</v>
      </c>
      <c r="R187" s="1" t="s">
        <v>857</v>
      </c>
      <c r="S187" s="1" t="s">
        <v>868</v>
      </c>
      <c r="T187" s="1" t="s">
        <v>869</v>
      </c>
      <c r="U187" s="9" t="s">
        <v>814</v>
      </c>
      <c r="V187" s="1" t="s">
        <v>815</v>
      </c>
      <c r="W187" s="1" t="s">
        <v>1220</v>
      </c>
      <c r="X187" s="1" t="s">
        <v>220</v>
      </c>
      <c r="Y187" s="14">
        <v>45846</v>
      </c>
      <c r="Z187" s="9" t="s">
        <v>817</v>
      </c>
      <c r="AB187" s="14">
        <v>45846</v>
      </c>
      <c r="AC187" s="9" t="s">
        <v>817</v>
      </c>
      <c r="AD187" s="9" t="s">
        <v>818</v>
      </c>
      <c r="AE187" s="1" t="s">
        <v>819</v>
      </c>
      <c r="AF187" s="14" t="s">
        <v>820</v>
      </c>
      <c r="AG187" s="9" t="s">
        <v>821</v>
      </c>
      <c r="AH187" s="1" t="s">
        <v>9</v>
      </c>
      <c r="AI187" s="9" t="s">
        <v>10</v>
      </c>
      <c r="AJ187" s="1" t="s">
        <v>11</v>
      </c>
      <c r="AK187" s="1" t="s">
        <v>1459</v>
      </c>
      <c r="AL187" s="1" t="s">
        <v>1460</v>
      </c>
      <c r="AM187" s="9">
        <v>11318</v>
      </c>
      <c r="AN187" s="1" t="s">
        <v>122</v>
      </c>
      <c r="AO187" s="1" t="s">
        <v>94</v>
      </c>
      <c r="AP187" s="1" t="s">
        <v>982</v>
      </c>
      <c r="AQ187" s="14">
        <v>45846</v>
      </c>
      <c r="AU187" s="14">
        <v>45846</v>
      </c>
      <c r="AV187" s="16">
        <v>0</v>
      </c>
      <c r="AW187" s="16">
        <v>0</v>
      </c>
      <c r="BA187" s="1" t="s">
        <v>911</v>
      </c>
      <c r="BB187" s="9">
        <v>24</v>
      </c>
      <c r="BC187" s="1" t="s">
        <v>1533</v>
      </c>
      <c r="BD187" s="9" t="s">
        <v>807</v>
      </c>
      <c r="BE187" s="1" t="s">
        <v>1160</v>
      </c>
      <c r="BF187" s="1" t="s">
        <v>21</v>
      </c>
      <c r="BG187" s="1" t="s">
        <v>846</v>
      </c>
      <c r="BH187" s="1" t="s">
        <v>847</v>
      </c>
      <c r="BI187" s="1" t="s">
        <v>1055</v>
      </c>
      <c r="BJ187" s="21" t="str">
        <f t="shared" si="2"/>
        <v>FIXO</v>
      </c>
    </row>
    <row r="188" spans="1:62" x14ac:dyDescent="0.25">
      <c r="A188" s="7">
        <v>4</v>
      </c>
      <c r="B188" s="1" t="s">
        <v>271</v>
      </c>
      <c r="C188" s="8">
        <v>4</v>
      </c>
      <c r="D188" s="9" t="s">
        <v>807</v>
      </c>
      <c r="E188" s="10">
        <v>21221</v>
      </c>
      <c r="F188" s="11" t="s">
        <v>1534</v>
      </c>
      <c r="G188" s="12" t="s">
        <v>271</v>
      </c>
      <c r="H188" s="13" t="str">
        <f>VLOOKUP(AP188,[1]Listas!A:B,2,0)</f>
        <v xml:space="preserve">FPAR </v>
      </c>
      <c r="I188" s="1" t="s">
        <v>296</v>
      </c>
      <c r="K188" s="12"/>
      <c r="L188" s="1" t="s">
        <v>296</v>
      </c>
      <c r="M188" s="1" t="s">
        <v>348</v>
      </c>
      <c r="N188" s="14">
        <v>33947</v>
      </c>
      <c r="O188" s="1" t="s">
        <v>809</v>
      </c>
      <c r="P188" s="1" t="s">
        <v>810</v>
      </c>
      <c r="Q188" s="15" t="s">
        <v>807</v>
      </c>
      <c r="R188" s="1" t="s">
        <v>857</v>
      </c>
      <c r="S188" s="1" t="s">
        <v>868</v>
      </c>
      <c r="T188" s="1" t="s">
        <v>869</v>
      </c>
      <c r="U188" s="9" t="s">
        <v>868</v>
      </c>
      <c r="V188" s="1" t="s">
        <v>913</v>
      </c>
      <c r="W188" s="1" t="s">
        <v>1051</v>
      </c>
      <c r="X188" s="1" t="s">
        <v>126</v>
      </c>
      <c r="Y188" s="14">
        <v>45887</v>
      </c>
      <c r="Z188" s="9" t="s">
        <v>817</v>
      </c>
      <c r="AB188" s="14">
        <v>45839</v>
      </c>
      <c r="AC188" s="9" t="s">
        <v>817</v>
      </c>
      <c r="AD188" s="9" t="s">
        <v>818</v>
      </c>
      <c r="AE188" s="1" t="s">
        <v>819</v>
      </c>
      <c r="AF188" s="14" t="s">
        <v>820</v>
      </c>
      <c r="AG188" s="9" t="s">
        <v>821</v>
      </c>
      <c r="AH188" s="1" t="s">
        <v>9</v>
      </c>
      <c r="AI188" s="9" t="s">
        <v>10</v>
      </c>
      <c r="AJ188" s="1" t="s">
        <v>11</v>
      </c>
      <c r="AK188" s="1" t="s">
        <v>1528</v>
      </c>
      <c r="AL188" s="1" t="s">
        <v>1529</v>
      </c>
      <c r="AM188" s="9">
        <v>11255</v>
      </c>
      <c r="AN188" s="1" t="s">
        <v>127</v>
      </c>
      <c r="AO188" s="1" t="s">
        <v>346</v>
      </c>
      <c r="AP188" s="1" t="s">
        <v>1530</v>
      </c>
      <c r="AQ188" s="14">
        <v>45887</v>
      </c>
      <c r="AU188" s="14">
        <v>45887</v>
      </c>
      <c r="AV188" s="16">
        <v>0</v>
      </c>
      <c r="AW188" s="16">
        <v>0</v>
      </c>
      <c r="BA188" s="1" t="s">
        <v>911</v>
      </c>
      <c r="BB188" s="9">
        <v>18</v>
      </c>
      <c r="BC188" s="1" t="s">
        <v>1531</v>
      </c>
      <c r="BD188" s="9" t="s">
        <v>807</v>
      </c>
      <c r="BE188" s="1" t="s">
        <v>850</v>
      </c>
      <c r="BF188" s="1" t="s">
        <v>27</v>
      </c>
      <c r="BG188" s="1" t="s">
        <v>851</v>
      </c>
      <c r="BH188" s="1" t="s">
        <v>852</v>
      </c>
      <c r="BI188" s="20" t="s">
        <v>1055</v>
      </c>
      <c r="BJ188" s="21" t="str">
        <f t="shared" si="2"/>
        <v>FIXO</v>
      </c>
    </row>
    <row r="189" spans="1:62" x14ac:dyDescent="0.25">
      <c r="A189" s="7">
        <v>4</v>
      </c>
      <c r="B189" s="1" t="s">
        <v>271</v>
      </c>
      <c r="C189" s="8">
        <v>4</v>
      </c>
      <c r="D189" s="9" t="s">
        <v>807</v>
      </c>
      <c r="E189" s="10">
        <v>21325</v>
      </c>
      <c r="F189" s="11" t="s">
        <v>1535</v>
      </c>
      <c r="G189" s="12" t="s">
        <v>271</v>
      </c>
      <c r="H189" s="13" t="str">
        <f>VLOOKUP(AP189,[1]Listas!A:B,2,0)</f>
        <v xml:space="preserve">FPAR </v>
      </c>
      <c r="I189" s="1" t="s">
        <v>296</v>
      </c>
      <c r="K189" s="12"/>
      <c r="L189" s="1" t="s">
        <v>1351</v>
      </c>
      <c r="M189" s="1" t="s">
        <v>1536</v>
      </c>
      <c r="N189" s="14">
        <v>36870</v>
      </c>
      <c r="O189" s="1" t="s">
        <v>855</v>
      </c>
      <c r="P189" s="1" t="s">
        <v>856</v>
      </c>
      <c r="Q189" s="15" t="s">
        <v>807</v>
      </c>
      <c r="R189" s="1" t="s">
        <v>857</v>
      </c>
      <c r="S189" s="1" t="s">
        <v>868</v>
      </c>
      <c r="T189" s="1" t="s">
        <v>869</v>
      </c>
      <c r="U189" s="9" t="s">
        <v>951</v>
      </c>
      <c r="V189" s="1" t="s">
        <v>952</v>
      </c>
      <c r="W189" s="1" t="s">
        <v>1430</v>
      </c>
      <c r="X189" s="1" t="s">
        <v>303</v>
      </c>
      <c r="Y189" s="14">
        <v>45853</v>
      </c>
      <c r="Z189" s="9" t="s">
        <v>817</v>
      </c>
      <c r="AB189" s="14">
        <v>45853</v>
      </c>
      <c r="AC189" s="9" t="s">
        <v>817</v>
      </c>
      <c r="AD189" s="9" t="s">
        <v>818</v>
      </c>
      <c r="AE189" s="1" t="s">
        <v>819</v>
      </c>
      <c r="AF189" s="14" t="s">
        <v>820</v>
      </c>
      <c r="AG189" s="9" t="s">
        <v>821</v>
      </c>
      <c r="AH189" s="1" t="s">
        <v>9</v>
      </c>
      <c r="AI189" s="9" t="s">
        <v>10</v>
      </c>
      <c r="AJ189" s="1" t="s">
        <v>11</v>
      </c>
      <c r="AK189" s="1" t="s">
        <v>1537</v>
      </c>
      <c r="AL189" s="1" t="s">
        <v>1538</v>
      </c>
      <c r="AM189" s="9">
        <v>11207</v>
      </c>
      <c r="AN189" s="1" t="s">
        <v>295</v>
      </c>
      <c r="AO189" s="1" t="s">
        <v>1364</v>
      </c>
      <c r="AP189" s="1" t="s">
        <v>1365</v>
      </c>
      <c r="AQ189" s="14">
        <v>45853</v>
      </c>
      <c r="AU189" s="14">
        <v>45853</v>
      </c>
      <c r="AV189" s="16">
        <v>0</v>
      </c>
      <c r="AW189" s="16">
        <v>0</v>
      </c>
      <c r="BA189" s="1" t="s">
        <v>911</v>
      </c>
      <c r="BB189" s="9">
        <v>7</v>
      </c>
      <c r="BC189" s="1" t="s">
        <v>826</v>
      </c>
      <c r="BD189" s="9" t="s">
        <v>807</v>
      </c>
      <c r="BE189" s="1" t="s">
        <v>1017</v>
      </c>
      <c r="BI189" s="20" t="s">
        <v>1073</v>
      </c>
      <c r="BJ189" s="21" t="str">
        <f t="shared" si="2"/>
        <v>FIXO</v>
      </c>
    </row>
    <row r="190" spans="1:62" x14ac:dyDescent="0.25">
      <c r="A190" s="7">
        <v>4</v>
      </c>
      <c r="B190" s="1" t="s">
        <v>271</v>
      </c>
      <c r="C190" s="8">
        <v>7</v>
      </c>
      <c r="D190" s="9" t="s">
        <v>807</v>
      </c>
      <c r="E190" s="10">
        <v>21559</v>
      </c>
      <c r="F190" s="11" t="s">
        <v>1539</v>
      </c>
      <c r="G190" s="1" t="s">
        <v>271</v>
      </c>
      <c r="H190" s="13" t="str">
        <f>VLOOKUP(AP190,[1]Listas!A:B,2,0)</f>
        <v xml:space="preserve">FBAG </v>
      </c>
      <c r="I190" s="1" t="s">
        <v>280</v>
      </c>
      <c r="J190" s="12"/>
      <c r="K190" s="12"/>
      <c r="L190" s="1" t="s">
        <v>280</v>
      </c>
      <c r="M190" s="1" t="s">
        <v>1540</v>
      </c>
      <c r="N190" s="14">
        <v>38007</v>
      </c>
      <c r="O190" s="1" t="s">
        <v>855</v>
      </c>
      <c r="P190" s="1" t="s">
        <v>856</v>
      </c>
      <c r="Q190" s="15" t="s">
        <v>807</v>
      </c>
      <c r="R190" s="1" t="s">
        <v>857</v>
      </c>
      <c r="S190" s="1" t="s">
        <v>868</v>
      </c>
      <c r="T190" s="1" t="s">
        <v>869</v>
      </c>
      <c r="U190" s="9" t="s">
        <v>1031</v>
      </c>
      <c r="V190" s="1" t="s">
        <v>1100</v>
      </c>
      <c r="W190" s="1" t="s">
        <v>1541</v>
      </c>
      <c r="X190" s="1" t="s">
        <v>349</v>
      </c>
      <c r="Y190" s="14">
        <v>45919</v>
      </c>
      <c r="Z190" s="9" t="s">
        <v>817</v>
      </c>
      <c r="AB190" s="14">
        <v>45919</v>
      </c>
      <c r="AC190" s="9" t="s">
        <v>817</v>
      </c>
      <c r="AD190" s="9" t="s">
        <v>818</v>
      </c>
      <c r="AE190" s="1" t="s">
        <v>819</v>
      </c>
      <c r="AF190" s="14" t="s">
        <v>820</v>
      </c>
      <c r="AG190" s="9" t="s">
        <v>821</v>
      </c>
      <c r="AH190" s="1" t="s">
        <v>9</v>
      </c>
      <c r="AI190" s="9" t="s">
        <v>10</v>
      </c>
      <c r="AJ190" s="1" t="s">
        <v>11</v>
      </c>
      <c r="AK190" s="1" t="s">
        <v>1542</v>
      </c>
      <c r="AL190" s="1" t="s">
        <v>1543</v>
      </c>
      <c r="AM190" s="9">
        <v>11558</v>
      </c>
      <c r="AN190" s="1" t="s">
        <v>169</v>
      </c>
      <c r="AO190" s="1" t="s">
        <v>1544</v>
      </c>
      <c r="AP190" s="1" t="s">
        <v>1545</v>
      </c>
      <c r="AQ190" s="14">
        <v>45919</v>
      </c>
      <c r="AU190" s="14">
        <v>45919</v>
      </c>
      <c r="AV190" s="16">
        <v>0</v>
      </c>
      <c r="AW190" s="16">
        <v>0</v>
      </c>
      <c r="BA190" s="1" t="s">
        <v>911</v>
      </c>
      <c r="BB190" s="9">
        <v>38</v>
      </c>
      <c r="BC190" s="1" t="s">
        <v>1297</v>
      </c>
      <c r="BD190" s="9" t="s">
        <v>807</v>
      </c>
      <c r="BE190" s="1" t="s">
        <v>1017</v>
      </c>
      <c r="BI190" s="1" t="s">
        <v>983</v>
      </c>
      <c r="BJ190" s="21" t="str">
        <f t="shared" si="2"/>
        <v>SAFRISTA</v>
      </c>
    </row>
    <row r="191" spans="1:62" x14ac:dyDescent="0.25">
      <c r="A191" s="7">
        <v>4</v>
      </c>
      <c r="B191" s="1" t="s">
        <v>271</v>
      </c>
      <c r="C191" s="8">
        <v>7</v>
      </c>
      <c r="D191" s="9" t="s">
        <v>807</v>
      </c>
      <c r="E191" s="10">
        <v>21575</v>
      </c>
      <c r="F191" s="11" t="s">
        <v>1546</v>
      </c>
      <c r="G191" s="1" t="s">
        <v>271</v>
      </c>
      <c r="H191" s="13" t="str">
        <f>VLOOKUP(AP191,[1]Listas!A:B,2,0)</f>
        <v xml:space="preserve">FBAG </v>
      </c>
      <c r="I191" s="1" t="s">
        <v>280</v>
      </c>
      <c r="J191" s="12"/>
      <c r="K191" s="12"/>
      <c r="L191" s="1" t="s">
        <v>280</v>
      </c>
      <c r="M191" s="1" t="s">
        <v>350</v>
      </c>
      <c r="N191" s="14">
        <v>37774</v>
      </c>
      <c r="O191" s="1" t="s">
        <v>809</v>
      </c>
      <c r="P191" s="1" t="s">
        <v>810</v>
      </c>
      <c r="Q191" s="15" t="s">
        <v>814</v>
      </c>
      <c r="R191" s="1" t="s">
        <v>1075</v>
      </c>
      <c r="S191" s="1" t="s">
        <v>868</v>
      </c>
      <c r="T191" s="1" t="s">
        <v>869</v>
      </c>
      <c r="U191" s="9" t="s">
        <v>814</v>
      </c>
      <c r="V191" s="1" t="s">
        <v>815</v>
      </c>
      <c r="W191" s="1" t="s">
        <v>1051</v>
      </c>
      <c r="X191" s="1" t="s">
        <v>126</v>
      </c>
      <c r="Y191" s="14">
        <v>45902</v>
      </c>
      <c r="Z191" s="9" t="s">
        <v>817</v>
      </c>
      <c r="AB191" s="14">
        <v>45902</v>
      </c>
      <c r="AC191" s="9" t="s">
        <v>817</v>
      </c>
      <c r="AD191" s="9" t="s">
        <v>818</v>
      </c>
      <c r="AE191" s="1" t="s">
        <v>819</v>
      </c>
      <c r="AF191" s="14" t="s">
        <v>820</v>
      </c>
      <c r="AG191" s="9" t="s">
        <v>999</v>
      </c>
      <c r="AH191" s="1" t="s">
        <v>105</v>
      </c>
      <c r="AI191" s="9" t="s">
        <v>10</v>
      </c>
      <c r="AJ191" s="1" t="s">
        <v>11</v>
      </c>
      <c r="AK191" s="1" t="s">
        <v>1468</v>
      </c>
      <c r="AL191" s="1" t="s">
        <v>1469</v>
      </c>
      <c r="AM191" s="9">
        <v>11555</v>
      </c>
      <c r="AN191" s="1" t="s">
        <v>127</v>
      </c>
      <c r="AO191" s="1" t="s">
        <v>319</v>
      </c>
      <c r="AP191" s="1" t="s">
        <v>1470</v>
      </c>
      <c r="AQ191" s="14">
        <v>45902</v>
      </c>
      <c r="AU191" s="14">
        <v>45902</v>
      </c>
      <c r="AV191" s="16">
        <v>0</v>
      </c>
      <c r="AW191" s="16">
        <v>0</v>
      </c>
      <c r="BA191" s="1" t="s">
        <v>911</v>
      </c>
      <c r="BB191" s="9">
        <v>32</v>
      </c>
      <c r="BC191" s="1" t="s">
        <v>1547</v>
      </c>
      <c r="BD191" s="9" t="s">
        <v>807</v>
      </c>
      <c r="BE191" s="1" t="s">
        <v>850</v>
      </c>
      <c r="BF191" s="1" t="s">
        <v>27</v>
      </c>
      <c r="BG191" s="1" t="s">
        <v>851</v>
      </c>
      <c r="BH191" s="1" t="s">
        <v>852</v>
      </c>
      <c r="BI191" s="1" t="s">
        <v>1055</v>
      </c>
      <c r="BJ191" s="21" t="str">
        <f t="shared" si="2"/>
        <v>FIXO</v>
      </c>
    </row>
    <row r="192" spans="1:62" x14ac:dyDescent="0.25">
      <c r="A192" s="7">
        <v>4</v>
      </c>
      <c r="B192" s="1" t="s">
        <v>271</v>
      </c>
      <c r="C192" s="8">
        <v>7</v>
      </c>
      <c r="D192" s="9" t="s">
        <v>807</v>
      </c>
      <c r="E192" s="10">
        <v>21576</v>
      </c>
      <c r="F192" s="11" t="s">
        <v>1548</v>
      </c>
      <c r="G192" s="1" t="s">
        <v>271</v>
      </c>
      <c r="H192" s="13" t="str">
        <f>VLOOKUP(AP192,[1]Listas!A:B,2,0)</f>
        <v xml:space="preserve">FBAG </v>
      </c>
      <c r="I192" s="1" t="s">
        <v>280</v>
      </c>
      <c r="J192" s="12"/>
      <c r="K192" s="1" t="s">
        <v>308</v>
      </c>
      <c r="L192" s="12"/>
      <c r="M192" s="1" t="s">
        <v>351</v>
      </c>
      <c r="N192" s="14">
        <v>38387</v>
      </c>
      <c r="O192" s="1" t="s">
        <v>855</v>
      </c>
      <c r="P192" s="1" t="s">
        <v>856</v>
      </c>
      <c r="Q192" s="15" t="s">
        <v>814</v>
      </c>
      <c r="R192" s="1" t="s">
        <v>1075</v>
      </c>
      <c r="S192" s="1" t="s">
        <v>868</v>
      </c>
      <c r="T192" s="1" t="s">
        <v>869</v>
      </c>
      <c r="U192" s="9" t="s">
        <v>868</v>
      </c>
      <c r="V192" s="1" t="s">
        <v>913</v>
      </c>
      <c r="W192" s="1" t="s">
        <v>871</v>
      </c>
      <c r="X192" s="1" t="s">
        <v>34</v>
      </c>
      <c r="Y192" s="14">
        <v>45902</v>
      </c>
      <c r="Z192" s="9" t="s">
        <v>817</v>
      </c>
      <c r="AB192" s="14">
        <v>45902</v>
      </c>
      <c r="AC192" s="9" t="s">
        <v>817</v>
      </c>
      <c r="AD192" s="9" t="s">
        <v>818</v>
      </c>
      <c r="AE192" s="1" t="s">
        <v>819</v>
      </c>
      <c r="AF192" s="14" t="s">
        <v>820</v>
      </c>
      <c r="AG192" s="9" t="s">
        <v>999</v>
      </c>
      <c r="AH192" s="1" t="s">
        <v>105</v>
      </c>
      <c r="AI192" s="9" t="s">
        <v>10</v>
      </c>
      <c r="AJ192" s="1" t="s">
        <v>11</v>
      </c>
      <c r="AK192" s="1" t="s">
        <v>1382</v>
      </c>
      <c r="AL192" s="1" t="s">
        <v>1383</v>
      </c>
      <c r="AM192" s="9">
        <v>11543</v>
      </c>
      <c r="AN192" s="1" t="s">
        <v>114</v>
      </c>
      <c r="AO192" s="1" t="s">
        <v>284</v>
      </c>
      <c r="AP192" s="1" t="s">
        <v>1384</v>
      </c>
      <c r="AQ192" s="14">
        <v>45902</v>
      </c>
      <c r="AU192" s="14">
        <v>45902</v>
      </c>
      <c r="AV192" s="16">
        <v>0</v>
      </c>
      <c r="AW192" s="16">
        <v>0</v>
      </c>
      <c r="BA192" s="1" t="s">
        <v>911</v>
      </c>
      <c r="BB192" s="9">
        <v>38</v>
      </c>
      <c r="BC192" s="1" t="s">
        <v>1297</v>
      </c>
      <c r="BD192" s="9" t="s">
        <v>807</v>
      </c>
      <c r="BE192" s="1" t="s">
        <v>1385</v>
      </c>
      <c r="BF192" s="1" t="s">
        <v>280</v>
      </c>
      <c r="BG192" s="1" t="s">
        <v>1375</v>
      </c>
      <c r="BH192" s="1" t="s">
        <v>1376</v>
      </c>
      <c r="BI192" s="1" t="s">
        <v>916</v>
      </c>
      <c r="BJ192" s="21" t="str">
        <f t="shared" si="2"/>
        <v>FIXO</v>
      </c>
    </row>
    <row r="193" spans="1:62" x14ac:dyDescent="0.25">
      <c r="A193" s="7">
        <v>4</v>
      </c>
      <c r="B193" s="1" t="s">
        <v>271</v>
      </c>
      <c r="C193" s="8">
        <v>4</v>
      </c>
      <c r="D193" s="9" t="s">
        <v>807</v>
      </c>
      <c r="E193" s="10">
        <v>21602</v>
      </c>
      <c r="F193" s="11" t="s">
        <v>1549</v>
      </c>
      <c r="G193" s="12" t="s">
        <v>271</v>
      </c>
      <c r="H193" s="13" t="str">
        <f>VLOOKUP(AP193,[1]Listas!A:B,2,0)</f>
        <v xml:space="preserve">FPAR </v>
      </c>
      <c r="I193" s="1" t="s">
        <v>296</v>
      </c>
      <c r="J193" s="12"/>
      <c r="K193" s="12"/>
      <c r="L193" s="1" t="s">
        <v>1340</v>
      </c>
      <c r="M193" s="1" t="s">
        <v>352</v>
      </c>
      <c r="N193" s="14">
        <v>34814</v>
      </c>
      <c r="O193" s="1" t="s">
        <v>855</v>
      </c>
      <c r="P193" s="1" t="s">
        <v>856</v>
      </c>
      <c r="Q193" s="15" t="s">
        <v>814</v>
      </c>
      <c r="R193" s="1" t="s">
        <v>1075</v>
      </c>
      <c r="S193" s="1" t="s">
        <v>868</v>
      </c>
      <c r="T193" s="1" t="s">
        <v>869</v>
      </c>
      <c r="U193" s="9" t="s">
        <v>814</v>
      </c>
      <c r="V193" s="1" t="s">
        <v>815</v>
      </c>
      <c r="W193" s="1" t="s">
        <v>871</v>
      </c>
      <c r="X193" s="1" t="s">
        <v>34</v>
      </c>
      <c r="Y193" s="14">
        <v>45905</v>
      </c>
      <c r="Z193" s="9" t="s">
        <v>817</v>
      </c>
      <c r="AB193" s="14">
        <v>45905</v>
      </c>
      <c r="AC193" s="9" t="s">
        <v>817</v>
      </c>
      <c r="AD193" s="9" t="s">
        <v>818</v>
      </c>
      <c r="AE193" s="1" t="s">
        <v>819</v>
      </c>
      <c r="AF193" s="14" t="s">
        <v>820</v>
      </c>
      <c r="AG193" s="9" t="s">
        <v>821</v>
      </c>
      <c r="AH193" s="1" t="s">
        <v>9</v>
      </c>
      <c r="AI193" s="9" t="s">
        <v>10</v>
      </c>
      <c r="AJ193" s="1" t="s">
        <v>11</v>
      </c>
      <c r="AK193" s="1" t="s">
        <v>1550</v>
      </c>
      <c r="AL193" s="1" t="s">
        <v>1551</v>
      </c>
      <c r="AM193" s="9">
        <v>11243</v>
      </c>
      <c r="AN193" s="1" t="s">
        <v>114</v>
      </c>
      <c r="AO193" s="1" t="s">
        <v>273</v>
      </c>
      <c r="AP193" s="1" t="s">
        <v>1331</v>
      </c>
      <c r="AQ193" s="14">
        <v>45905</v>
      </c>
      <c r="AU193" s="14">
        <v>45905</v>
      </c>
      <c r="AV193" s="16">
        <v>0</v>
      </c>
      <c r="AW193" s="16">
        <v>0</v>
      </c>
      <c r="BA193" s="1" t="s">
        <v>911</v>
      </c>
      <c r="BB193" s="9">
        <v>1</v>
      </c>
      <c r="BC193" s="1" t="s">
        <v>862</v>
      </c>
      <c r="BD193" s="9" t="s">
        <v>807</v>
      </c>
      <c r="BE193" s="1" t="s">
        <v>1552</v>
      </c>
      <c r="BF193" s="1" t="s">
        <v>296</v>
      </c>
      <c r="BG193" s="1" t="s">
        <v>1414</v>
      </c>
      <c r="BH193" s="1" t="s">
        <v>1415</v>
      </c>
      <c r="BI193" s="20" t="s">
        <v>916</v>
      </c>
      <c r="BJ193" s="21" t="str">
        <f t="shared" si="2"/>
        <v>FIXO</v>
      </c>
    </row>
    <row r="194" spans="1:62" x14ac:dyDescent="0.25">
      <c r="A194" s="7">
        <v>4</v>
      </c>
      <c r="B194" s="1" t="s">
        <v>271</v>
      </c>
      <c r="C194" s="8">
        <v>5</v>
      </c>
      <c r="D194" s="9" t="s">
        <v>807</v>
      </c>
      <c r="E194" s="10">
        <v>21611</v>
      </c>
      <c r="F194" s="11" t="s">
        <v>1553</v>
      </c>
      <c r="G194" s="12" t="s">
        <v>71</v>
      </c>
      <c r="H194" s="13" t="str">
        <f>VLOOKUP(AP194,[1]Listas!A:B,2,0)</f>
        <v xml:space="preserve">FESP </v>
      </c>
      <c r="I194" s="1" t="s">
        <v>27</v>
      </c>
      <c r="J194" s="12"/>
      <c r="K194" s="1" t="s">
        <v>21</v>
      </c>
      <c r="L194" s="1" t="s">
        <v>1167</v>
      </c>
      <c r="M194" s="1" t="s">
        <v>353</v>
      </c>
      <c r="N194" s="14">
        <v>35370</v>
      </c>
      <c r="O194" s="1" t="s">
        <v>809</v>
      </c>
      <c r="P194" s="1" t="s">
        <v>810</v>
      </c>
      <c r="Q194" s="15" t="s">
        <v>807</v>
      </c>
      <c r="R194" s="1" t="s">
        <v>857</v>
      </c>
      <c r="S194" s="1" t="s">
        <v>807</v>
      </c>
      <c r="T194" s="1" t="s">
        <v>813</v>
      </c>
      <c r="U194" s="9" t="s">
        <v>814</v>
      </c>
      <c r="V194" s="1" t="s">
        <v>815</v>
      </c>
      <c r="W194" s="1" t="s">
        <v>1518</v>
      </c>
      <c r="X194" s="1" t="s">
        <v>339</v>
      </c>
      <c r="Y194" s="14">
        <v>45909</v>
      </c>
      <c r="Z194" s="9" t="s">
        <v>817</v>
      </c>
      <c r="AB194" s="14">
        <v>45909</v>
      </c>
      <c r="AC194" s="9" t="s">
        <v>817</v>
      </c>
      <c r="AD194" s="9" t="s">
        <v>818</v>
      </c>
      <c r="AE194" s="1" t="s">
        <v>819</v>
      </c>
      <c r="AF194" s="14" t="s">
        <v>820</v>
      </c>
      <c r="AG194" s="9" t="s">
        <v>821</v>
      </c>
      <c r="AH194" s="1" t="s">
        <v>9</v>
      </c>
      <c r="AI194" s="9" t="s">
        <v>10</v>
      </c>
      <c r="AJ194" s="1" t="s">
        <v>11</v>
      </c>
      <c r="AK194" s="1" t="s">
        <v>1519</v>
      </c>
      <c r="AL194" s="1" t="s">
        <v>1520</v>
      </c>
      <c r="AM194" s="9">
        <v>11355</v>
      </c>
      <c r="AN194" s="1" t="s">
        <v>127</v>
      </c>
      <c r="AO194" s="1" t="s">
        <v>196</v>
      </c>
      <c r="AP194" s="1" t="s">
        <v>1172</v>
      </c>
      <c r="AQ194" s="14">
        <v>45909</v>
      </c>
      <c r="AU194" s="14">
        <v>45909</v>
      </c>
      <c r="AV194" s="16">
        <v>0</v>
      </c>
      <c r="AW194" s="16">
        <v>0</v>
      </c>
      <c r="BA194" s="1" t="s">
        <v>911</v>
      </c>
      <c r="BB194" s="9">
        <v>32</v>
      </c>
      <c r="BC194" s="1" t="s">
        <v>1547</v>
      </c>
      <c r="BD194" s="9" t="s">
        <v>807</v>
      </c>
      <c r="BE194" s="1" t="s">
        <v>1160</v>
      </c>
      <c r="BF194" s="1" t="s">
        <v>21</v>
      </c>
      <c r="BG194" s="1" t="s">
        <v>846</v>
      </c>
      <c r="BH194" s="1" t="s">
        <v>847</v>
      </c>
      <c r="BI194" s="1" t="s">
        <v>1055</v>
      </c>
      <c r="BJ194" s="21" t="str">
        <f t="shared" ref="BJ194:BJ257" si="3">IF(NOT(ISERROR(SEARCH("SAFRISTA",X194))),"SAFRISTA","FIXO")</f>
        <v>FIXO</v>
      </c>
    </row>
    <row r="195" spans="1:62" x14ac:dyDescent="0.25">
      <c r="A195" s="7">
        <v>4</v>
      </c>
      <c r="B195" s="1" t="s">
        <v>271</v>
      </c>
      <c r="C195" s="8">
        <v>7</v>
      </c>
      <c r="D195" s="9" t="s">
        <v>807</v>
      </c>
      <c r="E195" s="10">
        <v>21628</v>
      </c>
      <c r="F195" s="11" t="s">
        <v>1554</v>
      </c>
      <c r="G195" s="1" t="s">
        <v>271</v>
      </c>
      <c r="H195" s="13" t="str">
        <f>VLOOKUP(AP195,[1]Listas!A:B,2,0)</f>
        <v xml:space="preserve">FBAG </v>
      </c>
      <c r="I195" s="1" t="s">
        <v>280</v>
      </c>
      <c r="J195" s="12"/>
      <c r="K195" s="12"/>
      <c r="L195" s="1" t="s">
        <v>280</v>
      </c>
      <c r="M195" s="1" t="s">
        <v>354</v>
      </c>
      <c r="N195" s="14">
        <v>29374</v>
      </c>
      <c r="O195" s="1" t="s">
        <v>855</v>
      </c>
      <c r="P195" s="1" t="s">
        <v>856</v>
      </c>
      <c r="Q195" s="15" t="s">
        <v>807</v>
      </c>
      <c r="R195" s="1" t="s">
        <v>857</v>
      </c>
      <c r="S195" s="1" t="s">
        <v>868</v>
      </c>
      <c r="T195" s="1" t="s">
        <v>869</v>
      </c>
      <c r="U195" s="9" t="s">
        <v>951</v>
      </c>
      <c r="V195" s="1" t="s">
        <v>952</v>
      </c>
      <c r="W195" s="1" t="s">
        <v>1425</v>
      </c>
      <c r="X195" s="1" t="s">
        <v>301</v>
      </c>
      <c r="Y195" s="14">
        <v>45905</v>
      </c>
      <c r="Z195" s="9" t="s">
        <v>817</v>
      </c>
      <c r="AB195" s="14">
        <v>45905</v>
      </c>
      <c r="AC195" s="9" t="s">
        <v>817</v>
      </c>
      <c r="AD195" s="9" t="s">
        <v>818</v>
      </c>
      <c r="AE195" s="1" t="s">
        <v>819</v>
      </c>
      <c r="AF195" s="14" t="s">
        <v>820</v>
      </c>
      <c r="AG195" s="9" t="s">
        <v>821</v>
      </c>
      <c r="AH195" s="1" t="s">
        <v>9</v>
      </c>
      <c r="AI195" s="9" t="s">
        <v>10</v>
      </c>
      <c r="AJ195" s="1" t="s">
        <v>11</v>
      </c>
      <c r="AK195" s="1" t="s">
        <v>1426</v>
      </c>
      <c r="AL195" s="1" t="s">
        <v>1427</v>
      </c>
      <c r="AM195" s="9">
        <v>11543</v>
      </c>
      <c r="AN195" s="1" t="s">
        <v>114</v>
      </c>
      <c r="AO195" s="1" t="s">
        <v>284</v>
      </c>
      <c r="AP195" s="1" t="s">
        <v>1384</v>
      </c>
      <c r="AQ195" s="14">
        <v>45905</v>
      </c>
      <c r="AU195" s="14">
        <v>45905</v>
      </c>
      <c r="AV195" s="16">
        <v>0</v>
      </c>
      <c r="AW195" s="16">
        <v>0</v>
      </c>
      <c r="BA195" s="1" t="s">
        <v>911</v>
      </c>
      <c r="BB195" s="9">
        <v>35</v>
      </c>
      <c r="BC195" s="1" t="s">
        <v>1555</v>
      </c>
      <c r="BD195" s="9" t="s">
        <v>807</v>
      </c>
      <c r="BE195" s="1" t="s">
        <v>1385</v>
      </c>
      <c r="BF195" s="1" t="s">
        <v>280</v>
      </c>
      <c r="BG195" s="1" t="s">
        <v>1375</v>
      </c>
      <c r="BH195" s="1" t="s">
        <v>1376</v>
      </c>
      <c r="BI195" s="1" t="s">
        <v>983</v>
      </c>
      <c r="BJ195" s="21" t="str">
        <f t="shared" si="3"/>
        <v>FIXO</v>
      </c>
    </row>
    <row r="196" spans="1:62" x14ac:dyDescent="0.25">
      <c r="A196" s="7">
        <v>4</v>
      </c>
      <c r="B196" s="1" t="s">
        <v>271</v>
      </c>
      <c r="C196" s="8">
        <v>5</v>
      </c>
      <c r="D196" s="9" t="s">
        <v>807</v>
      </c>
      <c r="E196" s="10">
        <v>21692</v>
      </c>
      <c r="F196" s="11" t="s">
        <v>1556</v>
      </c>
      <c r="G196" s="12" t="s">
        <v>71</v>
      </c>
      <c r="H196" s="13" t="str">
        <f>VLOOKUP(AP196,[1]Listas!A:B,2,0)</f>
        <v xml:space="preserve">FESP </v>
      </c>
      <c r="I196" s="1" t="s">
        <v>27</v>
      </c>
      <c r="J196" s="12"/>
      <c r="K196" s="1" t="s">
        <v>21</v>
      </c>
      <c r="L196" s="12"/>
      <c r="M196" s="1" t="s">
        <v>1557</v>
      </c>
      <c r="N196" s="14">
        <v>29341</v>
      </c>
      <c r="O196" s="1" t="s">
        <v>809</v>
      </c>
      <c r="P196" s="1" t="s">
        <v>810</v>
      </c>
      <c r="Q196" s="15" t="s">
        <v>811</v>
      </c>
      <c r="R196" s="1" t="s">
        <v>812</v>
      </c>
      <c r="S196" s="1" t="s">
        <v>868</v>
      </c>
      <c r="T196" s="1" t="s">
        <v>869</v>
      </c>
      <c r="U196" s="9" t="s">
        <v>814</v>
      </c>
      <c r="V196" s="1" t="s">
        <v>815</v>
      </c>
      <c r="W196" s="1" t="s">
        <v>1220</v>
      </c>
      <c r="X196" s="1" t="s">
        <v>220</v>
      </c>
      <c r="Y196" s="14">
        <v>45916</v>
      </c>
      <c r="Z196" s="9" t="s">
        <v>817</v>
      </c>
      <c r="AB196" s="14">
        <v>45916</v>
      </c>
      <c r="AC196" s="9" t="s">
        <v>817</v>
      </c>
      <c r="AD196" s="9" t="s">
        <v>818</v>
      </c>
      <c r="AE196" s="1" t="s">
        <v>819</v>
      </c>
      <c r="AF196" s="14" t="s">
        <v>820</v>
      </c>
      <c r="AG196" s="9" t="s">
        <v>821</v>
      </c>
      <c r="AH196" s="1" t="s">
        <v>9</v>
      </c>
      <c r="AI196" s="9" t="s">
        <v>10</v>
      </c>
      <c r="AJ196" s="1" t="s">
        <v>11</v>
      </c>
      <c r="AK196" s="1" t="s">
        <v>1558</v>
      </c>
      <c r="AL196" s="1" t="s">
        <v>1559</v>
      </c>
      <c r="AM196" s="9">
        <v>11318</v>
      </c>
      <c r="AN196" s="1" t="s">
        <v>122</v>
      </c>
      <c r="AO196" s="1" t="s">
        <v>1560</v>
      </c>
      <c r="AP196" s="1" t="s">
        <v>1561</v>
      </c>
      <c r="AQ196" s="14">
        <v>45916</v>
      </c>
      <c r="AU196" s="14">
        <v>45916</v>
      </c>
      <c r="AV196" s="16">
        <v>0</v>
      </c>
      <c r="AW196" s="16">
        <v>0</v>
      </c>
      <c r="BA196" s="1" t="s">
        <v>911</v>
      </c>
      <c r="BB196" s="9">
        <v>38</v>
      </c>
      <c r="BC196" s="1" t="s">
        <v>1297</v>
      </c>
      <c r="BD196" s="9" t="s">
        <v>807</v>
      </c>
      <c r="BE196" s="1" t="s">
        <v>1017</v>
      </c>
      <c r="BI196" s="20" t="s">
        <v>1055</v>
      </c>
      <c r="BJ196" s="21" t="str">
        <f t="shared" si="3"/>
        <v>FIXO</v>
      </c>
    </row>
    <row r="197" spans="1:62" x14ac:dyDescent="0.25">
      <c r="A197" s="7">
        <v>4</v>
      </c>
      <c r="B197" s="1" t="s">
        <v>271</v>
      </c>
      <c r="C197" s="8">
        <v>4</v>
      </c>
      <c r="D197" s="9" t="s">
        <v>807</v>
      </c>
      <c r="E197" s="10">
        <v>21709</v>
      </c>
      <c r="F197" s="11" t="s">
        <v>1562</v>
      </c>
      <c r="G197" s="12" t="s">
        <v>271</v>
      </c>
      <c r="H197" s="13" t="str">
        <f>VLOOKUP(AP197,[1]Listas!A:B,2,0)</f>
        <v xml:space="preserve">FPAR </v>
      </c>
      <c r="I197" s="1" t="s">
        <v>296</v>
      </c>
      <c r="J197" s="12"/>
      <c r="K197" s="12"/>
      <c r="L197" s="1" t="s">
        <v>1340</v>
      </c>
      <c r="M197" s="1" t="s">
        <v>355</v>
      </c>
      <c r="N197" s="14">
        <v>38516</v>
      </c>
      <c r="O197" s="1" t="s">
        <v>855</v>
      </c>
      <c r="P197" s="1" t="s">
        <v>856</v>
      </c>
      <c r="Q197" s="15" t="s">
        <v>807</v>
      </c>
      <c r="R197" s="1" t="s">
        <v>857</v>
      </c>
      <c r="S197" s="1" t="s">
        <v>868</v>
      </c>
      <c r="T197" s="1" t="s">
        <v>869</v>
      </c>
      <c r="U197" s="9" t="s">
        <v>814</v>
      </c>
      <c r="V197" s="1" t="s">
        <v>815</v>
      </c>
      <c r="W197" s="1" t="s">
        <v>871</v>
      </c>
      <c r="X197" s="1" t="s">
        <v>34</v>
      </c>
      <c r="Y197" s="14">
        <v>45919</v>
      </c>
      <c r="Z197" s="9" t="s">
        <v>817</v>
      </c>
      <c r="AB197" s="14">
        <v>45919</v>
      </c>
      <c r="AC197" s="9" t="s">
        <v>817</v>
      </c>
      <c r="AD197" s="9" t="s">
        <v>818</v>
      </c>
      <c r="AE197" s="1" t="s">
        <v>819</v>
      </c>
      <c r="AF197" s="14" t="s">
        <v>820</v>
      </c>
      <c r="AG197" s="9" t="s">
        <v>821</v>
      </c>
      <c r="AH197" s="1" t="s">
        <v>9</v>
      </c>
      <c r="AI197" s="9" t="s">
        <v>10</v>
      </c>
      <c r="AJ197" s="1" t="s">
        <v>11</v>
      </c>
      <c r="AK197" s="1" t="s">
        <v>1550</v>
      </c>
      <c r="AL197" s="1" t="s">
        <v>1551</v>
      </c>
      <c r="AM197" s="9">
        <v>11243</v>
      </c>
      <c r="AN197" s="1" t="s">
        <v>114</v>
      </c>
      <c r="AO197" s="1" t="s">
        <v>273</v>
      </c>
      <c r="AP197" s="1" t="s">
        <v>1331</v>
      </c>
      <c r="AQ197" s="14">
        <v>45919</v>
      </c>
      <c r="AU197" s="14">
        <v>45919</v>
      </c>
      <c r="AV197" s="16">
        <v>0</v>
      </c>
      <c r="AW197" s="16">
        <v>0</v>
      </c>
      <c r="BA197" s="1" t="s">
        <v>911</v>
      </c>
      <c r="BB197" s="9">
        <v>38</v>
      </c>
      <c r="BC197" s="1" t="s">
        <v>1297</v>
      </c>
      <c r="BD197" s="9" t="s">
        <v>807</v>
      </c>
      <c r="BE197" s="1" t="s">
        <v>1552</v>
      </c>
      <c r="BF197" s="1" t="s">
        <v>296</v>
      </c>
      <c r="BG197" s="1" t="s">
        <v>1414</v>
      </c>
      <c r="BH197" s="1" t="s">
        <v>1415</v>
      </c>
      <c r="BI197" s="25" t="s">
        <v>916</v>
      </c>
      <c r="BJ197" s="21" t="str">
        <f t="shared" si="3"/>
        <v>FIXO</v>
      </c>
    </row>
    <row r="198" spans="1:62" x14ac:dyDescent="0.25">
      <c r="A198" s="7">
        <v>4</v>
      </c>
      <c r="B198" s="1" t="s">
        <v>271</v>
      </c>
      <c r="C198" s="8">
        <v>7</v>
      </c>
      <c r="D198" s="9" t="s">
        <v>807</v>
      </c>
      <c r="E198" s="10">
        <v>21711</v>
      </c>
      <c r="F198" s="11" t="s">
        <v>1563</v>
      </c>
      <c r="G198" s="1" t="s">
        <v>271</v>
      </c>
      <c r="H198" s="13" t="str">
        <f>VLOOKUP(AP198,[1]Listas!A:B,2,0)</f>
        <v xml:space="preserve">FBAG </v>
      </c>
      <c r="I198" s="1" t="s">
        <v>280</v>
      </c>
      <c r="J198" s="12"/>
      <c r="K198" s="12"/>
      <c r="L198" s="1" t="s">
        <v>280</v>
      </c>
      <c r="M198" s="1" t="s">
        <v>1564</v>
      </c>
      <c r="N198" s="14">
        <v>39609</v>
      </c>
      <c r="O198" s="1" t="s">
        <v>855</v>
      </c>
      <c r="P198" s="1" t="s">
        <v>856</v>
      </c>
      <c r="Q198" s="15" t="s">
        <v>807</v>
      </c>
      <c r="R198" s="1" t="s">
        <v>857</v>
      </c>
      <c r="S198" s="1" t="s">
        <v>868</v>
      </c>
      <c r="T198" s="1" t="s">
        <v>869</v>
      </c>
      <c r="U198" s="9" t="s">
        <v>807</v>
      </c>
      <c r="V198" s="1" t="s">
        <v>1429</v>
      </c>
      <c r="W198" s="1" t="s">
        <v>1541</v>
      </c>
      <c r="X198" s="1" t="s">
        <v>349</v>
      </c>
      <c r="Y198" s="14">
        <v>45919</v>
      </c>
      <c r="Z198" s="9" t="s">
        <v>817</v>
      </c>
      <c r="AB198" s="14">
        <v>45919</v>
      </c>
      <c r="AC198" s="9" t="s">
        <v>817</v>
      </c>
      <c r="AD198" s="9" t="s">
        <v>818</v>
      </c>
      <c r="AE198" s="1" t="s">
        <v>819</v>
      </c>
      <c r="AF198" s="14" t="s">
        <v>820</v>
      </c>
      <c r="AG198" s="9" t="s">
        <v>821</v>
      </c>
      <c r="AH198" s="1" t="s">
        <v>9</v>
      </c>
      <c r="AI198" s="9" t="s">
        <v>10</v>
      </c>
      <c r="AJ198" s="1" t="s">
        <v>11</v>
      </c>
      <c r="AK198" s="1" t="s">
        <v>1542</v>
      </c>
      <c r="AL198" s="1" t="s">
        <v>1543</v>
      </c>
      <c r="AM198" s="9">
        <v>11558</v>
      </c>
      <c r="AN198" s="1" t="s">
        <v>169</v>
      </c>
      <c r="AO198" s="1" t="s">
        <v>1544</v>
      </c>
      <c r="AP198" s="1" t="s">
        <v>1545</v>
      </c>
      <c r="AQ198" s="14">
        <v>45919</v>
      </c>
      <c r="AU198" s="14">
        <v>45919</v>
      </c>
      <c r="AV198" s="16">
        <v>0</v>
      </c>
      <c r="AW198" s="16">
        <v>0</v>
      </c>
      <c r="BA198" s="1" t="s">
        <v>911</v>
      </c>
      <c r="BB198" s="9">
        <v>38</v>
      </c>
      <c r="BC198" s="1" t="s">
        <v>1297</v>
      </c>
      <c r="BD198" s="9" t="s">
        <v>807</v>
      </c>
      <c r="BE198" s="1" t="s">
        <v>1017</v>
      </c>
      <c r="BI198" s="1" t="s">
        <v>983</v>
      </c>
      <c r="BJ198" s="21" t="str">
        <f t="shared" si="3"/>
        <v>SAFRISTA</v>
      </c>
    </row>
    <row r="199" spans="1:62" x14ac:dyDescent="0.25">
      <c r="A199" s="7">
        <v>5</v>
      </c>
      <c r="B199" s="1" t="s">
        <v>71</v>
      </c>
      <c r="C199" s="8">
        <v>5</v>
      </c>
      <c r="D199" s="9" t="s">
        <v>807</v>
      </c>
      <c r="E199" s="10">
        <v>159</v>
      </c>
      <c r="F199" s="11" t="s">
        <v>1565</v>
      </c>
      <c r="G199" s="12" t="s">
        <v>71</v>
      </c>
      <c r="H199" s="13" t="str">
        <f>VLOOKUP(AP199,[1]Listas!A:B,2,0)</f>
        <v xml:space="preserve">FESP </v>
      </c>
      <c r="I199" s="1" t="s">
        <v>27</v>
      </c>
      <c r="J199" s="12"/>
      <c r="K199" s="1" t="s">
        <v>21</v>
      </c>
      <c r="L199" s="12"/>
      <c r="M199" s="1" t="s">
        <v>360</v>
      </c>
      <c r="N199" s="14">
        <v>30532</v>
      </c>
      <c r="O199" s="1" t="s">
        <v>809</v>
      </c>
      <c r="P199" s="1" t="s">
        <v>810</v>
      </c>
      <c r="Q199" s="15" t="s">
        <v>807</v>
      </c>
      <c r="R199" s="1" t="s">
        <v>857</v>
      </c>
      <c r="S199" s="1" t="s">
        <v>868</v>
      </c>
      <c r="T199" s="1" t="s">
        <v>869</v>
      </c>
      <c r="U199" s="9" t="s">
        <v>814</v>
      </c>
      <c r="V199" s="1" t="s">
        <v>815</v>
      </c>
      <c r="W199" s="1" t="s">
        <v>1220</v>
      </c>
      <c r="X199" s="1" t="s">
        <v>220</v>
      </c>
      <c r="Y199" s="14">
        <v>44030</v>
      </c>
      <c r="Z199" s="9" t="s">
        <v>817</v>
      </c>
      <c r="AB199" s="14">
        <v>43718</v>
      </c>
      <c r="AC199" s="9" t="s">
        <v>817</v>
      </c>
      <c r="AD199" s="9" t="s">
        <v>818</v>
      </c>
      <c r="AE199" s="1" t="s">
        <v>819</v>
      </c>
      <c r="AF199" s="14" t="s">
        <v>820</v>
      </c>
      <c r="AG199" s="9" t="s">
        <v>821</v>
      </c>
      <c r="AH199" s="1" t="s">
        <v>9</v>
      </c>
      <c r="AI199" s="9" t="s">
        <v>10</v>
      </c>
      <c r="AJ199" s="1" t="s">
        <v>11</v>
      </c>
      <c r="AK199" s="1" t="s">
        <v>1566</v>
      </c>
      <c r="AL199" s="1" t="s">
        <v>1460</v>
      </c>
      <c r="AM199" s="9">
        <v>11318</v>
      </c>
      <c r="AN199" s="1" t="s">
        <v>122</v>
      </c>
      <c r="AO199" s="1" t="s">
        <v>94</v>
      </c>
      <c r="AP199" s="1" t="s">
        <v>982</v>
      </c>
      <c r="AQ199" s="14">
        <v>45658</v>
      </c>
      <c r="AU199" s="14">
        <v>45799</v>
      </c>
      <c r="AV199" s="16">
        <v>0</v>
      </c>
      <c r="AW199" s="16">
        <v>0</v>
      </c>
      <c r="BA199" s="1" t="s">
        <v>825</v>
      </c>
      <c r="BB199" s="9">
        <v>7</v>
      </c>
      <c r="BC199" s="1" t="s">
        <v>826</v>
      </c>
      <c r="BD199" s="9" t="s">
        <v>807</v>
      </c>
      <c r="BE199" s="1" t="s">
        <v>1160</v>
      </c>
      <c r="BF199" s="1" t="s">
        <v>21</v>
      </c>
      <c r="BG199" s="1" t="s">
        <v>846</v>
      </c>
      <c r="BH199" s="1" t="s">
        <v>847</v>
      </c>
      <c r="BI199" s="1" t="s">
        <v>1055</v>
      </c>
      <c r="BJ199" s="21" t="str">
        <f t="shared" si="3"/>
        <v>FIXO</v>
      </c>
    </row>
    <row r="200" spans="1:62" x14ac:dyDescent="0.25">
      <c r="A200" s="7">
        <v>5</v>
      </c>
      <c r="B200" s="1" t="s">
        <v>71</v>
      </c>
      <c r="C200" s="8">
        <v>1</v>
      </c>
      <c r="D200" s="9" t="s">
        <v>807</v>
      </c>
      <c r="E200" s="10">
        <v>170</v>
      </c>
      <c r="F200" s="11" t="s">
        <v>1567</v>
      </c>
      <c r="G200" s="12" t="s">
        <v>71</v>
      </c>
      <c r="H200" s="13" t="str">
        <f>VLOOKUP(AP200,[1]Listas!A:B,2,0)</f>
        <v xml:space="preserve">FEAR </v>
      </c>
      <c r="I200" s="1" t="s">
        <v>116</v>
      </c>
      <c r="J200" s="12"/>
      <c r="K200" s="12"/>
      <c r="L200" s="12"/>
      <c r="M200" s="1" t="s">
        <v>361</v>
      </c>
      <c r="N200" s="14">
        <v>29860</v>
      </c>
      <c r="O200" s="1" t="s">
        <v>855</v>
      </c>
      <c r="P200" s="1" t="s">
        <v>856</v>
      </c>
      <c r="Q200" s="15" t="s">
        <v>868</v>
      </c>
      <c r="R200" s="1" t="s">
        <v>1568</v>
      </c>
      <c r="S200" s="1" t="s">
        <v>868</v>
      </c>
      <c r="T200" s="1" t="s">
        <v>869</v>
      </c>
      <c r="U200" s="9" t="s">
        <v>868</v>
      </c>
      <c r="V200" s="1" t="s">
        <v>913</v>
      </c>
      <c r="W200" s="1" t="s">
        <v>1317</v>
      </c>
      <c r="X200" s="1" t="s">
        <v>265</v>
      </c>
      <c r="Y200" s="14">
        <v>45234</v>
      </c>
      <c r="Z200" s="9" t="s">
        <v>817</v>
      </c>
      <c r="AB200" s="14">
        <v>45233</v>
      </c>
      <c r="AC200" s="9" t="s">
        <v>817</v>
      </c>
      <c r="AD200" s="9" t="s">
        <v>818</v>
      </c>
      <c r="AE200" s="1" t="s">
        <v>819</v>
      </c>
      <c r="AF200" s="14" t="s">
        <v>820</v>
      </c>
      <c r="AG200" s="9" t="s">
        <v>821</v>
      </c>
      <c r="AH200" s="1" t="s">
        <v>9</v>
      </c>
      <c r="AI200" s="9" t="s">
        <v>10</v>
      </c>
      <c r="AJ200" s="1" t="s">
        <v>11</v>
      </c>
      <c r="AK200" s="1" t="s">
        <v>1569</v>
      </c>
      <c r="AL200" s="1" t="s">
        <v>1570</v>
      </c>
      <c r="AM200" s="9">
        <v>11043</v>
      </c>
      <c r="AN200" s="1" t="s">
        <v>114</v>
      </c>
      <c r="AO200" s="1" t="s">
        <v>115</v>
      </c>
      <c r="AP200" s="1" t="s">
        <v>1020</v>
      </c>
      <c r="AQ200" s="14">
        <v>45658</v>
      </c>
      <c r="AU200" s="14">
        <v>45798</v>
      </c>
      <c r="AV200" s="16">
        <v>0</v>
      </c>
      <c r="AW200" s="16">
        <v>0</v>
      </c>
      <c r="BA200" s="1" t="s">
        <v>911</v>
      </c>
      <c r="BB200" s="9">
        <v>7</v>
      </c>
      <c r="BC200" s="1" t="s">
        <v>826</v>
      </c>
      <c r="BD200" s="9" t="s">
        <v>807</v>
      </c>
      <c r="BE200" s="1" t="s">
        <v>1021</v>
      </c>
      <c r="BF200" s="1" t="s">
        <v>116</v>
      </c>
      <c r="BG200" s="1" t="s">
        <v>1022</v>
      </c>
      <c r="BH200" s="1" t="s">
        <v>1023</v>
      </c>
      <c r="BI200" s="1" t="s">
        <v>916</v>
      </c>
      <c r="BJ200" s="21" t="str">
        <f t="shared" si="3"/>
        <v>FIXO</v>
      </c>
    </row>
    <row r="201" spans="1:62" x14ac:dyDescent="0.25">
      <c r="A201" s="7">
        <v>5</v>
      </c>
      <c r="B201" s="1" t="s">
        <v>71</v>
      </c>
      <c r="C201" s="8">
        <v>4</v>
      </c>
      <c r="D201" s="9" t="s">
        <v>807</v>
      </c>
      <c r="E201" s="10">
        <v>191</v>
      </c>
      <c r="F201" s="11" t="s">
        <v>1571</v>
      </c>
      <c r="G201" s="12" t="s">
        <v>271</v>
      </c>
      <c r="H201" s="13" t="str">
        <f>VLOOKUP(AP201,[1]Listas!A:B,2,0)</f>
        <v xml:space="preserve">FPAR </v>
      </c>
      <c r="I201" s="1" t="s">
        <v>296</v>
      </c>
      <c r="J201" s="12"/>
      <c r="K201" s="12"/>
      <c r="L201" s="1" t="s">
        <v>1340</v>
      </c>
      <c r="M201" s="1" t="s">
        <v>1572</v>
      </c>
      <c r="N201" s="14">
        <v>34077</v>
      </c>
      <c r="O201" s="1" t="s">
        <v>855</v>
      </c>
      <c r="P201" s="1" t="s">
        <v>856</v>
      </c>
      <c r="Q201" s="15" t="s">
        <v>807</v>
      </c>
      <c r="R201" s="1" t="s">
        <v>857</v>
      </c>
      <c r="S201" s="1" t="s">
        <v>1017</v>
      </c>
      <c r="U201" s="9" t="s">
        <v>814</v>
      </c>
      <c r="V201" s="1" t="s">
        <v>815</v>
      </c>
      <c r="W201" s="1" t="s">
        <v>871</v>
      </c>
      <c r="X201" s="1" t="s">
        <v>34</v>
      </c>
      <c r="Y201" s="14">
        <v>45037</v>
      </c>
      <c r="Z201" s="9" t="s">
        <v>817</v>
      </c>
      <c r="AB201" s="14">
        <v>44110</v>
      </c>
      <c r="AC201" s="9" t="s">
        <v>817</v>
      </c>
      <c r="AD201" s="9" t="s">
        <v>818</v>
      </c>
      <c r="AE201" s="1" t="s">
        <v>819</v>
      </c>
      <c r="AF201" s="14" t="s">
        <v>820</v>
      </c>
      <c r="AG201" s="9" t="s">
        <v>821</v>
      </c>
      <c r="AH201" s="1" t="s">
        <v>9</v>
      </c>
      <c r="AI201" s="9" t="s">
        <v>10</v>
      </c>
      <c r="AJ201" s="1" t="s">
        <v>11</v>
      </c>
      <c r="AK201" s="1" t="s">
        <v>1573</v>
      </c>
      <c r="AL201" s="1" t="s">
        <v>1343</v>
      </c>
      <c r="AM201" s="9">
        <v>11271</v>
      </c>
      <c r="AN201" s="1" t="s">
        <v>276</v>
      </c>
      <c r="AO201" s="1" t="s">
        <v>273</v>
      </c>
      <c r="AP201" s="1" t="s">
        <v>1331</v>
      </c>
      <c r="AQ201" s="14">
        <v>45658</v>
      </c>
      <c r="AU201" s="14">
        <v>45799</v>
      </c>
      <c r="AV201" s="16">
        <v>0</v>
      </c>
      <c r="AW201" s="16">
        <v>0</v>
      </c>
      <c r="BA201" s="1" t="s">
        <v>911</v>
      </c>
      <c r="BB201" s="9">
        <v>7</v>
      </c>
      <c r="BC201" s="1" t="s">
        <v>826</v>
      </c>
      <c r="BD201" s="9" t="s">
        <v>807</v>
      </c>
      <c r="BE201" s="1" t="s">
        <v>1017</v>
      </c>
      <c r="BI201" s="20" t="s">
        <v>916</v>
      </c>
      <c r="BJ201" s="21" t="str">
        <f t="shared" si="3"/>
        <v>FIXO</v>
      </c>
    </row>
    <row r="202" spans="1:62" x14ac:dyDescent="0.25">
      <c r="A202" s="7">
        <v>5</v>
      </c>
      <c r="B202" s="1" t="s">
        <v>71</v>
      </c>
      <c r="C202" s="8">
        <v>4</v>
      </c>
      <c r="D202" s="9" t="s">
        <v>807</v>
      </c>
      <c r="E202" s="10">
        <v>192</v>
      </c>
      <c r="F202" s="11" t="s">
        <v>1574</v>
      </c>
      <c r="G202" s="12" t="s">
        <v>271</v>
      </c>
      <c r="H202" s="13" t="str">
        <f>VLOOKUP(AP202,[1]Listas!A:B,2,0)</f>
        <v xml:space="preserve">FPAR </v>
      </c>
      <c r="I202" s="1" t="s">
        <v>296</v>
      </c>
      <c r="J202" s="12"/>
      <c r="K202" s="12"/>
      <c r="L202" s="1" t="s">
        <v>296</v>
      </c>
      <c r="M202" s="1" t="s">
        <v>1575</v>
      </c>
      <c r="N202" s="14">
        <v>29716</v>
      </c>
      <c r="O202" s="1" t="s">
        <v>855</v>
      </c>
      <c r="P202" s="1" t="s">
        <v>856</v>
      </c>
      <c r="Q202" s="15" t="s">
        <v>807</v>
      </c>
      <c r="R202" s="1" t="s">
        <v>857</v>
      </c>
      <c r="S202" s="1" t="s">
        <v>1017</v>
      </c>
      <c r="U202" s="9" t="s">
        <v>1046</v>
      </c>
      <c r="V202" s="1" t="s">
        <v>1047</v>
      </c>
      <c r="W202" s="1" t="s">
        <v>871</v>
      </c>
      <c r="X202" s="1" t="s">
        <v>34</v>
      </c>
      <c r="Y202" s="14">
        <v>44002</v>
      </c>
      <c r="Z202" s="9" t="s">
        <v>817</v>
      </c>
      <c r="AB202" s="14">
        <v>44001</v>
      </c>
      <c r="AC202" s="9" t="s">
        <v>817</v>
      </c>
      <c r="AD202" s="9" t="s">
        <v>818</v>
      </c>
      <c r="AE202" s="1" t="s">
        <v>819</v>
      </c>
      <c r="AF202" s="14" t="s">
        <v>820</v>
      </c>
      <c r="AG202" s="9" t="s">
        <v>821</v>
      </c>
      <c r="AH202" s="1" t="s">
        <v>9</v>
      </c>
      <c r="AI202" s="9" t="s">
        <v>10</v>
      </c>
      <c r="AJ202" s="1" t="s">
        <v>11</v>
      </c>
      <c r="AK202" s="1" t="s">
        <v>1573</v>
      </c>
      <c r="AL202" s="1" t="s">
        <v>1343</v>
      </c>
      <c r="AM202" s="9">
        <v>11271</v>
      </c>
      <c r="AN202" s="1" t="s">
        <v>276</v>
      </c>
      <c r="AO202" s="1" t="s">
        <v>273</v>
      </c>
      <c r="AP202" s="1" t="s">
        <v>1331</v>
      </c>
      <c r="AQ202" s="14">
        <v>45658</v>
      </c>
      <c r="AU202" s="14">
        <v>45798</v>
      </c>
      <c r="AV202" s="16">
        <v>0</v>
      </c>
      <c r="AW202" s="16">
        <v>0</v>
      </c>
      <c r="BA202" s="1" t="s">
        <v>911</v>
      </c>
      <c r="BB202" s="9">
        <v>1</v>
      </c>
      <c r="BC202" s="1" t="s">
        <v>862</v>
      </c>
      <c r="BD202" s="9" t="s">
        <v>807</v>
      </c>
      <c r="BE202" s="1" t="s">
        <v>1017</v>
      </c>
      <c r="BI202" s="20" t="s">
        <v>866</v>
      </c>
      <c r="BJ202" s="21" t="str">
        <f t="shared" si="3"/>
        <v>FIXO</v>
      </c>
    </row>
    <row r="203" spans="1:62" x14ac:dyDescent="0.25">
      <c r="A203" s="7">
        <v>5</v>
      </c>
      <c r="B203" s="1" t="s">
        <v>71</v>
      </c>
      <c r="C203" s="8">
        <v>8</v>
      </c>
      <c r="D203" s="9" t="s">
        <v>807</v>
      </c>
      <c r="E203" s="10">
        <v>197</v>
      </c>
      <c r="F203" s="11" t="s">
        <v>1576</v>
      </c>
      <c r="G203" s="12" t="s">
        <v>71</v>
      </c>
      <c r="H203" s="13" t="str">
        <f>VLOOKUP(AP203,[1]Listas!A:B,2,0)</f>
        <v xml:space="preserve">FNOH </v>
      </c>
      <c r="I203" s="12"/>
      <c r="J203" s="12"/>
      <c r="K203" s="12"/>
      <c r="L203" s="12"/>
      <c r="M203" s="1" t="s">
        <v>362</v>
      </c>
      <c r="N203" s="14">
        <v>31767</v>
      </c>
      <c r="O203" s="1" t="s">
        <v>855</v>
      </c>
      <c r="P203" s="1" t="s">
        <v>856</v>
      </c>
      <c r="Q203" s="15" t="s">
        <v>807</v>
      </c>
      <c r="R203" s="1" t="s">
        <v>857</v>
      </c>
      <c r="S203" s="1" t="s">
        <v>807</v>
      </c>
      <c r="T203" s="1" t="s">
        <v>813</v>
      </c>
      <c r="U203" s="9" t="s">
        <v>814</v>
      </c>
      <c r="V203" s="1" t="s">
        <v>815</v>
      </c>
      <c r="W203" s="1" t="s">
        <v>1152</v>
      </c>
      <c r="X203" s="1" t="s">
        <v>189</v>
      </c>
      <c r="Y203" s="14">
        <v>45779</v>
      </c>
      <c r="Z203" s="9" t="s">
        <v>817</v>
      </c>
      <c r="AB203" s="14">
        <v>45779</v>
      </c>
      <c r="AC203" s="9" t="s">
        <v>817</v>
      </c>
      <c r="AD203" s="9" t="s">
        <v>818</v>
      </c>
      <c r="AE203" s="1" t="s">
        <v>819</v>
      </c>
      <c r="AF203" s="14" t="s">
        <v>820</v>
      </c>
      <c r="AG203" s="9" t="s">
        <v>821</v>
      </c>
      <c r="AH203" s="1" t="s">
        <v>9</v>
      </c>
      <c r="AI203" s="9" t="s">
        <v>10</v>
      </c>
      <c r="AJ203" s="1" t="s">
        <v>11</v>
      </c>
      <c r="AK203" s="1" t="s">
        <v>1577</v>
      </c>
      <c r="AL203" s="1" t="s">
        <v>1578</v>
      </c>
      <c r="AM203" s="9">
        <v>11624</v>
      </c>
      <c r="AN203" s="1" t="s">
        <v>40</v>
      </c>
      <c r="AO203" s="1" t="s">
        <v>363</v>
      </c>
      <c r="AP203" s="1" t="s">
        <v>1579</v>
      </c>
      <c r="AQ203" s="14">
        <v>45779</v>
      </c>
      <c r="AU203" s="14">
        <v>45779</v>
      </c>
      <c r="AV203" s="16">
        <v>0</v>
      </c>
      <c r="AW203" s="16">
        <v>40</v>
      </c>
      <c r="BA203" s="1" t="s">
        <v>825</v>
      </c>
      <c r="BB203" s="9">
        <v>7</v>
      </c>
      <c r="BC203" s="1" t="s">
        <v>826</v>
      </c>
      <c r="BD203" s="9" t="s">
        <v>807</v>
      </c>
      <c r="BE203" s="1" t="s">
        <v>940</v>
      </c>
      <c r="BF203" s="1" t="s">
        <v>71</v>
      </c>
      <c r="BG203" s="1" t="s">
        <v>941</v>
      </c>
      <c r="BH203" s="1" t="s">
        <v>942</v>
      </c>
      <c r="BI203" s="20" t="s">
        <v>888</v>
      </c>
      <c r="BJ203" s="21" t="str">
        <f t="shared" si="3"/>
        <v>FIXO</v>
      </c>
    </row>
    <row r="204" spans="1:62" x14ac:dyDescent="0.25">
      <c r="A204" s="7">
        <v>5</v>
      </c>
      <c r="B204" s="1" t="s">
        <v>71</v>
      </c>
      <c r="C204" s="8">
        <v>5</v>
      </c>
      <c r="D204" s="9" t="s">
        <v>807</v>
      </c>
      <c r="E204" s="10">
        <v>641</v>
      </c>
      <c r="F204" s="11" t="s">
        <v>1580</v>
      </c>
      <c r="G204" s="1" t="s">
        <v>41</v>
      </c>
      <c r="H204" s="13" t="str">
        <f>VLOOKUP(AP204,[1]Listas!A:B,2,0)</f>
        <v xml:space="preserve">FESP </v>
      </c>
      <c r="I204" s="12" t="s">
        <v>38</v>
      </c>
      <c r="J204" s="12"/>
      <c r="K204" s="1" t="s">
        <v>32</v>
      </c>
      <c r="L204" s="1" t="s">
        <v>79</v>
      </c>
      <c r="M204" s="1" t="s">
        <v>364</v>
      </c>
      <c r="N204" s="14">
        <v>35168</v>
      </c>
      <c r="O204" s="1" t="s">
        <v>855</v>
      </c>
      <c r="P204" s="1" t="s">
        <v>856</v>
      </c>
      <c r="Q204" s="15" t="s">
        <v>807</v>
      </c>
      <c r="R204" s="1" t="s">
        <v>857</v>
      </c>
      <c r="S204" s="1" t="s">
        <v>868</v>
      </c>
      <c r="T204" s="1" t="s">
        <v>869</v>
      </c>
      <c r="U204" s="9" t="s">
        <v>880</v>
      </c>
      <c r="V204" s="1" t="s">
        <v>881</v>
      </c>
      <c r="W204" s="1" t="s">
        <v>871</v>
      </c>
      <c r="X204" s="1" t="s">
        <v>34</v>
      </c>
      <c r="Y204" s="14">
        <v>45366</v>
      </c>
      <c r="Z204" s="9" t="s">
        <v>817</v>
      </c>
      <c r="AB204" s="14">
        <v>45278</v>
      </c>
      <c r="AC204" s="9" t="s">
        <v>817</v>
      </c>
      <c r="AD204" s="9" t="s">
        <v>818</v>
      </c>
      <c r="AE204" s="1" t="s">
        <v>819</v>
      </c>
      <c r="AF204" s="14" t="s">
        <v>820</v>
      </c>
      <c r="AG204" s="9" t="s">
        <v>821</v>
      </c>
      <c r="AH204" s="1" t="s">
        <v>9</v>
      </c>
      <c r="AI204" s="9" t="s">
        <v>10</v>
      </c>
      <c r="AJ204" s="1" t="s">
        <v>11</v>
      </c>
      <c r="AK204" s="1" t="s">
        <v>1581</v>
      </c>
      <c r="AL204" s="1" t="s">
        <v>919</v>
      </c>
      <c r="AM204" s="9">
        <v>11377</v>
      </c>
      <c r="AN204" s="1" t="s">
        <v>56</v>
      </c>
      <c r="AO204" s="1" t="s">
        <v>36</v>
      </c>
      <c r="AP204" s="1" t="s">
        <v>874</v>
      </c>
      <c r="AQ204" s="14">
        <v>45658</v>
      </c>
      <c r="AU204" s="14">
        <v>45799</v>
      </c>
      <c r="AV204" s="16">
        <v>0</v>
      </c>
      <c r="AW204" s="16">
        <v>0</v>
      </c>
      <c r="BA204" s="1" t="s">
        <v>911</v>
      </c>
      <c r="BB204" s="9">
        <v>1</v>
      </c>
      <c r="BC204" s="1" t="s">
        <v>862</v>
      </c>
      <c r="BD204" s="9" t="s">
        <v>807</v>
      </c>
      <c r="BE204" s="1" t="s">
        <v>863</v>
      </c>
      <c r="BF204" s="1" t="s">
        <v>32</v>
      </c>
      <c r="BG204" s="1" t="s">
        <v>864</v>
      </c>
      <c r="BH204" s="1" t="s">
        <v>865</v>
      </c>
      <c r="BI204" s="1" t="s">
        <v>916</v>
      </c>
      <c r="BJ204" s="21" t="str">
        <f t="shared" si="3"/>
        <v>FIXO</v>
      </c>
    </row>
    <row r="205" spans="1:62" x14ac:dyDescent="0.25">
      <c r="A205" s="7">
        <v>5</v>
      </c>
      <c r="B205" s="1" t="s">
        <v>71</v>
      </c>
      <c r="C205" s="8">
        <v>4</v>
      </c>
      <c r="D205" s="9" t="s">
        <v>807</v>
      </c>
      <c r="E205" s="10">
        <v>2278</v>
      </c>
      <c r="F205" s="11" t="s">
        <v>1582</v>
      </c>
      <c r="G205" s="12" t="s">
        <v>271</v>
      </c>
      <c r="H205" s="13" t="str">
        <f>VLOOKUP(AP205,[1]Listas!A:B,2,0)</f>
        <v xml:space="preserve">FPAR </v>
      </c>
      <c r="I205" s="1" t="s">
        <v>296</v>
      </c>
      <c r="J205" s="12"/>
      <c r="K205" s="12" t="s">
        <v>1327</v>
      </c>
      <c r="L205" s="12"/>
      <c r="M205" s="1" t="s">
        <v>1583</v>
      </c>
      <c r="N205" s="14">
        <v>29624</v>
      </c>
      <c r="O205" s="1" t="s">
        <v>855</v>
      </c>
      <c r="P205" s="1" t="s">
        <v>856</v>
      </c>
      <c r="Q205" s="15" t="s">
        <v>807</v>
      </c>
      <c r="R205" s="1" t="s">
        <v>857</v>
      </c>
      <c r="S205" s="1" t="s">
        <v>1031</v>
      </c>
      <c r="T205" s="1" t="s">
        <v>1584</v>
      </c>
      <c r="U205" s="9" t="s">
        <v>814</v>
      </c>
      <c r="V205" s="1" t="s">
        <v>815</v>
      </c>
      <c r="W205" s="1" t="s">
        <v>871</v>
      </c>
      <c r="X205" s="1" t="s">
        <v>34</v>
      </c>
      <c r="Y205" s="14">
        <v>45037</v>
      </c>
      <c r="Z205" s="9" t="s">
        <v>817</v>
      </c>
      <c r="AB205" s="14">
        <v>44317</v>
      </c>
      <c r="AC205" s="9" t="s">
        <v>817</v>
      </c>
      <c r="AD205" s="9" t="s">
        <v>818</v>
      </c>
      <c r="AE205" s="1" t="s">
        <v>819</v>
      </c>
      <c r="AF205" s="14" t="s">
        <v>820</v>
      </c>
      <c r="AG205" s="9" t="s">
        <v>821</v>
      </c>
      <c r="AH205" s="1" t="s">
        <v>9</v>
      </c>
      <c r="AI205" s="9" t="s">
        <v>10</v>
      </c>
      <c r="AJ205" s="1" t="s">
        <v>11</v>
      </c>
      <c r="AK205" s="1" t="s">
        <v>1585</v>
      </c>
      <c r="AL205" s="1" t="s">
        <v>1330</v>
      </c>
      <c r="AM205" s="9">
        <v>11270</v>
      </c>
      <c r="AN205" s="1" t="s">
        <v>272</v>
      </c>
      <c r="AO205" s="1" t="s">
        <v>273</v>
      </c>
      <c r="AP205" s="1" t="s">
        <v>1331</v>
      </c>
      <c r="AQ205" s="14">
        <v>45658</v>
      </c>
      <c r="AU205" s="14">
        <v>45799</v>
      </c>
      <c r="AV205" s="16">
        <v>0</v>
      </c>
      <c r="AW205" s="16">
        <v>0</v>
      </c>
      <c r="BA205" s="1" t="s">
        <v>911</v>
      </c>
      <c r="BB205" s="9">
        <v>7</v>
      </c>
      <c r="BC205" s="1" t="s">
        <v>826</v>
      </c>
      <c r="BD205" s="9" t="s">
        <v>807</v>
      </c>
      <c r="BE205" s="1" t="s">
        <v>1017</v>
      </c>
      <c r="BI205" s="20" t="s">
        <v>878</v>
      </c>
      <c r="BJ205" s="21" t="str">
        <f t="shared" si="3"/>
        <v>FIXO</v>
      </c>
    </row>
    <row r="206" spans="1:62" x14ac:dyDescent="0.25">
      <c r="A206" s="7">
        <v>5</v>
      </c>
      <c r="B206" s="1" t="s">
        <v>71</v>
      </c>
      <c r="C206" s="8">
        <v>5</v>
      </c>
      <c r="D206" s="9" t="s">
        <v>807</v>
      </c>
      <c r="E206" s="10">
        <v>3423</v>
      </c>
      <c r="F206" s="11" t="s">
        <v>1586</v>
      </c>
      <c r="G206" s="1" t="s">
        <v>41</v>
      </c>
      <c r="H206" s="13" t="str">
        <f>VLOOKUP(AP206,[1]Listas!A:B,2,0)</f>
        <v xml:space="preserve">FESP </v>
      </c>
      <c r="I206" s="1" t="s">
        <v>38</v>
      </c>
      <c r="J206" s="12"/>
      <c r="K206" s="12"/>
      <c r="L206" s="1" t="s">
        <v>38</v>
      </c>
      <c r="M206" s="1" t="s">
        <v>365</v>
      </c>
      <c r="N206" s="14">
        <v>30097</v>
      </c>
      <c r="O206" s="1" t="s">
        <v>855</v>
      </c>
      <c r="P206" s="1" t="s">
        <v>856</v>
      </c>
      <c r="Q206" s="15" t="s">
        <v>807</v>
      </c>
      <c r="R206" s="1" t="s">
        <v>857</v>
      </c>
      <c r="S206" s="1" t="s">
        <v>868</v>
      </c>
      <c r="T206" s="1" t="s">
        <v>869</v>
      </c>
      <c r="U206" s="9" t="s">
        <v>951</v>
      </c>
      <c r="V206" s="1" t="s">
        <v>952</v>
      </c>
      <c r="W206" s="1" t="s">
        <v>1425</v>
      </c>
      <c r="X206" s="1" t="s">
        <v>301</v>
      </c>
      <c r="Y206" s="14">
        <v>45374</v>
      </c>
      <c r="Z206" s="9" t="s">
        <v>817</v>
      </c>
      <c r="AB206" s="14">
        <v>43613</v>
      </c>
      <c r="AC206" s="9" t="s">
        <v>817</v>
      </c>
      <c r="AD206" s="9" t="s">
        <v>818</v>
      </c>
      <c r="AE206" s="1" t="s">
        <v>819</v>
      </c>
      <c r="AF206" s="14" t="s">
        <v>820</v>
      </c>
      <c r="AG206" s="9" t="s">
        <v>821</v>
      </c>
      <c r="AH206" s="1" t="s">
        <v>9</v>
      </c>
      <c r="AI206" s="9" t="s">
        <v>10</v>
      </c>
      <c r="AJ206" s="1" t="s">
        <v>11</v>
      </c>
      <c r="AK206" s="1" t="s">
        <v>1587</v>
      </c>
      <c r="AL206" s="1" t="s">
        <v>1588</v>
      </c>
      <c r="AM206" s="9">
        <v>11343</v>
      </c>
      <c r="AN206" s="1" t="s">
        <v>114</v>
      </c>
      <c r="AO206" s="1" t="s">
        <v>36</v>
      </c>
      <c r="AP206" s="1" t="s">
        <v>874</v>
      </c>
      <c r="AQ206" s="14">
        <v>45658</v>
      </c>
      <c r="AU206" s="14">
        <v>45799</v>
      </c>
      <c r="AV206" s="16">
        <v>0</v>
      </c>
      <c r="AW206" s="16">
        <v>0</v>
      </c>
      <c r="BA206" s="1" t="s">
        <v>825</v>
      </c>
      <c r="BB206" s="9">
        <v>1</v>
      </c>
      <c r="BC206" s="1" t="s">
        <v>862</v>
      </c>
      <c r="BD206" s="9" t="s">
        <v>807</v>
      </c>
      <c r="BE206" s="1" t="s">
        <v>893</v>
      </c>
      <c r="BF206" s="1" t="s">
        <v>38</v>
      </c>
      <c r="BG206" s="1" t="s">
        <v>883</v>
      </c>
      <c r="BH206" s="1" t="s">
        <v>884</v>
      </c>
      <c r="BI206" s="20" t="s">
        <v>983</v>
      </c>
      <c r="BJ206" s="21" t="str">
        <f t="shared" si="3"/>
        <v>FIXO</v>
      </c>
    </row>
    <row r="207" spans="1:62" x14ac:dyDescent="0.25">
      <c r="A207" s="7">
        <v>5</v>
      </c>
      <c r="B207" s="1" t="s">
        <v>71</v>
      </c>
      <c r="C207" s="8">
        <v>4</v>
      </c>
      <c r="D207" s="9" t="s">
        <v>807</v>
      </c>
      <c r="E207" s="10">
        <v>4856</v>
      </c>
      <c r="F207" s="11" t="s">
        <v>1589</v>
      </c>
      <c r="G207" s="12" t="s">
        <v>271</v>
      </c>
      <c r="H207" s="13" t="str">
        <f>VLOOKUP(AP207,[1]Listas!A:B,2,0)</f>
        <v xml:space="preserve">FPAR </v>
      </c>
      <c r="I207" s="1" t="s">
        <v>296</v>
      </c>
      <c r="J207" s="12"/>
      <c r="K207" s="12"/>
      <c r="L207" s="1" t="s">
        <v>296</v>
      </c>
      <c r="M207" s="1" t="s">
        <v>366</v>
      </c>
      <c r="N207" s="14">
        <v>31885</v>
      </c>
      <c r="O207" s="1" t="s">
        <v>809</v>
      </c>
      <c r="P207" s="1" t="s">
        <v>810</v>
      </c>
      <c r="Q207" s="15" t="s">
        <v>811</v>
      </c>
      <c r="R207" s="1" t="s">
        <v>812</v>
      </c>
      <c r="S207" s="1" t="s">
        <v>1031</v>
      </c>
      <c r="T207" s="1" t="s">
        <v>1584</v>
      </c>
      <c r="U207" s="9" t="s">
        <v>880</v>
      </c>
      <c r="V207" s="1" t="s">
        <v>881</v>
      </c>
      <c r="W207" s="1" t="s">
        <v>1220</v>
      </c>
      <c r="X207" s="1" t="s">
        <v>220</v>
      </c>
      <c r="Y207" s="14">
        <v>44064</v>
      </c>
      <c r="Z207" s="9" t="s">
        <v>817</v>
      </c>
      <c r="AB207" s="14">
        <v>43953</v>
      </c>
      <c r="AC207" s="9" t="s">
        <v>817</v>
      </c>
      <c r="AD207" s="9" t="s">
        <v>818</v>
      </c>
      <c r="AE207" s="1" t="s">
        <v>819</v>
      </c>
      <c r="AF207" s="14" t="s">
        <v>820</v>
      </c>
      <c r="AG207" s="9" t="s">
        <v>821</v>
      </c>
      <c r="AH207" s="1" t="s">
        <v>9</v>
      </c>
      <c r="AI207" s="9" t="s">
        <v>10</v>
      </c>
      <c r="AJ207" s="1" t="s">
        <v>11</v>
      </c>
      <c r="AK207" s="1" t="s">
        <v>1590</v>
      </c>
      <c r="AL207" s="1" t="s">
        <v>1591</v>
      </c>
      <c r="AM207" s="9">
        <v>11218</v>
      </c>
      <c r="AN207" s="1" t="s">
        <v>122</v>
      </c>
      <c r="AO207" s="1" t="s">
        <v>367</v>
      </c>
      <c r="AP207" s="1" t="s">
        <v>1592</v>
      </c>
      <c r="AQ207" s="14">
        <v>45658</v>
      </c>
      <c r="AU207" s="14">
        <v>45799</v>
      </c>
      <c r="AV207" s="16">
        <v>0</v>
      </c>
      <c r="AW207" s="16">
        <v>0</v>
      </c>
      <c r="BA207" s="1" t="s">
        <v>825</v>
      </c>
      <c r="BB207" s="9">
        <v>1</v>
      </c>
      <c r="BC207" s="1" t="s">
        <v>862</v>
      </c>
      <c r="BD207" s="9" t="s">
        <v>807</v>
      </c>
      <c r="BE207" s="1" t="s">
        <v>850</v>
      </c>
      <c r="BF207" s="1" t="s">
        <v>27</v>
      </c>
      <c r="BG207" s="1" t="s">
        <v>851</v>
      </c>
      <c r="BH207" s="1" t="s">
        <v>852</v>
      </c>
      <c r="BI207" s="20" t="s">
        <v>1055</v>
      </c>
      <c r="BJ207" s="21" t="str">
        <f t="shared" si="3"/>
        <v>FIXO</v>
      </c>
    </row>
    <row r="208" spans="1:62" x14ac:dyDescent="0.25">
      <c r="A208" s="7">
        <v>5</v>
      </c>
      <c r="B208" s="1" t="s">
        <v>71</v>
      </c>
      <c r="C208" s="8">
        <v>5</v>
      </c>
      <c r="D208" s="9" t="s">
        <v>807</v>
      </c>
      <c r="E208" s="10">
        <v>6821</v>
      </c>
      <c r="F208" s="11" t="s">
        <v>1593</v>
      </c>
      <c r="G208" s="1" t="s">
        <v>41</v>
      </c>
      <c r="H208" s="13" t="str">
        <f>VLOOKUP(AP208,[1]Listas!A:B,2,0)</f>
        <v xml:space="preserve">FESP </v>
      </c>
      <c r="I208" s="1" t="s">
        <v>38</v>
      </c>
      <c r="J208" s="12"/>
      <c r="K208" s="12"/>
      <c r="L208" s="1" t="s">
        <v>38</v>
      </c>
      <c r="M208" s="1" t="s">
        <v>368</v>
      </c>
      <c r="N208" s="14">
        <v>29663</v>
      </c>
      <c r="O208" s="1" t="s">
        <v>855</v>
      </c>
      <c r="P208" s="1" t="s">
        <v>856</v>
      </c>
      <c r="Q208" s="15" t="s">
        <v>811</v>
      </c>
      <c r="R208" s="1" t="s">
        <v>812</v>
      </c>
      <c r="S208" s="1" t="s">
        <v>868</v>
      </c>
      <c r="T208" s="1" t="s">
        <v>869</v>
      </c>
      <c r="U208" s="9" t="s">
        <v>811</v>
      </c>
      <c r="V208" s="1" t="s">
        <v>870</v>
      </c>
      <c r="W208" s="1" t="s">
        <v>1425</v>
      </c>
      <c r="X208" s="1" t="s">
        <v>301</v>
      </c>
      <c r="Y208" s="14">
        <v>45181</v>
      </c>
      <c r="Z208" s="9" t="s">
        <v>817</v>
      </c>
      <c r="AB208" s="14">
        <v>44656</v>
      </c>
      <c r="AC208" s="9" t="s">
        <v>817</v>
      </c>
      <c r="AD208" s="9" t="s">
        <v>818</v>
      </c>
      <c r="AE208" s="1" t="s">
        <v>819</v>
      </c>
      <c r="AF208" s="14" t="s">
        <v>820</v>
      </c>
      <c r="AG208" s="9" t="s">
        <v>835</v>
      </c>
      <c r="AH208" s="1" t="s">
        <v>17</v>
      </c>
      <c r="AI208" s="9" t="s">
        <v>10</v>
      </c>
      <c r="AJ208" s="1" t="s">
        <v>11</v>
      </c>
      <c r="AK208" s="1" t="s">
        <v>1587</v>
      </c>
      <c r="AL208" s="1" t="s">
        <v>1588</v>
      </c>
      <c r="AM208" s="9">
        <v>11343</v>
      </c>
      <c r="AN208" s="1" t="s">
        <v>114</v>
      </c>
      <c r="AO208" s="1" t="s">
        <v>36</v>
      </c>
      <c r="AP208" s="1" t="s">
        <v>874</v>
      </c>
      <c r="AQ208" s="14">
        <v>45658</v>
      </c>
      <c r="AU208" s="14">
        <v>45799</v>
      </c>
      <c r="AV208" s="16">
        <v>0</v>
      </c>
      <c r="AW208" s="16">
        <v>0</v>
      </c>
      <c r="BA208" s="1" t="s">
        <v>911</v>
      </c>
      <c r="BB208" s="9">
        <v>1</v>
      </c>
      <c r="BC208" s="1" t="s">
        <v>862</v>
      </c>
      <c r="BD208" s="9" t="s">
        <v>807</v>
      </c>
      <c r="BE208" s="1" t="s">
        <v>893</v>
      </c>
      <c r="BF208" s="1" t="s">
        <v>38</v>
      </c>
      <c r="BG208" s="1" t="s">
        <v>883</v>
      </c>
      <c r="BH208" s="1" t="s">
        <v>884</v>
      </c>
      <c r="BI208" s="20" t="s">
        <v>983</v>
      </c>
      <c r="BJ208" s="21" t="str">
        <f t="shared" si="3"/>
        <v>FIXO</v>
      </c>
    </row>
    <row r="209" spans="1:62" x14ac:dyDescent="0.25">
      <c r="A209" s="7">
        <v>5</v>
      </c>
      <c r="B209" s="1" t="s">
        <v>71</v>
      </c>
      <c r="C209" s="8">
        <v>4</v>
      </c>
      <c r="D209" s="9" t="s">
        <v>807</v>
      </c>
      <c r="E209" s="10">
        <v>8494</v>
      </c>
      <c r="F209" s="11" t="s">
        <v>1594</v>
      </c>
      <c r="G209" s="12" t="s">
        <v>271</v>
      </c>
      <c r="H209" s="13" t="str">
        <f>VLOOKUP(AP209,[1]Listas!A:B,2,0)</f>
        <v xml:space="preserve">FPAR </v>
      </c>
      <c r="I209" s="1" t="s">
        <v>296</v>
      </c>
      <c r="J209" s="12"/>
      <c r="K209" s="12"/>
      <c r="L209" s="1" t="s">
        <v>296</v>
      </c>
      <c r="M209" s="1" t="s">
        <v>1595</v>
      </c>
      <c r="N209" s="14">
        <v>29722</v>
      </c>
      <c r="O209" s="1" t="s">
        <v>855</v>
      </c>
      <c r="P209" s="1" t="s">
        <v>856</v>
      </c>
      <c r="Q209" s="15" t="s">
        <v>807</v>
      </c>
      <c r="R209" s="1" t="s">
        <v>857</v>
      </c>
      <c r="S209" s="1" t="s">
        <v>1017</v>
      </c>
      <c r="U209" s="9" t="s">
        <v>814</v>
      </c>
      <c r="V209" s="1" t="s">
        <v>815</v>
      </c>
      <c r="W209" s="1" t="s">
        <v>1596</v>
      </c>
      <c r="X209" s="1" t="s">
        <v>1597</v>
      </c>
      <c r="Y209" s="14">
        <v>44064</v>
      </c>
      <c r="Z209" s="9" t="s">
        <v>817</v>
      </c>
      <c r="AB209" s="14">
        <v>43379</v>
      </c>
      <c r="AC209" s="9" t="s">
        <v>817</v>
      </c>
      <c r="AD209" s="9" t="s">
        <v>818</v>
      </c>
      <c r="AE209" s="1" t="s">
        <v>819</v>
      </c>
      <c r="AF209" s="14" t="s">
        <v>820</v>
      </c>
      <c r="AG209" s="9" t="s">
        <v>821</v>
      </c>
      <c r="AH209" s="1" t="s">
        <v>9</v>
      </c>
      <c r="AI209" s="9" t="s">
        <v>10</v>
      </c>
      <c r="AJ209" s="1" t="s">
        <v>11</v>
      </c>
      <c r="AK209" s="1" t="s">
        <v>1598</v>
      </c>
      <c r="AL209" s="1" t="s">
        <v>1599</v>
      </c>
      <c r="AM209" s="9">
        <v>11253</v>
      </c>
      <c r="AN209" s="1" t="s">
        <v>278</v>
      </c>
      <c r="AO209" s="1" t="s">
        <v>1600</v>
      </c>
      <c r="AP209" s="1" t="s">
        <v>1601</v>
      </c>
      <c r="AQ209" s="14">
        <v>45658</v>
      </c>
      <c r="AU209" s="14">
        <v>45799</v>
      </c>
      <c r="AV209" s="16">
        <v>30</v>
      </c>
      <c r="AW209" s="16">
        <v>0</v>
      </c>
      <c r="BA209" s="1" t="s">
        <v>825</v>
      </c>
      <c r="BB209" s="9">
        <v>1</v>
      </c>
      <c r="BC209" s="1" t="s">
        <v>862</v>
      </c>
      <c r="BD209" s="9" t="s">
        <v>807</v>
      </c>
      <c r="BE209" s="1" t="s">
        <v>1017</v>
      </c>
      <c r="BI209" s="20" t="s">
        <v>983</v>
      </c>
      <c r="BJ209" s="21" t="str">
        <f t="shared" si="3"/>
        <v>FIXO</v>
      </c>
    </row>
    <row r="210" spans="1:62" x14ac:dyDescent="0.25">
      <c r="A210" s="7">
        <v>5</v>
      </c>
      <c r="B210" s="1" t="s">
        <v>71</v>
      </c>
      <c r="C210" s="8">
        <v>4</v>
      </c>
      <c r="D210" s="9" t="s">
        <v>807</v>
      </c>
      <c r="E210" s="10">
        <v>8882</v>
      </c>
      <c r="F210" s="11" t="s">
        <v>1602</v>
      </c>
      <c r="G210" s="12" t="s">
        <v>271</v>
      </c>
      <c r="H210" s="13" t="str">
        <f>VLOOKUP(AP210,[1]Listas!A:B,2,0)</f>
        <v xml:space="preserve">FPAR </v>
      </c>
      <c r="I210" s="1" t="s">
        <v>296</v>
      </c>
      <c r="J210" s="12"/>
      <c r="K210" s="12"/>
      <c r="L210" s="1" t="s">
        <v>1340</v>
      </c>
      <c r="M210" s="1" t="s">
        <v>1603</v>
      </c>
      <c r="N210" s="14">
        <v>30489</v>
      </c>
      <c r="O210" s="1" t="s">
        <v>855</v>
      </c>
      <c r="P210" s="1" t="s">
        <v>856</v>
      </c>
      <c r="Q210" s="15" t="s">
        <v>807</v>
      </c>
      <c r="R210" s="1" t="s">
        <v>857</v>
      </c>
      <c r="S210" s="1" t="s">
        <v>1017</v>
      </c>
      <c r="U210" s="9" t="s">
        <v>814</v>
      </c>
      <c r="V210" s="1" t="s">
        <v>815</v>
      </c>
      <c r="W210" s="1" t="s">
        <v>871</v>
      </c>
      <c r="X210" s="1" t="s">
        <v>34</v>
      </c>
      <c r="Y210" s="14">
        <v>45037</v>
      </c>
      <c r="Z210" s="9" t="s">
        <v>817</v>
      </c>
      <c r="AB210" s="14">
        <v>43473</v>
      </c>
      <c r="AC210" s="9" t="s">
        <v>817</v>
      </c>
      <c r="AD210" s="9" t="s">
        <v>818</v>
      </c>
      <c r="AE210" s="1" t="s">
        <v>819</v>
      </c>
      <c r="AF210" s="14" t="s">
        <v>820</v>
      </c>
      <c r="AG210" s="9" t="s">
        <v>821</v>
      </c>
      <c r="AH210" s="1" t="s">
        <v>9</v>
      </c>
      <c r="AI210" s="9" t="s">
        <v>10</v>
      </c>
      <c r="AJ210" s="1" t="s">
        <v>11</v>
      </c>
      <c r="AK210" s="1" t="s">
        <v>1573</v>
      </c>
      <c r="AL210" s="1" t="s">
        <v>1343</v>
      </c>
      <c r="AM210" s="9">
        <v>11271</v>
      </c>
      <c r="AN210" s="1" t="s">
        <v>276</v>
      </c>
      <c r="AO210" s="1" t="s">
        <v>273</v>
      </c>
      <c r="AP210" s="1" t="s">
        <v>1331</v>
      </c>
      <c r="AQ210" s="14">
        <v>45658</v>
      </c>
      <c r="AU210" s="14">
        <v>45799</v>
      </c>
      <c r="AV210" s="16">
        <v>0</v>
      </c>
      <c r="AW210" s="16">
        <v>0</v>
      </c>
      <c r="BA210" s="1" t="s">
        <v>825</v>
      </c>
      <c r="BB210" s="9">
        <v>1</v>
      </c>
      <c r="BC210" s="1" t="s">
        <v>862</v>
      </c>
      <c r="BD210" s="9" t="s">
        <v>807</v>
      </c>
      <c r="BE210" s="1" t="s">
        <v>1017</v>
      </c>
      <c r="BI210" s="20" t="s">
        <v>916</v>
      </c>
      <c r="BJ210" s="21" t="str">
        <f t="shared" si="3"/>
        <v>FIXO</v>
      </c>
    </row>
    <row r="211" spans="1:62" x14ac:dyDescent="0.25">
      <c r="A211" s="7">
        <v>5</v>
      </c>
      <c r="B211" s="1" t="s">
        <v>71</v>
      </c>
      <c r="C211" s="8">
        <v>5</v>
      </c>
      <c r="D211" s="9" t="s">
        <v>807</v>
      </c>
      <c r="E211" s="10">
        <v>8898</v>
      </c>
      <c r="F211" s="11" t="s">
        <v>1604</v>
      </c>
      <c r="G211" s="1" t="s">
        <v>41</v>
      </c>
      <c r="H211" s="13" t="str">
        <f>VLOOKUP(AP211,[1]Listas!A:B,2,0)</f>
        <v xml:space="preserve">FESP </v>
      </c>
      <c r="I211" s="1" t="s">
        <v>38</v>
      </c>
      <c r="J211" s="1" t="s">
        <v>37</v>
      </c>
      <c r="K211" s="12"/>
      <c r="L211" s="1" t="s">
        <v>259</v>
      </c>
      <c r="M211" s="1" t="s">
        <v>369</v>
      </c>
      <c r="N211" s="14">
        <v>28521</v>
      </c>
      <c r="O211" s="1" t="s">
        <v>855</v>
      </c>
      <c r="P211" s="1" t="s">
        <v>856</v>
      </c>
      <c r="Q211" s="15" t="s">
        <v>811</v>
      </c>
      <c r="R211" s="1" t="s">
        <v>812</v>
      </c>
      <c r="S211" s="1" t="s">
        <v>1031</v>
      </c>
      <c r="T211" s="1" t="s">
        <v>1584</v>
      </c>
      <c r="U211" s="9" t="s">
        <v>832</v>
      </c>
      <c r="V211" s="1" t="s">
        <v>833</v>
      </c>
      <c r="W211" s="1" t="s">
        <v>871</v>
      </c>
      <c r="X211" s="1" t="s">
        <v>34</v>
      </c>
      <c r="Y211" s="14">
        <v>44645</v>
      </c>
      <c r="Z211" s="9" t="s">
        <v>817</v>
      </c>
      <c r="AB211" s="14">
        <v>44358</v>
      </c>
      <c r="AC211" s="9" t="s">
        <v>817</v>
      </c>
      <c r="AD211" s="9" t="s">
        <v>818</v>
      </c>
      <c r="AE211" s="1" t="s">
        <v>819</v>
      </c>
      <c r="AF211" s="14" t="s">
        <v>820</v>
      </c>
      <c r="AG211" s="9" t="s">
        <v>821</v>
      </c>
      <c r="AH211" s="1" t="s">
        <v>9</v>
      </c>
      <c r="AI211" s="9" t="s">
        <v>10</v>
      </c>
      <c r="AJ211" s="1" t="s">
        <v>11</v>
      </c>
      <c r="AK211" s="1" t="s">
        <v>1605</v>
      </c>
      <c r="AL211" s="1" t="s">
        <v>873</v>
      </c>
      <c r="AM211" s="9">
        <v>11383</v>
      </c>
      <c r="AN211" s="1" t="s">
        <v>35</v>
      </c>
      <c r="AO211" s="1" t="s">
        <v>36</v>
      </c>
      <c r="AP211" s="1" t="s">
        <v>874</v>
      </c>
      <c r="AQ211" s="14">
        <v>45658</v>
      </c>
      <c r="AU211" s="14">
        <v>45799</v>
      </c>
      <c r="AV211" s="16">
        <v>0</v>
      </c>
      <c r="AW211" s="16">
        <v>0</v>
      </c>
      <c r="BA211" s="1" t="s">
        <v>911</v>
      </c>
      <c r="BB211" s="9">
        <v>7</v>
      </c>
      <c r="BC211" s="1" t="s">
        <v>826</v>
      </c>
      <c r="BD211" s="9" t="s">
        <v>807</v>
      </c>
      <c r="BE211" s="1" t="s">
        <v>875</v>
      </c>
      <c r="BF211" s="1" t="s">
        <v>37</v>
      </c>
      <c r="BG211" s="1" t="s">
        <v>876</v>
      </c>
      <c r="BH211" s="1" t="s">
        <v>877</v>
      </c>
      <c r="BI211" s="1" t="s">
        <v>1118</v>
      </c>
      <c r="BJ211" s="21" t="str">
        <f t="shared" si="3"/>
        <v>FIXO</v>
      </c>
    </row>
    <row r="212" spans="1:62" x14ac:dyDescent="0.25">
      <c r="A212" s="7">
        <v>5</v>
      </c>
      <c r="B212" s="1" t="s">
        <v>71</v>
      </c>
      <c r="C212" s="8">
        <v>5</v>
      </c>
      <c r="D212" s="9" t="s">
        <v>807</v>
      </c>
      <c r="E212" s="10">
        <v>10304</v>
      </c>
      <c r="F212" s="11" t="s">
        <v>1606</v>
      </c>
      <c r="G212" s="12" t="s">
        <v>71</v>
      </c>
      <c r="H212" s="13" t="str">
        <f>VLOOKUP(AP212,[1]Listas!A:B,2,0)</f>
        <v xml:space="preserve">FESP </v>
      </c>
      <c r="I212" s="1" t="s">
        <v>27</v>
      </c>
      <c r="J212" s="12"/>
      <c r="K212" s="1" t="s">
        <v>21</v>
      </c>
      <c r="L212" s="12"/>
      <c r="M212" s="1" t="s">
        <v>370</v>
      </c>
      <c r="N212" s="14">
        <v>35864</v>
      </c>
      <c r="O212" s="1" t="s">
        <v>809</v>
      </c>
      <c r="P212" s="1" t="s">
        <v>810</v>
      </c>
      <c r="Q212" s="15" t="s">
        <v>807</v>
      </c>
      <c r="R212" s="1" t="s">
        <v>857</v>
      </c>
      <c r="S212" s="1" t="s">
        <v>868</v>
      </c>
      <c r="T212" s="1" t="s">
        <v>869</v>
      </c>
      <c r="U212" s="9" t="s">
        <v>814</v>
      </c>
      <c r="V212" s="1" t="s">
        <v>815</v>
      </c>
      <c r="W212" s="1" t="s">
        <v>1220</v>
      </c>
      <c r="X212" s="1" t="s">
        <v>220</v>
      </c>
      <c r="Y212" s="14">
        <v>44758</v>
      </c>
      <c r="Z212" s="9" t="s">
        <v>817</v>
      </c>
      <c r="AB212" s="14">
        <v>44757</v>
      </c>
      <c r="AC212" s="9" t="s">
        <v>817</v>
      </c>
      <c r="AD212" s="9" t="s">
        <v>818</v>
      </c>
      <c r="AE212" s="1" t="s">
        <v>819</v>
      </c>
      <c r="AF212" s="14">
        <v>45818</v>
      </c>
      <c r="AG212" s="9" t="s">
        <v>999</v>
      </c>
      <c r="AH212" s="1" t="s">
        <v>105</v>
      </c>
      <c r="AI212" s="9" t="s">
        <v>23</v>
      </c>
      <c r="AJ212" s="1" t="s">
        <v>24</v>
      </c>
      <c r="AK212" s="1" t="s">
        <v>1566</v>
      </c>
      <c r="AL212" s="1" t="s">
        <v>1460</v>
      </c>
      <c r="AM212" s="9">
        <v>11318</v>
      </c>
      <c r="AN212" s="1" t="s">
        <v>122</v>
      </c>
      <c r="AO212" s="1" t="s">
        <v>94</v>
      </c>
      <c r="AP212" s="1" t="s">
        <v>982</v>
      </c>
      <c r="AQ212" s="14">
        <v>45658</v>
      </c>
      <c r="AU212" s="14">
        <v>45799</v>
      </c>
      <c r="AV212" s="16">
        <v>0</v>
      </c>
      <c r="AW212" s="16">
        <v>0</v>
      </c>
      <c r="BA212" s="1" t="s">
        <v>911</v>
      </c>
      <c r="BB212" s="9">
        <v>7</v>
      </c>
      <c r="BC212" s="1" t="s">
        <v>826</v>
      </c>
      <c r="BD212" s="9" t="s">
        <v>807</v>
      </c>
      <c r="BE212" s="1" t="s">
        <v>1160</v>
      </c>
      <c r="BF212" s="1" t="s">
        <v>21</v>
      </c>
      <c r="BG212" s="1" t="s">
        <v>846</v>
      </c>
      <c r="BH212" s="1" t="s">
        <v>847</v>
      </c>
      <c r="BI212" s="1" t="s">
        <v>1055</v>
      </c>
      <c r="BJ212" s="21" t="str">
        <f t="shared" si="3"/>
        <v>FIXO</v>
      </c>
    </row>
    <row r="213" spans="1:62" x14ac:dyDescent="0.25">
      <c r="A213" s="7">
        <v>5</v>
      </c>
      <c r="B213" s="1" t="s">
        <v>71</v>
      </c>
      <c r="C213" s="8">
        <v>5</v>
      </c>
      <c r="D213" s="9" t="s">
        <v>807</v>
      </c>
      <c r="E213" s="10">
        <v>10435</v>
      </c>
      <c r="F213" s="11" t="s">
        <v>1607</v>
      </c>
      <c r="G213" s="12" t="s">
        <v>71</v>
      </c>
      <c r="H213" s="13" t="str">
        <f>VLOOKUP(AP213,[1]Listas!A:B,2,0)</f>
        <v xml:space="preserve">FESP </v>
      </c>
      <c r="I213" s="1" t="s">
        <v>27</v>
      </c>
      <c r="J213" s="12"/>
      <c r="K213" s="1" t="s">
        <v>21</v>
      </c>
      <c r="L213" s="12"/>
      <c r="M213" s="1" t="s">
        <v>371</v>
      </c>
      <c r="N213" s="14">
        <v>32679</v>
      </c>
      <c r="O213" s="1" t="s">
        <v>809</v>
      </c>
      <c r="P213" s="1" t="s">
        <v>810</v>
      </c>
      <c r="Q213" s="15" t="s">
        <v>807</v>
      </c>
      <c r="R213" s="1" t="s">
        <v>857</v>
      </c>
      <c r="S213" s="1" t="s">
        <v>868</v>
      </c>
      <c r="T213" s="1" t="s">
        <v>869</v>
      </c>
      <c r="U213" s="9" t="s">
        <v>951</v>
      </c>
      <c r="V213" s="1" t="s">
        <v>952</v>
      </c>
      <c r="W213" s="1" t="s">
        <v>1220</v>
      </c>
      <c r="X213" s="1" t="s">
        <v>220</v>
      </c>
      <c r="Y213" s="14">
        <v>45329</v>
      </c>
      <c r="Z213" s="9" t="s">
        <v>817</v>
      </c>
      <c r="AB213" s="14">
        <v>45328</v>
      </c>
      <c r="AC213" s="9" t="s">
        <v>817</v>
      </c>
      <c r="AD213" s="9" t="s">
        <v>818</v>
      </c>
      <c r="AE213" s="1" t="s">
        <v>819</v>
      </c>
      <c r="AF213" s="14" t="s">
        <v>820</v>
      </c>
      <c r="AG213" s="9" t="s">
        <v>821</v>
      </c>
      <c r="AH213" s="1" t="s">
        <v>9</v>
      </c>
      <c r="AI213" s="9" t="s">
        <v>10</v>
      </c>
      <c r="AJ213" s="1" t="s">
        <v>11</v>
      </c>
      <c r="AK213" s="1" t="s">
        <v>1566</v>
      </c>
      <c r="AL213" s="1" t="s">
        <v>1460</v>
      </c>
      <c r="AM213" s="9">
        <v>11318</v>
      </c>
      <c r="AN213" s="1" t="s">
        <v>122</v>
      </c>
      <c r="AO213" s="1" t="s">
        <v>94</v>
      </c>
      <c r="AP213" s="1" t="s">
        <v>982</v>
      </c>
      <c r="AQ213" s="14">
        <v>45658</v>
      </c>
      <c r="AU213" s="14">
        <v>45799</v>
      </c>
      <c r="AV213" s="16">
        <v>0</v>
      </c>
      <c r="AW213" s="16">
        <v>0</v>
      </c>
      <c r="BA213" s="1" t="s">
        <v>825</v>
      </c>
      <c r="BB213" s="9">
        <v>7</v>
      </c>
      <c r="BC213" s="1" t="s">
        <v>826</v>
      </c>
      <c r="BD213" s="9" t="s">
        <v>807</v>
      </c>
      <c r="BE213" s="1" t="s">
        <v>1160</v>
      </c>
      <c r="BF213" s="1" t="s">
        <v>21</v>
      </c>
      <c r="BG213" s="1" t="s">
        <v>846</v>
      </c>
      <c r="BH213" s="1" t="s">
        <v>847</v>
      </c>
      <c r="BI213" s="1" t="s">
        <v>1055</v>
      </c>
      <c r="BJ213" s="21" t="str">
        <f t="shared" si="3"/>
        <v>FIXO</v>
      </c>
    </row>
    <row r="214" spans="1:62" x14ac:dyDescent="0.25">
      <c r="A214" s="7">
        <v>5</v>
      </c>
      <c r="B214" s="1" t="s">
        <v>71</v>
      </c>
      <c r="C214" s="8">
        <v>5</v>
      </c>
      <c r="D214" s="9" t="s">
        <v>807</v>
      </c>
      <c r="E214" s="10">
        <v>10584</v>
      </c>
      <c r="F214" s="11" t="s">
        <v>1608</v>
      </c>
      <c r="G214" s="12" t="s">
        <v>71</v>
      </c>
      <c r="H214" s="13" t="str">
        <f>VLOOKUP(AP214,[1]Listas!A:B,2,0)</f>
        <v xml:space="preserve">FESP </v>
      </c>
      <c r="I214" s="1" t="s">
        <v>27</v>
      </c>
      <c r="J214" s="12"/>
      <c r="K214" s="1" t="s">
        <v>50</v>
      </c>
      <c r="L214" s="12"/>
      <c r="M214" s="1" t="s">
        <v>372</v>
      </c>
      <c r="N214" s="14">
        <v>27903</v>
      </c>
      <c r="O214" s="1" t="s">
        <v>855</v>
      </c>
      <c r="P214" s="1" t="s">
        <v>856</v>
      </c>
      <c r="Q214" s="15" t="s">
        <v>1031</v>
      </c>
      <c r="R214" s="1" t="s">
        <v>1032</v>
      </c>
      <c r="S214" s="1" t="s">
        <v>811</v>
      </c>
      <c r="T214" s="1" t="s">
        <v>906</v>
      </c>
      <c r="U214" s="9" t="s">
        <v>868</v>
      </c>
      <c r="V214" s="1" t="s">
        <v>913</v>
      </c>
      <c r="W214" s="1" t="s">
        <v>871</v>
      </c>
      <c r="X214" s="1" t="s">
        <v>34</v>
      </c>
      <c r="Y214" s="14">
        <v>45538</v>
      </c>
      <c r="Z214" s="9" t="s">
        <v>817</v>
      </c>
      <c r="AB214" s="14">
        <v>43840</v>
      </c>
      <c r="AC214" s="9" t="s">
        <v>817</v>
      </c>
      <c r="AD214" s="9" t="s">
        <v>818</v>
      </c>
      <c r="AE214" s="1" t="s">
        <v>819</v>
      </c>
      <c r="AF214" s="14" t="s">
        <v>820</v>
      </c>
      <c r="AG214" s="9" t="s">
        <v>821</v>
      </c>
      <c r="AH214" s="1" t="s">
        <v>9</v>
      </c>
      <c r="AI214" s="9" t="s">
        <v>10</v>
      </c>
      <c r="AJ214" s="1" t="s">
        <v>11</v>
      </c>
      <c r="AK214" s="1" t="s">
        <v>1605</v>
      </c>
      <c r="AL214" s="1" t="s">
        <v>873</v>
      </c>
      <c r="AM214" s="9">
        <v>11383</v>
      </c>
      <c r="AN214" s="1" t="s">
        <v>35</v>
      </c>
      <c r="AO214" s="1" t="s">
        <v>36</v>
      </c>
      <c r="AP214" s="1" t="s">
        <v>874</v>
      </c>
      <c r="AQ214" s="14">
        <v>45658</v>
      </c>
      <c r="AU214" s="14">
        <v>45799</v>
      </c>
      <c r="AV214" s="16">
        <v>0</v>
      </c>
      <c r="AW214" s="16">
        <v>0</v>
      </c>
      <c r="BA214" s="1" t="s">
        <v>825</v>
      </c>
      <c r="BB214" s="9">
        <v>1</v>
      </c>
      <c r="BC214" s="1" t="s">
        <v>862</v>
      </c>
      <c r="BD214" s="9" t="s">
        <v>807</v>
      </c>
      <c r="BE214" s="1" t="s">
        <v>875</v>
      </c>
      <c r="BF214" s="23" t="s">
        <v>37</v>
      </c>
      <c r="BG214" s="1" t="s">
        <v>876</v>
      </c>
      <c r="BH214" s="1" t="s">
        <v>877</v>
      </c>
      <c r="BI214" s="23" t="s">
        <v>853</v>
      </c>
      <c r="BJ214" s="21" t="str">
        <f t="shared" si="3"/>
        <v>FIXO</v>
      </c>
    </row>
    <row r="215" spans="1:62" x14ac:dyDescent="0.25">
      <c r="A215" s="7">
        <v>5</v>
      </c>
      <c r="B215" s="1" t="s">
        <v>71</v>
      </c>
      <c r="C215" s="8">
        <v>1</v>
      </c>
      <c r="D215" s="9" t="s">
        <v>807</v>
      </c>
      <c r="E215" s="10">
        <v>12588</v>
      </c>
      <c r="F215" s="11" t="s">
        <v>1609</v>
      </c>
      <c r="G215" s="12" t="s">
        <v>71</v>
      </c>
      <c r="H215" s="13" t="str">
        <f>VLOOKUP(AP215,[1]Listas!A:B,2,0)</f>
        <v xml:space="preserve">FEAR </v>
      </c>
      <c r="I215" s="1" t="s">
        <v>116</v>
      </c>
      <c r="J215" s="12"/>
      <c r="K215" s="12"/>
      <c r="L215" s="12"/>
      <c r="M215" s="1" t="s">
        <v>1610</v>
      </c>
      <c r="N215" s="14">
        <v>34491</v>
      </c>
      <c r="O215" s="1" t="s">
        <v>855</v>
      </c>
      <c r="P215" s="1" t="s">
        <v>856</v>
      </c>
      <c r="Q215" s="15" t="s">
        <v>807</v>
      </c>
      <c r="R215" s="1" t="s">
        <v>857</v>
      </c>
      <c r="S215" s="1" t="s">
        <v>1017</v>
      </c>
      <c r="U215" s="9" t="s">
        <v>868</v>
      </c>
      <c r="V215" s="1" t="s">
        <v>913</v>
      </c>
      <c r="W215" s="1" t="s">
        <v>871</v>
      </c>
      <c r="X215" s="1" t="s">
        <v>34</v>
      </c>
      <c r="Y215" s="14">
        <v>45374</v>
      </c>
      <c r="Z215" s="9" t="s">
        <v>817</v>
      </c>
      <c r="AB215" s="14">
        <v>44306</v>
      </c>
      <c r="AC215" s="9" t="s">
        <v>817</v>
      </c>
      <c r="AD215" s="9" t="s">
        <v>818</v>
      </c>
      <c r="AE215" s="1" t="s">
        <v>819</v>
      </c>
      <c r="AF215" s="14" t="s">
        <v>820</v>
      </c>
      <c r="AG215" s="9" t="s">
        <v>821</v>
      </c>
      <c r="AH215" s="1" t="s">
        <v>9</v>
      </c>
      <c r="AI215" s="9" t="s">
        <v>10</v>
      </c>
      <c r="AJ215" s="1" t="s">
        <v>11</v>
      </c>
      <c r="AK215" s="1" t="s">
        <v>1611</v>
      </c>
      <c r="AL215" s="1" t="s">
        <v>1019</v>
      </c>
      <c r="AM215" s="9">
        <v>11043</v>
      </c>
      <c r="AN215" s="1" t="s">
        <v>114</v>
      </c>
      <c r="AO215" s="1" t="s">
        <v>115</v>
      </c>
      <c r="AP215" s="1" t="s">
        <v>1020</v>
      </c>
      <c r="AQ215" s="14">
        <v>45658</v>
      </c>
      <c r="AU215" s="14">
        <v>45799</v>
      </c>
      <c r="AV215" s="16">
        <v>0</v>
      </c>
      <c r="AW215" s="16">
        <v>0</v>
      </c>
      <c r="BA215" s="1" t="s">
        <v>911</v>
      </c>
      <c r="BB215" s="9">
        <v>7</v>
      </c>
      <c r="BC215" s="1" t="s">
        <v>826</v>
      </c>
      <c r="BD215" s="9" t="s">
        <v>807</v>
      </c>
      <c r="BE215" s="1" t="s">
        <v>1021</v>
      </c>
      <c r="BF215" s="1" t="s">
        <v>116</v>
      </c>
      <c r="BG215" s="1" t="s">
        <v>1022</v>
      </c>
      <c r="BH215" s="1" t="s">
        <v>1023</v>
      </c>
      <c r="BI215" s="1" t="s">
        <v>866</v>
      </c>
      <c r="BJ215" s="21" t="str">
        <f t="shared" si="3"/>
        <v>FIXO</v>
      </c>
    </row>
    <row r="216" spans="1:62" x14ac:dyDescent="0.25">
      <c r="A216" s="7">
        <v>5</v>
      </c>
      <c r="B216" s="1" t="s">
        <v>71</v>
      </c>
      <c r="C216" s="8">
        <v>4</v>
      </c>
      <c r="D216" s="9" t="s">
        <v>807</v>
      </c>
      <c r="E216" s="10">
        <v>13931</v>
      </c>
      <c r="F216" s="11" t="s">
        <v>1612</v>
      </c>
      <c r="G216" s="12" t="s">
        <v>271</v>
      </c>
      <c r="H216" s="13" t="str">
        <f>VLOOKUP(AP216,[1]Listas!A:B,2,0)</f>
        <v xml:space="preserve">FPAR </v>
      </c>
      <c r="I216" s="1" t="s">
        <v>296</v>
      </c>
      <c r="J216" s="12"/>
      <c r="K216" s="12" t="s">
        <v>1327</v>
      </c>
      <c r="L216" s="12"/>
      <c r="M216" s="1" t="s">
        <v>1613</v>
      </c>
      <c r="N216" s="14">
        <v>31834</v>
      </c>
      <c r="O216" s="1" t="s">
        <v>855</v>
      </c>
      <c r="P216" s="1" t="s">
        <v>856</v>
      </c>
      <c r="Q216" s="15" t="s">
        <v>807</v>
      </c>
      <c r="R216" s="1" t="s">
        <v>857</v>
      </c>
      <c r="S216" s="1" t="s">
        <v>868</v>
      </c>
      <c r="T216" s="1" t="s">
        <v>869</v>
      </c>
      <c r="U216" s="9" t="s">
        <v>811</v>
      </c>
      <c r="V216" s="1" t="s">
        <v>870</v>
      </c>
      <c r="W216" s="1" t="s">
        <v>871</v>
      </c>
      <c r="X216" s="1" t="s">
        <v>34</v>
      </c>
      <c r="Y216" s="14">
        <v>45309</v>
      </c>
      <c r="Z216" s="9" t="s">
        <v>817</v>
      </c>
      <c r="AB216" s="14">
        <v>45202</v>
      </c>
      <c r="AC216" s="9" t="s">
        <v>817</v>
      </c>
      <c r="AD216" s="9" t="s">
        <v>818</v>
      </c>
      <c r="AE216" s="1" t="s">
        <v>819</v>
      </c>
      <c r="AF216" s="14" t="s">
        <v>820</v>
      </c>
      <c r="AG216" s="9" t="s">
        <v>821</v>
      </c>
      <c r="AH216" s="1" t="s">
        <v>9</v>
      </c>
      <c r="AI216" s="9" t="s">
        <v>10</v>
      </c>
      <c r="AJ216" s="1" t="s">
        <v>11</v>
      </c>
      <c r="AK216" s="1" t="s">
        <v>1585</v>
      </c>
      <c r="AL216" s="1" t="s">
        <v>1330</v>
      </c>
      <c r="AM216" s="9">
        <v>11270</v>
      </c>
      <c r="AN216" s="1" t="s">
        <v>272</v>
      </c>
      <c r="AO216" s="1" t="s">
        <v>273</v>
      </c>
      <c r="AP216" s="1" t="s">
        <v>1331</v>
      </c>
      <c r="AQ216" s="14">
        <v>45658</v>
      </c>
      <c r="AU216" s="14">
        <v>45778</v>
      </c>
      <c r="AV216" s="16">
        <v>0</v>
      </c>
      <c r="AW216" s="16">
        <v>0</v>
      </c>
      <c r="BA216" s="1" t="s">
        <v>911</v>
      </c>
      <c r="BB216" s="9">
        <v>7</v>
      </c>
      <c r="BC216" s="1" t="s">
        <v>826</v>
      </c>
      <c r="BD216" s="9" t="s">
        <v>807</v>
      </c>
      <c r="BE216" s="1" t="s">
        <v>1017</v>
      </c>
      <c r="BI216" s="20" t="s">
        <v>878</v>
      </c>
      <c r="BJ216" s="21" t="str">
        <f t="shared" si="3"/>
        <v>FIXO</v>
      </c>
    </row>
    <row r="217" spans="1:62" x14ac:dyDescent="0.25">
      <c r="A217" s="7">
        <v>5</v>
      </c>
      <c r="B217" s="1" t="s">
        <v>71</v>
      </c>
      <c r="C217" s="8">
        <v>5</v>
      </c>
      <c r="D217" s="9" t="s">
        <v>807</v>
      </c>
      <c r="E217" s="10">
        <v>13939</v>
      </c>
      <c r="F217" s="11" t="s">
        <v>1614</v>
      </c>
      <c r="G217" s="1" t="s">
        <v>41</v>
      </c>
      <c r="H217" s="13" t="str">
        <f>VLOOKUP(AP217,[1]Listas!A:B,2,0)</f>
        <v xml:space="preserve">FESP </v>
      </c>
      <c r="I217" s="1" t="s">
        <v>38</v>
      </c>
      <c r="J217" s="12"/>
      <c r="K217" s="12"/>
      <c r="L217" s="1" t="s">
        <v>38</v>
      </c>
      <c r="M217" s="1" t="s">
        <v>373</v>
      </c>
      <c r="N217" s="14">
        <v>33464</v>
      </c>
      <c r="O217" s="1" t="s">
        <v>855</v>
      </c>
      <c r="P217" s="1" t="s">
        <v>856</v>
      </c>
      <c r="Q217" s="15" t="s">
        <v>807</v>
      </c>
      <c r="R217" s="1" t="s">
        <v>857</v>
      </c>
      <c r="S217" s="1" t="s">
        <v>868</v>
      </c>
      <c r="T217" s="1" t="s">
        <v>869</v>
      </c>
      <c r="U217" s="9" t="s">
        <v>880</v>
      </c>
      <c r="V217" s="1" t="s">
        <v>881</v>
      </c>
      <c r="W217" s="1" t="s">
        <v>1425</v>
      </c>
      <c r="X217" s="1" t="s">
        <v>301</v>
      </c>
      <c r="Y217" s="14">
        <v>45181</v>
      </c>
      <c r="Z217" s="9" t="s">
        <v>817</v>
      </c>
      <c r="AB217" s="14">
        <v>44714</v>
      </c>
      <c r="AC217" s="9" t="s">
        <v>817</v>
      </c>
      <c r="AD217" s="9" t="s">
        <v>818</v>
      </c>
      <c r="AE217" s="1" t="s">
        <v>819</v>
      </c>
      <c r="AF217" s="14" t="s">
        <v>820</v>
      </c>
      <c r="AG217" s="9" t="s">
        <v>821</v>
      </c>
      <c r="AH217" s="1" t="s">
        <v>9</v>
      </c>
      <c r="AI217" s="9" t="s">
        <v>10</v>
      </c>
      <c r="AJ217" s="1" t="s">
        <v>11</v>
      </c>
      <c r="AK217" s="1" t="s">
        <v>1587</v>
      </c>
      <c r="AL217" s="1" t="s">
        <v>1588</v>
      </c>
      <c r="AM217" s="9">
        <v>11343</v>
      </c>
      <c r="AN217" s="1" t="s">
        <v>114</v>
      </c>
      <c r="AO217" s="1" t="s">
        <v>36</v>
      </c>
      <c r="AP217" s="1" t="s">
        <v>874</v>
      </c>
      <c r="AQ217" s="14">
        <v>45658</v>
      </c>
      <c r="AU217" s="14">
        <v>45799</v>
      </c>
      <c r="AV217" s="16">
        <v>0</v>
      </c>
      <c r="AW217" s="16">
        <v>0</v>
      </c>
      <c r="BA217" s="1" t="s">
        <v>911</v>
      </c>
      <c r="BB217" s="9">
        <v>1</v>
      </c>
      <c r="BC217" s="1" t="s">
        <v>862</v>
      </c>
      <c r="BD217" s="9" t="s">
        <v>807</v>
      </c>
      <c r="BE217" s="1" t="s">
        <v>893</v>
      </c>
      <c r="BF217" s="1" t="s">
        <v>38</v>
      </c>
      <c r="BG217" s="1" t="s">
        <v>883</v>
      </c>
      <c r="BH217" s="1" t="s">
        <v>884</v>
      </c>
      <c r="BI217" s="20" t="s">
        <v>983</v>
      </c>
      <c r="BJ217" s="21" t="str">
        <f t="shared" si="3"/>
        <v>FIXO</v>
      </c>
    </row>
    <row r="218" spans="1:62" x14ac:dyDescent="0.25">
      <c r="A218" s="7">
        <v>5</v>
      </c>
      <c r="B218" s="1" t="s">
        <v>71</v>
      </c>
      <c r="C218" s="8">
        <v>5</v>
      </c>
      <c r="D218" s="9" t="s">
        <v>807</v>
      </c>
      <c r="E218" s="10">
        <v>14302</v>
      </c>
      <c r="F218" s="11" t="s">
        <v>1615</v>
      </c>
      <c r="G218" s="1" t="s">
        <v>41</v>
      </c>
      <c r="H218" s="13" t="str">
        <f>VLOOKUP(AP218,[1]Listas!A:B,2,0)</f>
        <v xml:space="preserve">FESP </v>
      </c>
      <c r="I218" s="12" t="s">
        <v>38</v>
      </c>
      <c r="J218" s="12"/>
      <c r="K218" s="1" t="s">
        <v>32</v>
      </c>
      <c r="L218" s="1" t="s">
        <v>79</v>
      </c>
      <c r="M218" s="1" t="s">
        <v>374</v>
      </c>
      <c r="N218" s="14">
        <v>37624</v>
      </c>
      <c r="O218" s="1" t="s">
        <v>855</v>
      </c>
      <c r="P218" s="1" t="s">
        <v>856</v>
      </c>
      <c r="Q218" s="15" t="s">
        <v>807</v>
      </c>
      <c r="R218" s="1" t="s">
        <v>857</v>
      </c>
      <c r="S218" s="1" t="s">
        <v>868</v>
      </c>
      <c r="T218" s="1" t="s">
        <v>869</v>
      </c>
      <c r="U218" s="9" t="s">
        <v>814</v>
      </c>
      <c r="V218" s="1" t="s">
        <v>815</v>
      </c>
      <c r="W218" s="1" t="s">
        <v>871</v>
      </c>
      <c r="X218" s="1" t="s">
        <v>34</v>
      </c>
      <c r="Y218" s="14">
        <v>45252</v>
      </c>
      <c r="Z218" s="9" t="s">
        <v>817</v>
      </c>
      <c r="AB218" s="14">
        <v>44810</v>
      </c>
      <c r="AC218" s="9" t="s">
        <v>817</v>
      </c>
      <c r="AD218" s="9" t="s">
        <v>818</v>
      </c>
      <c r="AE218" s="1" t="s">
        <v>819</v>
      </c>
      <c r="AF218" s="14" t="s">
        <v>820</v>
      </c>
      <c r="AG218" s="9" t="s">
        <v>999</v>
      </c>
      <c r="AH218" s="1" t="s">
        <v>105</v>
      </c>
      <c r="AI218" s="9" t="s">
        <v>10</v>
      </c>
      <c r="AJ218" s="1" t="s">
        <v>11</v>
      </c>
      <c r="AK218" s="1" t="s">
        <v>1581</v>
      </c>
      <c r="AL218" s="1" t="s">
        <v>919</v>
      </c>
      <c r="AM218" s="9">
        <v>11377</v>
      </c>
      <c r="AN218" s="1" t="s">
        <v>56</v>
      </c>
      <c r="AO218" s="1" t="s">
        <v>36</v>
      </c>
      <c r="AP218" s="1" t="s">
        <v>874</v>
      </c>
      <c r="AQ218" s="14">
        <v>45658</v>
      </c>
      <c r="AU218" s="14">
        <v>45799</v>
      </c>
      <c r="AV218" s="16">
        <v>0</v>
      </c>
      <c r="AW218" s="16">
        <v>0</v>
      </c>
      <c r="BA218" s="1" t="s">
        <v>911</v>
      </c>
      <c r="BB218" s="9">
        <v>1</v>
      </c>
      <c r="BC218" s="1" t="s">
        <v>862</v>
      </c>
      <c r="BD218" s="9" t="s">
        <v>807</v>
      </c>
      <c r="BE218" s="1" t="s">
        <v>863</v>
      </c>
      <c r="BF218" s="1" t="s">
        <v>32</v>
      </c>
      <c r="BG218" s="1" t="s">
        <v>864</v>
      </c>
      <c r="BH218" s="1" t="s">
        <v>865</v>
      </c>
      <c r="BI218" s="1" t="s">
        <v>916</v>
      </c>
      <c r="BJ218" s="21" t="str">
        <f t="shared" si="3"/>
        <v>FIXO</v>
      </c>
    </row>
    <row r="219" spans="1:62" x14ac:dyDescent="0.25">
      <c r="A219" s="7">
        <v>5</v>
      </c>
      <c r="B219" s="1" t="s">
        <v>71</v>
      </c>
      <c r="C219" s="8">
        <v>5</v>
      </c>
      <c r="D219" s="9" t="s">
        <v>807</v>
      </c>
      <c r="E219" s="10">
        <v>14633</v>
      </c>
      <c r="F219" s="11" t="s">
        <v>1616</v>
      </c>
      <c r="G219" s="1" t="s">
        <v>41</v>
      </c>
      <c r="H219" s="13" t="str">
        <f>VLOOKUP(AP219,[1]Listas!A:B,2,0)</f>
        <v xml:space="preserve">FESP </v>
      </c>
      <c r="I219" s="12" t="s">
        <v>38</v>
      </c>
      <c r="J219" s="12"/>
      <c r="K219" s="1" t="s">
        <v>32</v>
      </c>
      <c r="L219" s="1" t="s">
        <v>79</v>
      </c>
      <c r="M219" s="1" t="s">
        <v>375</v>
      </c>
      <c r="N219" s="14">
        <v>38382</v>
      </c>
      <c r="O219" s="1" t="s">
        <v>855</v>
      </c>
      <c r="P219" s="1" t="s">
        <v>856</v>
      </c>
      <c r="Q219" s="15" t="s">
        <v>807</v>
      </c>
      <c r="R219" s="1" t="s">
        <v>857</v>
      </c>
      <c r="S219" s="1" t="s">
        <v>868</v>
      </c>
      <c r="T219" s="1" t="s">
        <v>869</v>
      </c>
      <c r="U219" s="9" t="s">
        <v>814</v>
      </c>
      <c r="V219" s="1" t="s">
        <v>815</v>
      </c>
      <c r="W219" s="1" t="s">
        <v>871</v>
      </c>
      <c r="X219" s="1" t="s">
        <v>34</v>
      </c>
      <c r="Y219" s="14">
        <v>45265</v>
      </c>
      <c r="Z219" s="9" t="s">
        <v>817</v>
      </c>
      <c r="AB219" s="14">
        <v>45264</v>
      </c>
      <c r="AC219" s="9" t="s">
        <v>817</v>
      </c>
      <c r="AD219" s="9" t="s">
        <v>818</v>
      </c>
      <c r="AE219" s="1" t="s">
        <v>819</v>
      </c>
      <c r="AF219" s="14" t="s">
        <v>820</v>
      </c>
      <c r="AG219" s="9" t="s">
        <v>821</v>
      </c>
      <c r="AH219" s="1" t="s">
        <v>9</v>
      </c>
      <c r="AI219" s="9" t="s">
        <v>10</v>
      </c>
      <c r="AJ219" s="1" t="s">
        <v>11</v>
      </c>
      <c r="AK219" s="1" t="s">
        <v>1581</v>
      </c>
      <c r="AL219" s="1" t="s">
        <v>919</v>
      </c>
      <c r="AM219" s="9">
        <v>11377</v>
      </c>
      <c r="AN219" s="1" t="s">
        <v>56</v>
      </c>
      <c r="AO219" s="1" t="s">
        <v>36</v>
      </c>
      <c r="AP219" s="1" t="s">
        <v>874</v>
      </c>
      <c r="AQ219" s="14">
        <v>45658</v>
      </c>
      <c r="AU219" s="14">
        <v>45799</v>
      </c>
      <c r="AV219" s="16">
        <v>0</v>
      </c>
      <c r="AW219" s="16">
        <v>0</v>
      </c>
      <c r="BA219" s="1" t="s">
        <v>911</v>
      </c>
      <c r="BB219" s="9">
        <v>7</v>
      </c>
      <c r="BC219" s="1" t="s">
        <v>826</v>
      </c>
      <c r="BD219" s="9" t="s">
        <v>807</v>
      </c>
      <c r="BE219" s="1" t="s">
        <v>863</v>
      </c>
      <c r="BF219" s="1" t="s">
        <v>32</v>
      </c>
      <c r="BG219" s="1" t="s">
        <v>864</v>
      </c>
      <c r="BH219" s="1" t="s">
        <v>865</v>
      </c>
      <c r="BI219" s="1" t="s">
        <v>916</v>
      </c>
      <c r="BJ219" s="21" t="str">
        <f t="shared" si="3"/>
        <v>FIXO</v>
      </c>
    </row>
    <row r="220" spans="1:62" x14ac:dyDescent="0.25">
      <c r="A220" s="7">
        <v>5</v>
      </c>
      <c r="B220" s="1" t="s">
        <v>71</v>
      </c>
      <c r="C220" s="8">
        <v>5</v>
      </c>
      <c r="D220" s="9" t="s">
        <v>807</v>
      </c>
      <c r="E220" s="10">
        <v>14808</v>
      </c>
      <c r="F220" s="11" t="s">
        <v>1617</v>
      </c>
      <c r="G220" s="1" t="s">
        <v>41</v>
      </c>
      <c r="H220" s="13" t="str">
        <f>VLOOKUP(AP220,[1]Listas!A:B,2,0)</f>
        <v xml:space="preserve">FESP </v>
      </c>
      <c r="I220" s="1" t="s">
        <v>38</v>
      </c>
      <c r="J220" s="1" t="s">
        <v>37</v>
      </c>
      <c r="K220" s="12"/>
      <c r="L220" s="1" t="s">
        <v>490</v>
      </c>
      <c r="M220" s="1" t="s">
        <v>376</v>
      </c>
      <c r="N220" s="14">
        <v>33026</v>
      </c>
      <c r="O220" s="1" t="s">
        <v>855</v>
      </c>
      <c r="P220" s="1" t="s">
        <v>856</v>
      </c>
      <c r="Q220" s="15" t="s">
        <v>807</v>
      </c>
      <c r="R220" s="1" t="s">
        <v>857</v>
      </c>
      <c r="S220" s="1" t="s">
        <v>868</v>
      </c>
      <c r="T220" s="1" t="s">
        <v>869</v>
      </c>
      <c r="U220" s="9" t="s">
        <v>868</v>
      </c>
      <c r="V220" s="1" t="s">
        <v>913</v>
      </c>
      <c r="W220" s="1" t="s">
        <v>871</v>
      </c>
      <c r="X220" s="1" t="s">
        <v>34</v>
      </c>
      <c r="Y220" s="14">
        <v>45309</v>
      </c>
      <c r="Z220" s="9" t="s">
        <v>817</v>
      </c>
      <c r="AB220" s="14">
        <v>44940</v>
      </c>
      <c r="AC220" s="9" t="s">
        <v>817</v>
      </c>
      <c r="AD220" s="9" t="s">
        <v>818</v>
      </c>
      <c r="AE220" s="1" t="s">
        <v>819</v>
      </c>
      <c r="AF220" s="14" t="s">
        <v>820</v>
      </c>
      <c r="AG220" s="9" t="s">
        <v>821</v>
      </c>
      <c r="AH220" s="1" t="s">
        <v>9</v>
      </c>
      <c r="AI220" s="9" t="s">
        <v>10</v>
      </c>
      <c r="AJ220" s="1" t="s">
        <v>11</v>
      </c>
      <c r="AK220" s="1" t="s">
        <v>1618</v>
      </c>
      <c r="AL220" s="1" t="s">
        <v>1155</v>
      </c>
      <c r="AM220" s="9">
        <v>11385</v>
      </c>
      <c r="AN220" s="1" t="s">
        <v>191</v>
      </c>
      <c r="AO220" s="1" t="s">
        <v>36</v>
      </c>
      <c r="AP220" s="1" t="s">
        <v>874</v>
      </c>
      <c r="AQ220" s="14">
        <v>45658</v>
      </c>
      <c r="AU220" s="14">
        <v>45799</v>
      </c>
      <c r="AV220" s="16">
        <v>0</v>
      </c>
      <c r="AW220" s="16">
        <v>0</v>
      </c>
      <c r="BA220" s="1" t="s">
        <v>911</v>
      </c>
      <c r="BB220" s="9">
        <v>1</v>
      </c>
      <c r="BC220" s="1" t="s">
        <v>862</v>
      </c>
      <c r="BD220" s="9" t="s">
        <v>807</v>
      </c>
      <c r="BE220" s="1" t="s">
        <v>875</v>
      </c>
      <c r="BF220" s="1" t="s">
        <v>37</v>
      </c>
      <c r="BG220" s="1" t="s">
        <v>876</v>
      </c>
      <c r="BH220" s="1" t="s">
        <v>877</v>
      </c>
      <c r="BI220" s="1" t="s">
        <v>878</v>
      </c>
      <c r="BJ220" s="21" t="str">
        <f t="shared" si="3"/>
        <v>FIXO</v>
      </c>
    </row>
    <row r="221" spans="1:62" x14ac:dyDescent="0.25">
      <c r="A221" s="7">
        <v>5</v>
      </c>
      <c r="B221" s="1" t="s">
        <v>71</v>
      </c>
      <c r="C221" s="8">
        <v>5</v>
      </c>
      <c r="D221" s="9" t="s">
        <v>807</v>
      </c>
      <c r="E221" s="10">
        <v>14869</v>
      </c>
      <c r="F221" s="11" t="s">
        <v>1619</v>
      </c>
      <c r="G221" s="12" t="s">
        <v>71</v>
      </c>
      <c r="H221" s="13" t="str">
        <f>VLOOKUP(AP221,[1]Listas!A:B,2,0)</f>
        <v xml:space="preserve">FESP </v>
      </c>
      <c r="I221" s="1" t="s">
        <v>27</v>
      </c>
      <c r="J221" s="12"/>
      <c r="K221" s="1" t="s">
        <v>21</v>
      </c>
      <c r="L221" s="12"/>
      <c r="M221" s="1" t="s">
        <v>377</v>
      </c>
      <c r="N221" s="14">
        <v>31001</v>
      </c>
      <c r="O221" s="1" t="s">
        <v>809</v>
      </c>
      <c r="P221" s="1" t="s">
        <v>810</v>
      </c>
      <c r="Q221" s="15" t="s">
        <v>807</v>
      </c>
      <c r="R221" s="1" t="s">
        <v>857</v>
      </c>
      <c r="S221" s="1" t="s">
        <v>868</v>
      </c>
      <c r="T221" s="1" t="s">
        <v>869</v>
      </c>
      <c r="U221" s="9" t="s">
        <v>811</v>
      </c>
      <c r="V221" s="1" t="s">
        <v>870</v>
      </c>
      <c r="W221" s="1" t="s">
        <v>1220</v>
      </c>
      <c r="X221" s="1" t="s">
        <v>220</v>
      </c>
      <c r="Y221" s="14">
        <v>45002</v>
      </c>
      <c r="Z221" s="9" t="s">
        <v>817</v>
      </c>
      <c r="AB221" s="14">
        <v>45001</v>
      </c>
      <c r="AC221" s="9" t="s">
        <v>817</v>
      </c>
      <c r="AD221" s="9" t="s">
        <v>818</v>
      </c>
      <c r="AE221" s="1" t="s">
        <v>819</v>
      </c>
      <c r="AF221" s="14" t="s">
        <v>820</v>
      </c>
      <c r="AG221" s="9" t="s">
        <v>821</v>
      </c>
      <c r="AH221" s="1" t="s">
        <v>9</v>
      </c>
      <c r="AI221" s="9" t="s">
        <v>10</v>
      </c>
      <c r="AJ221" s="1" t="s">
        <v>11</v>
      </c>
      <c r="AK221" s="1" t="s">
        <v>1566</v>
      </c>
      <c r="AL221" s="1" t="s">
        <v>1460</v>
      </c>
      <c r="AM221" s="9">
        <v>11318</v>
      </c>
      <c r="AN221" s="1" t="s">
        <v>122</v>
      </c>
      <c r="AO221" s="1" t="s">
        <v>94</v>
      </c>
      <c r="AP221" s="1" t="s">
        <v>982</v>
      </c>
      <c r="AQ221" s="14">
        <v>45658</v>
      </c>
      <c r="AU221" s="14">
        <v>45799</v>
      </c>
      <c r="AV221" s="16">
        <v>0</v>
      </c>
      <c r="AW221" s="16">
        <v>0</v>
      </c>
      <c r="BA221" s="1" t="s">
        <v>911</v>
      </c>
      <c r="BB221" s="9">
        <v>7</v>
      </c>
      <c r="BC221" s="1" t="s">
        <v>826</v>
      </c>
      <c r="BD221" s="9" t="s">
        <v>807</v>
      </c>
      <c r="BE221" s="1" t="s">
        <v>1160</v>
      </c>
      <c r="BF221" s="1" t="s">
        <v>21</v>
      </c>
      <c r="BG221" s="1" t="s">
        <v>846</v>
      </c>
      <c r="BH221" s="1" t="s">
        <v>847</v>
      </c>
      <c r="BI221" s="1" t="s">
        <v>1055</v>
      </c>
      <c r="BJ221" s="21" t="str">
        <f t="shared" si="3"/>
        <v>FIXO</v>
      </c>
    </row>
    <row r="222" spans="1:62" x14ac:dyDescent="0.25">
      <c r="A222" s="7">
        <v>5</v>
      </c>
      <c r="B222" s="1" t="s">
        <v>71</v>
      </c>
      <c r="C222" s="8">
        <v>5</v>
      </c>
      <c r="D222" s="9" t="s">
        <v>807</v>
      </c>
      <c r="E222" s="10">
        <v>15403</v>
      </c>
      <c r="F222" s="11" t="s">
        <v>1620</v>
      </c>
      <c r="G222" s="12" t="s">
        <v>71</v>
      </c>
      <c r="H222" s="13" t="str">
        <f>VLOOKUP(AP222,[1]Listas!A:B,2,0)</f>
        <v xml:space="preserve">FESP </v>
      </c>
      <c r="I222" s="1" t="s">
        <v>27</v>
      </c>
      <c r="J222" s="12"/>
      <c r="K222" s="1" t="s">
        <v>248</v>
      </c>
      <c r="L222" s="12"/>
      <c r="M222" s="1" t="s">
        <v>378</v>
      </c>
      <c r="N222" s="14">
        <v>24688</v>
      </c>
      <c r="O222" s="1" t="s">
        <v>855</v>
      </c>
      <c r="P222" s="1" t="s">
        <v>856</v>
      </c>
      <c r="Q222" s="15" t="s">
        <v>807</v>
      </c>
      <c r="R222" s="1" t="s">
        <v>857</v>
      </c>
      <c r="S222" s="1" t="s">
        <v>807</v>
      </c>
      <c r="T222" s="1" t="s">
        <v>813</v>
      </c>
      <c r="U222" s="9" t="s">
        <v>868</v>
      </c>
      <c r="V222" s="1" t="s">
        <v>913</v>
      </c>
      <c r="W222" s="1" t="s">
        <v>979</v>
      </c>
      <c r="X222" s="1" t="s">
        <v>92</v>
      </c>
      <c r="Y222" s="14">
        <v>45098</v>
      </c>
      <c r="Z222" s="9" t="s">
        <v>817</v>
      </c>
      <c r="AB222" s="14">
        <v>45097</v>
      </c>
      <c r="AC222" s="9" t="s">
        <v>817</v>
      </c>
      <c r="AD222" s="9" t="s">
        <v>818</v>
      </c>
      <c r="AE222" s="1" t="s">
        <v>819</v>
      </c>
      <c r="AF222" s="14" t="s">
        <v>820</v>
      </c>
      <c r="AG222" s="9" t="s">
        <v>821</v>
      </c>
      <c r="AH222" s="1" t="s">
        <v>9</v>
      </c>
      <c r="AI222" s="9" t="s">
        <v>10</v>
      </c>
      <c r="AJ222" s="1" t="s">
        <v>11</v>
      </c>
      <c r="AK222" s="1" t="s">
        <v>1621</v>
      </c>
      <c r="AL222" s="1" t="s">
        <v>1622</v>
      </c>
      <c r="AM222" s="9">
        <v>11318</v>
      </c>
      <c r="AN222" s="1" t="s">
        <v>122</v>
      </c>
      <c r="AO222" s="1" t="s">
        <v>94</v>
      </c>
      <c r="AP222" s="1" t="s">
        <v>982</v>
      </c>
      <c r="AQ222" s="14">
        <v>45658</v>
      </c>
      <c r="AU222" s="14">
        <v>45799</v>
      </c>
      <c r="AV222" s="16">
        <v>0</v>
      </c>
      <c r="AW222" s="16">
        <v>0</v>
      </c>
      <c r="BA222" s="1" t="s">
        <v>911</v>
      </c>
      <c r="BB222" s="9">
        <v>1</v>
      </c>
      <c r="BC222" s="1" t="s">
        <v>862</v>
      </c>
      <c r="BD222" s="9" t="s">
        <v>807</v>
      </c>
      <c r="BE222" s="1" t="s">
        <v>1160</v>
      </c>
      <c r="BF222" s="23" t="s">
        <v>21</v>
      </c>
      <c r="BG222" s="1" t="s">
        <v>846</v>
      </c>
      <c r="BH222" s="1" t="s">
        <v>847</v>
      </c>
      <c r="BI222" s="23" t="s">
        <v>853</v>
      </c>
      <c r="BJ222" s="21" t="str">
        <f t="shared" si="3"/>
        <v>FIXO</v>
      </c>
    </row>
    <row r="223" spans="1:62" x14ac:dyDescent="0.25">
      <c r="A223" s="7">
        <v>5</v>
      </c>
      <c r="B223" s="1" t="s">
        <v>71</v>
      </c>
      <c r="C223" s="8">
        <v>5</v>
      </c>
      <c r="D223" s="9" t="s">
        <v>807</v>
      </c>
      <c r="E223" s="10">
        <v>15489</v>
      </c>
      <c r="F223" s="11" t="s">
        <v>1623</v>
      </c>
      <c r="G223" s="1" t="s">
        <v>41</v>
      </c>
      <c r="H223" s="13" t="str">
        <f>VLOOKUP(AP223,[1]Listas!A:B,2,0)</f>
        <v xml:space="preserve">FESP </v>
      </c>
      <c r="I223" s="1" t="s">
        <v>38</v>
      </c>
      <c r="J223" s="12"/>
      <c r="K223" s="12"/>
      <c r="L223" s="1" t="s">
        <v>38</v>
      </c>
      <c r="M223" s="1" t="s">
        <v>379</v>
      </c>
      <c r="N223" s="14">
        <v>37843</v>
      </c>
      <c r="O223" s="1" t="s">
        <v>855</v>
      </c>
      <c r="P223" s="1" t="s">
        <v>856</v>
      </c>
      <c r="Q223" s="15" t="s">
        <v>807</v>
      </c>
      <c r="R223" s="1" t="s">
        <v>857</v>
      </c>
      <c r="S223" s="1" t="s">
        <v>868</v>
      </c>
      <c r="T223" s="1" t="s">
        <v>869</v>
      </c>
      <c r="U223" s="9" t="s">
        <v>814</v>
      </c>
      <c r="V223" s="1" t="s">
        <v>815</v>
      </c>
      <c r="W223" s="1" t="s">
        <v>979</v>
      </c>
      <c r="X223" s="1" t="s">
        <v>92</v>
      </c>
      <c r="Y223" s="14">
        <v>45113</v>
      </c>
      <c r="Z223" s="9" t="s">
        <v>817</v>
      </c>
      <c r="AB223" s="14">
        <v>45112</v>
      </c>
      <c r="AC223" s="9" t="s">
        <v>817</v>
      </c>
      <c r="AD223" s="9" t="s">
        <v>818</v>
      </c>
      <c r="AE223" s="1" t="s">
        <v>819</v>
      </c>
      <c r="AF223" s="14" t="s">
        <v>820</v>
      </c>
      <c r="AG223" s="9" t="s">
        <v>821</v>
      </c>
      <c r="AH223" s="1" t="s">
        <v>9</v>
      </c>
      <c r="AI223" s="9" t="s">
        <v>10</v>
      </c>
      <c r="AJ223" s="1" t="s">
        <v>11</v>
      </c>
      <c r="AK223" s="1" t="s">
        <v>1624</v>
      </c>
      <c r="AL223" s="1" t="s">
        <v>1502</v>
      </c>
      <c r="AM223" s="9">
        <v>11389</v>
      </c>
      <c r="AN223" s="1" t="s">
        <v>332</v>
      </c>
      <c r="AO223" s="1" t="s">
        <v>170</v>
      </c>
      <c r="AP223" s="1" t="s">
        <v>1126</v>
      </c>
      <c r="AQ223" s="14">
        <v>45778</v>
      </c>
      <c r="AU223" s="14">
        <v>45799</v>
      </c>
      <c r="AV223" s="16">
        <v>0</v>
      </c>
      <c r="AW223" s="16">
        <v>0</v>
      </c>
      <c r="BA223" s="1" t="s">
        <v>911</v>
      </c>
      <c r="BB223" s="9">
        <v>1</v>
      </c>
      <c r="BC223" s="1" t="s">
        <v>862</v>
      </c>
      <c r="BD223" s="9" t="s">
        <v>807</v>
      </c>
      <c r="BE223" s="1" t="s">
        <v>893</v>
      </c>
      <c r="BF223" s="1" t="s">
        <v>38</v>
      </c>
      <c r="BG223" s="1" t="s">
        <v>883</v>
      </c>
      <c r="BH223" s="1" t="s">
        <v>884</v>
      </c>
      <c r="BI223" s="20" t="s">
        <v>983</v>
      </c>
      <c r="BJ223" s="21" t="str">
        <f t="shared" si="3"/>
        <v>FIXO</v>
      </c>
    </row>
    <row r="224" spans="1:62" x14ac:dyDescent="0.25">
      <c r="A224" s="7">
        <v>5</v>
      </c>
      <c r="B224" s="1" t="s">
        <v>71</v>
      </c>
      <c r="C224" s="8">
        <v>8</v>
      </c>
      <c r="D224" s="9" t="s">
        <v>807</v>
      </c>
      <c r="E224" s="10">
        <v>15600</v>
      </c>
      <c r="F224" s="11" t="s">
        <v>1625</v>
      </c>
      <c r="G224" s="12" t="s">
        <v>71</v>
      </c>
      <c r="H224" s="13" t="str">
        <f>VLOOKUP(AP224,[1]Listas!A:B,2,0)</f>
        <v xml:space="preserve">FNOH </v>
      </c>
      <c r="I224" s="12"/>
      <c r="J224" s="12"/>
      <c r="K224" s="12"/>
      <c r="L224" s="12"/>
      <c r="M224" s="1" t="s">
        <v>380</v>
      </c>
      <c r="N224" s="14">
        <v>26923</v>
      </c>
      <c r="O224" s="1" t="s">
        <v>855</v>
      </c>
      <c r="P224" s="1" t="s">
        <v>856</v>
      </c>
      <c r="Q224" s="15" t="s">
        <v>807</v>
      </c>
      <c r="R224" s="1" t="s">
        <v>857</v>
      </c>
      <c r="S224" s="1" t="s">
        <v>868</v>
      </c>
      <c r="T224" s="1" t="s">
        <v>869</v>
      </c>
      <c r="U224" s="9" t="s">
        <v>811</v>
      </c>
      <c r="V224" s="1" t="s">
        <v>870</v>
      </c>
      <c r="W224" s="1" t="s">
        <v>1626</v>
      </c>
      <c r="X224" s="1" t="s">
        <v>381</v>
      </c>
      <c r="Y224" s="14">
        <v>45407</v>
      </c>
      <c r="Z224" s="9" t="s">
        <v>817</v>
      </c>
      <c r="AB224" s="14">
        <v>45152</v>
      </c>
      <c r="AC224" s="9" t="s">
        <v>817</v>
      </c>
      <c r="AD224" s="9" t="s">
        <v>818</v>
      </c>
      <c r="AE224" s="1" t="s">
        <v>819</v>
      </c>
      <c r="AF224" s="14" t="s">
        <v>820</v>
      </c>
      <c r="AG224" s="9" t="s">
        <v>821</v>
      </c>
      <c r="AH224" s="1" t="s">
        <v>9</v>
      </c>
      <c r="AI224" s="9" t="s">
        <v>10</v>
      </c>
      <c r="AJ224" s="1" t="s">
        <v>11</v>
      </c>
      <c r="AK224" s="1" t="s">
        <v>1627</v>
      </c>
      <c r="AL224" s="1" t="s">
        <v>1628</v>
      </c>
      <c r="AM224" s="9">
        <v>11631</v>
      </c>
      <c r="AN224" s="1" t="s">
        <v>382</v>
      </c>
      <c r="AO224" s="1" t="s">
        <v>383</v>
      </c>
      <c r="AP224" s="1" t="s">
        <v>1629</v>
      </c>
      <c r="AQ224" s="14">
        <v>45658</v>
      </c>
      <c r="AU224" s="14">
        <v>45679</v>
      </c>
      <c r="AV224" s="16">
        <v>0</v>
      </c>
      <c r="AW224" s="16">
        <v>0</v>
      </c>
      <c r="BA224" s="1" t="s">
        <v>911</v>
      </c>
      <c r="BB224" s="9">
        <v>7</v>
      </c>
      <c r="BC224" s="1" t="s">
        <v>826</v>
      </c>
      <c r="BD224" s="9" t="s">
        <v>807</v>
      </c>
      <c r="BE224" s="1" t="s">
        <v>1630</v>
      </c>
      <c r="BF224" s="1" t="s">
        <v>384</v>
      </c>
      <c r="BG224" s="1" t="s">
        <v>1631</v>
      </c>
      <c r="BH224" s="1" t="s">
        <v>1632</v>
      </c>
      <c r="BI224" s="20" t="s">
        <v>888</v>
      </c>
      <c r="BJ224" s="21" t="str">
        <f t="shared" si="3"/>
        <v>FIXO</v>
      </c>
    </row>
    <row r="225" spans="1:62" x14ac:dyDescent="0.25">
      <c r="A225" s="7">
        <v>5</v>
      </c>
      <c r="B225" s="1" t="s">
        <v>71</v>
      </c>
      <c r="C225" s="8">
        <v>8</v>
      </c>
      <c r="D225" s="9" t="s">
        <v>807</v>
      </c>
      <c r="E225" s="10">
        <v>15614</v>
      </c>
      <c r="F225" s="11" t="s">
        <v>1633</v>
      </c>
      <c r="G225" s="12" t="s">
        <v>71</v>
      </c>
      <c r="H225" s="13" t="str">
        <f>VLOOKUP(AP225,[1]Listas!A:B,2,0)</f>
        <v xml:space="preserve">ERBR </v>
      </c>
      <c r="I225" s="1" t="s">
        <v>27</v>
      </c>
      <c r="J225" s="12"/>
      <c r="K225" s="12"/>
      <c r="L225" s="12"/>
      <c r="M225" s="1" t="s">
        <v>385</v>
      </c>
      <c r="N225" s="14">
        <v>29896</v>
      </c>
      <c r="O225" s="1" t="s">
        <v>809</v>
      </c>
      <c r="P225" s="1" t="s">
        <v>810</v>
      </c>
      <c r="Q225" s="15" t="s">
        <v>807</v>
      </c>
      <c r="R225" s="1" t="s">
        <v>857</v>
      </c>
      <c r="S225" s="1" t="s">
        <v>868</v>
      </c>
      <c r="T225" s="1" t="s">
        <v>869</v>
      </c>
      <c r="U225" s="9" t="s">
        <v>832</v>
      </c>
      <c r="V225" s="1" t="s">
        <v>833</v>
      </c>
      <c r="W225" s="1" t="s">
        <v>998</v>
      </c>
      <c r="X225" s="1" t="s">
        <v>104</v>
      </c>
      <c r="Y225" s="14">
        <v>45140</v>
      </c>
      <c r="Z225" s="9" t="s">
        <v>817</v>
      </c>
      <c r="AB225" s="14">
        <v>45139</v>
      </c>
      <c r="AC225" s="9" t="s">
        <v>817</v>
      </c>
      <c r="AD225" s="9" t="s">
        <v>818</v>
      </c>
      <c r="AE225" s="1" t="s">
        <v>819</v>
      </c>
      <c r="AF225" s="14" t="s">
        <v>820</v>
      </c>
      <c r="AG225" s="9" t="s">
        <v>821</v>
      </c>
      <c r="AH225" s="1" t="s">
        <v>9</v>
      </c>
      <c r="AI225" s="9" t="s">
        <v>10</v>
      </c>
      <c r="AJ225" s="1" t="s">
        <v>11</v>
      </c>
      <c r="AK225" s="1" t="s">
        <v>1634</v>
      </c>
      <c r="AL225" s="1" t="s">
        <v>1635</v>
      </c>
      <c r="AM225" s="9">
        <v>10301</v>
      </c>
      <c r="AN225" s="1" t="s">
        <v>83</v>
      </c>
      <c r="AO225" s="1" t="s">
        <v>386</v>
      </c>
      <c r="AP225" s="1" t="s">
        <v>1636</v>
      </c>
      <c r="AQ225" s="14">
        <v>45658</v>
      </c>
      <c r="AU225" s="14">
        <v>45799</v>
      </c>
      <c r="AV225" s="16">
        <v>0</v>
      </c>
      <c r="AW225" s="16">
        <v>0</v>
      </c>
      <c r="BA225" s="1" t="s">
        <v>911</v>
      </c>
      <c r="BB225" s="9">
        <v>9</v>
      </c>
      <c r="BC225" s="1" t="s">
        <v>849</v>
      </c>
      <c r="BD225" s="9" t="s">
        <v>807</v>
      </c>
      <c r="BE225" s="1" t="s">
        <v>940</v>
      </c>
      <c r="BF225" s="1" t="s">
        <v>71</v>
      </c>
      <c r="BG225" s="1" t="s">
        <v>941</v>
      </c>
      <c r="BH225" s="1" t="s">
        <v>942</v>
      </c>
      <c r="BI225" s="20" t="s">
        <v>853</v>
      </c>
      <c r="BJ225" s="21" t="str">
        <f t="shared" si="3"/>
        <v>FIXO</v>
      </c>
    </row>
    <row r="226" spans="1:62" x14ac:dyDescent="0.25">
      <c r="A226" s="7">
        <v>5</v>
      </c>
      <c r="B226" s="1" t="s">
        <v>71</v>
      </c>
      <c r="C226" s="8">
        <v>8</v>
      </c>
      <c r="D226" s="9" t="s">
        <v>807</v>
      </c>
      <c r="E226" s="10">
        <v>15743</v>
      </c>
      <c r="F226" s="11" t="s">
        <v>1637</v>
      </c>
      <c r="G226" s="12" t="s">
        <v>71</v>
      </c>
      <c r="H226" s="13" t="str">
        <f>VLOOKUP(AP226,[1]Listas!A:B,2,0)</f>
        <v xml:space="preserve">FNOH </v>
      </c>
      <c r="I226" s="1" t="s">
        <v>380</v>
      </c>
      <c r="J226" s="12"/>
      <c r="K226" s="12"/>
      <c r="L226" s="12"/>
      <c r="M226" s="1" t="s">
        <v>387</v>
      </c>
      <c r="N226" s="14">
        <v>34001</v>
      </c>
      <c r="O226" s="1" t="s">
        <v>855</v>
      </c>
      <c r="P226" s="1" t="s">
        <v>856</v>
      </c>
      <c r="Q226" s="15" t="s">
        <v>807</v>
      </c>
      <c r="R226" s="1" t="s">
        <v>857</v>
      </c>
      <c r="S226" s="1" t="s">
        <v>868</v>
      </c>
      <c r="T226" s="1" t="s">
        <v>869</v>
      </c>
      <c r="U226" s="9" t="s">
        <v>811</v>
      </c>
      <c r="V226" s="1" t="s">
        <v>870</v>
      </c>
      <c r="W226" s="1" t="s">
        <v>1638</v>
      </c>
      <c r="X226" s="1" t="s">
        <v>388</v>
      </c>
      <c r="Y226" s="14">
        <v>45149</v>
      </c>
      <c r="Z226" s="9" t="s">
        <v>817</v>
      </c>
      <c r="AB226" s="14">
        <v>45148</v>
      </c>
      <c r="AC226" s="9" t="s">
        <v>817</v>
      </c>
      <c r="AD226" s="9" t="s">
        <v>818</v>
      </c>
      <c r="AE226" s="1" t="s">
        <v>819</v>
      </c>
      <c r="AF226" s="14" t="s">
        <v>820</v>
      </c>
      <c r="AG226" s="9" t="s">
        <v>821</v>
      </c>
      <c r="AH226" s="1" t="s">
        <v>9</v>
      </c>
      <c r="AI226" s="9" t="s">
        <v>10</v>
      </c>
      <c r="AJ226" s="1" t="s">
        <v>11</v>
      </c>
      <c r="AK226" s="1" t="s">
        <v>1639</v>
      </c>
      <c r="AL226" s="1" t="s">
        <v>1640</v>
      </c>
      <c r="AM226" s="9">
        <v>11648</v>
      </c>
      <c r="AN226" s="1" t="s">
        <v>389</v>
      </c>
      <c r="AO226" s="1" t="s">
        <v>390</v>
      </c>
      <c r="AP226" s="1" t="s">
        <v>1641</v>
      </c>
      <c r="AQ226" s="14">
        <v>45658</v>
      </c>
      <c r="AU226" s="14">
        <v>45679</v>
      </c>
      <c r="AV226" s="16">
        <v>0</v>
      </c>
      <c r="AW226" s="16">
        <v>0</v>
      </c>
      <c r="BA226" s="1" t="s">
        <v>911</v>
      </c>
      <c r="BB226" s="9">
        <v>7</v>
      </c>
      <c r="BC226" s="1" t="s">
        <v>826</v>
      </c>
      <c r="BD226" s="9" t="s">
        <v>807</v>
      </c>
      <c r="BE226" s="1" t="s">
        <v>1642</v>
      </c>
      <c r="BF226" s="1" t="s">
        <v>380</v>
      </c>
      <c r="BG226" s="1" t="s">
        <v>1627</v>
      </c>
      <c r="BH226" s="1" t="s">
        <v>1628</v>
      </c>
      <c r="BI226" s="20" t="s">
        <v>1643</v>
      </c>
      <c r="BJ226" s="21" t="str">
        <f t="shared" si="3"/>
        <v>FIXO</v>
      </c>
    </row>
    <row r="227" spans="1:62" x14ac:dyDescent="0.25">
      <c r="A227" s="7">
        <v>5</v>
      </c>
      <c r="B227" s="1" t="s">
        <v>71</v>
      </c>
      <c r="C227" s="8">
        <v>8</v>
      </c>
      <c r="D227" s="9" t="s">
        <v>807</v>
      </c>
      <c r="E227" s="10">
        <v>15745</v>
      </c>
      <c r="F227" s="11" t="s">
        <v>1644</v>
      </c>
      <c r="G227" s="12" t="s">
        <v>71</v>
      </c>
      <c r="H227" s="13" t="str">
        <f>VLOOKUP(AP227,[1]Listas!A:B,2,0)</f>
        <v xml:space="preserve">FNOH </v>
      </c>
      <c r="I227" s="1" t="s">
        <v>362</v>
      </c>
      <c r="J227" s="12"/>
      <c r="K227" s="12"/>
      <c r="L227" s="12"/>
      <c r="M227" s="1" t="s">
        <v>391</v>
      </c>
      <c r="N227" s="14">
        <v>35917</v>
      </c>
      <c r="O227" s="1" t="s">
        <v>855</v>
      </c>
      <c r="P227" s="1" t="s">
        <v>856</v>
      </c>
      <c r="Q227" s="15" t="s">
        <v>807</v>
      </c>
      <c r="R227" s="1" t="s">
        <v>857</v>
      </c>
      <c r="S227" s="1" t="s">
        <v>868</v>
      </c>
      <c r="T227" s="1" t="s">
        <v>869</v>
      </c>
      <c r="U227" s="9" t="s">
        <v>814</v>
      </c>
      <c r="V227" s="1" t="s">
        <v>815</v>
      </c>
      <c r="W227" s="1" t="s">
        <v>1638</v>
      </c>
      <c r="X227" s="1" t="s">
        <v>388</v>
      </c>
      <c r="Y227" s="14">
        <v>45149</v>
      </c>
      <c r="Z227" s="9" t="s">
        <v>817</v>
      </c>
      <c r="AB227" s="14">
        <v>45148</v>
      </c>
      <c r="AC227" s="9" t="s">
        <v>817</v>
      </c>
      <c r="AD227" s="9" t="s">
        <v>818</v>
      </c>
      <c r="AE227" s="1" t="s">
        <v>819</v>
      </c>
      <c r="AF227" s="14" t="s">
        <v>820</v>
      </c>
      <c r="AG227" s="9" t="s">
        <v>821</v>
      </c>
      <c r="AH227" s="1" t="s">
        <v>9</v>
      </c>
      <c r="AI227" s="9" t="s">
        <v>10</v>
      </c>
      <c r="AJ227" s="1" t="s">
        <v>11</v>
      </c>
      <c r="AK227" s="1" t="s">
        <v>1639</v>
      </c>
      <c r="AL227" s="1" t="s">
        <v>1640</v>
      </c>
      <c r="AM227" s="9">
        <v>11648</v>
      </c>
      <c r="AN227" s="1" t="s">
        <v>389</v>
      </c>
      <c r="AO227" s="1" t="s">
        <v>390</v>
      </c>
      <c r="AP227" s="1" t="s">
        <v>1641</v>
      </c>
      <c r="AQ227" s="14">
        <v>45658</v>
      </c>
      <c r="AU227" s="14">
        <v>45679</v>
      </c>
      <c r="AV227" s="16">
        <v>0</v>
      </c>
      <c r="AW227" s="16">
        <v>0</v>
      </c>
      <c r="BA227" s="1" t="s">
        <v>911</v>
      </c>
      <c r="BB227" s="9">
        <v>7</v>
      </c>
      <c r="BC227" s="1" t="s">
        <v>826</v>
      </c>
      <c r="BD227" s="9" t="s">
        <v>807</v>
      </c>
      <c r="BE227" s="1" t="s">
        <v>1642</v>
      </c>
      <c r="BF227" s="1" t="s">
        <v>380</v>
      </c>
      <c r="BG227" s="1" t="s">
        <v>1627</v>
      </c>
      <c r="BH227" s="1" t="s">
        <v>1628</v>
      </c>
      <c r="BI227" s="20" t="s">
        <v>1645</v>
      </c>
      <c r="BJ227" s="21" t="str">
        <f t="shared" si="3"/>
        <v>FIXO</v>
      </c>
    </row>
    <row r="228" spans="1:62" x14ac:dyDescent="0.25">
      <c r="A228" s="7">
        <v>5</v>
      </c>
      <c r="B228" s="1" t="s">
        <v>71</v>
      </c>
      <c r="C228" s="8">
        <v>8</v>
      </c>
      <c r="D228" s="9" t="s">
        <v>807</v>
      </c>
      <c r="E228" s="10">
        <v>15746</v>
      </c>
      <c r="F228" s="11" t="s">
        <v>1646</v>
      </c>
      <c r="G228" s="12" t="s">
        <v>71</v>
      </c>
      <c r="H228" s="13" t="str">
        <f>VLOOKUP(AP228,[1]Listas!A:B,2,0)</f>
        <v xml:space="preserve">FNOH </v>
      </c>
      <c r="I228" s="1" t="s">
        <v>380</v>
      </c>
      <c r="J228" s="12"/>
      <c r="K228" s="12"/>
      <c r="L228" s="12"/>
      <c r="M228" s="1" t="s">
        <v>392</v>
      </c>
      <c r="N228" s="14">
        <v>37487</v>
      </c>
      <c r="O228" s="1" t="s">
        <v>855</v>
      </c>
      <c r="P228" s="1" t="s">
        <v>856</v>
      </c>
      <c r="Q228" s="15" t="s">
        <v>807</v>
      </c>
      <c r="R228" s="1" t="s">
        <v>857</v>
      </c>
      <c r="S228" s="1" t="s">
        <v>868</v>
      </c>
      <c r="T228" s="1" t="s">
        <v>869</v>
      </c>
      <c r="U228" s="9" t="s">
        <v>814</v>
      </c>
      <c r="V228" s="1" t="s">
        <v>815</v>
      </c>
      <c r="W228" s="1" t="s">
        <v>1638</v>
      </c>
      <c r="X228" s="1" t="s">
        <v>388</v>
      </c>
      <c r="Y228" s="14">
        <v>45149</v>
      </c>
      <c r="Z228" s="9" t="s">
        <v>817</v>
      </c>
      <c r="AB228" s="14">
        <v>45148</v>
      </c>
      <c r="AC228" s="9" t="s">
        <v>817</v>
      </c>
      <c r="AD228" s="9" t="s">
        <v>818</v>
      </c>
      <c r="AE228" s="1" t="s">
        <v>819</v>
      </c>
      <c r="AF228" s="14" t="s">
        <v>820</v>
      </c>
      <c r="AG228" s="9" t="s">
        <v>821</v>
      </c>
      <c r="AH228" s="1" t="s">
        <v>9</v>
      </c>
      <c r="AI228" s="9" t="s">
        <v>10</v>
      </c>
      <c r="AJ228" s="1" t="s">
        <v>11</v>
      </c>
      <c r="AK228" s="1" t="s">
        <v>1639</v>
      </c>
      <c r="AL228" s="1" t="s">
        <v>1640</v>
      </c>
      <c r="AM228" s="9">
        <v>11648</v>
      </c>
      <c r="AN228" s="1" t="s">
        <v>389</v>
      </c>
      <c r="AO228" s="1" t="s">
        <v>390</v>
      </c>
      <c r="AP228" s="1" t="s">
        <v>1641</v>
      </c>
      <c r="AQ228" s="14">
        <v>45658</v>
      </c>
      <c r="AU228" s="14">
        <v>45679</v>
      </c>
      <c r="AV228" s="16">
        <v>0</v>
      </c>
      <c r="AW228" s="16">
        <v>0</v>
      </c>
      <c r="BA228" s="1" t="s">
        <v>911</v>
      </c>
      <c r="BB228" s="9">
        <v>7</v>
      </c>
      <c r="BC228" s="1" t="s">
        <v>826</v>
      </c>
      <c r="BD228" s="9" t="s">
        <v>807</v>
      </c>
      <c r="BE228" s="1" t="s">
        <v>1642</v>
      </c>
      <c r="BF228" s="1" t="s">
        <v>380</v>
      </c>
      <c r="BG228" s="1" t="s">
        <v>1627</v>
      </c>
      <c r="BH228" s="1" t="s">
        <v>1628</v>
      </c>
      <c r="BI228" s="20" t="s">
        <v>1647</v>
      </c>
      <c r="BJ228" s="21" t="str">
        <f t="shared" si="3"/>
        <v>FIXO</v>
      </c>
    </row>
    <row r="229" spans="1:62" x14ac:dyDescent="0.25">
      <c r="A229" s="7">
        <v>5</v>
      </c>
      <c r="B229" s="1" t="s">
        <v>71</v>
      </c>
      <c r="C229" s="8">
        <v>8</v>
      </c>
      <c r="D229" s="9" t="s">
        <v>807</v>
      </c>
      <c r="E229" s="10">
        <v>15751</v>
      </c>
      <c r="F229" s="11" t="s">
        <v>1648</v>
      </c>
      <c r="G229" s="12" t="s">
        <v>71</v>
      </c>
      <c r="H229" s="13" t="str">
        <f>VLOOKUP(AP229,[1]Listas!A:B,2,0)</f>
        <v xml:space="preserve">FNOH </v>
      </c>
      <c r="I229" s="1" t="s">
        <v>380</v>
      </c>
      <c r="J229" s="12"/>
      <c r="K229" s="12"/>
      <c r="L229" s="12"/>
      <c r="M229" s="1" t="s">
        <v>393</v>
      </c>
      <c r="N229" s="14">
        <v>37253</v>
      </c>
      <c r="O229" s="1" t="s">
        <v>855</v>
      </c>
      <c r="P229" s="1" t="s">
        <v>856</v>
      </c>
      <c r="Q229" s="15" t="s">
        <v>807</v>
      </c>
      <c r="R229" s="1" t="s">
        <v>857</v>
      </c>
      <c r="S229" s="1" t="s">
        <v>1017</v>
      </c>
      <c r="U229" s="9" t="s">
        <v>814</v>
      </c>
      <c r="V229" s="1" t="s">
        <v>815</v>
      </c>
      <c r="W229" s="1" t="s">
        <v>1638</v>
      </c>
      <c r="X229" s="1" t="s">
        <v>388</v>
      </c>
      <c r="Y229" s="14">
        <v>45149</v>
      </c>
      <c r="Z229" s="9" t="s">
        <v>817</v>
      </c>
      <c r="AB229" s="14">
        <v>45148</v>
      </c>
      <c r="AC229" s="9" t="s">
        <v>817</v>
      </c>
      <c r="AD229" s="9" t="s">
        <v>818</v>
      </c>
      <c r="AE229" s="1" t="s">
        <v>819</v>
      </c>
      <c r="AF229" s="14" t="s">
        <v>820</v>
      </c>
      <c r="AG229" s="9" t="s">
        <v>821</v>
      </c>
      <c r="AH229" s="1" t="s">
        <v>9</v>
      </c>
      <c r="AI229" s="9" t="s">
        <v>10</v>
      </c>
      <c r="AJ229" s="1" t="s">
        <v>11</v>
      </c>
      <c r="AK229" s="1" t="s">
        <v>1639</v>
      </c>
      <c r="AL229" s="1" t="s">
        <v>1640</v>
      </c>
      <c r="AM229" s="9">
        <v>11648</v>
      </c>
      <c r="AN229" s="1" t="s">
        <v>389</v>
      </c>
      <c r="AO229" s="1" t="s">
        <v>390</v>
      </c>
      <c r="AP229" s="1" t="s">
        <v>1641</v>
      </c>
      <c r="AQ229" s="14">
        <v>45658</v>
      </c>
      <c r="AU229" s="14">
        <v>45679</v>
      </c>
      <c r="AV229" s="16">
        <v>0</v>
      </c>
      <c r="AW229" s="16">
        <v>0</v>
      </c>
      <c r="BA229" s="1" t="s">
        <v>911</v>
      </c>
      <c r="BB229" s="9">
        <v>7</v>
      </c>
      <c r="BC229" s="1" t="s">
        <v>826</v>
      </c>
      <c r="BD229" s="9" t="s">
        <v>807</v>
      </c>
      <c r="BE229" s="1" t="s">
        <v>1642</v>
      </c>
      <c r="BF229" s="1" t="s">
        <v>380</v>
      </c>
      <c r="BG229" s="1" t="s">
        <v>1627</v>
      </c>
      <c r="BH229" s="1" t="s">
        <v>1628</v>
      </c>
      <c r="BI229" s="20" t="s">
        <v>1649</v>
      </c>
      <c r="BJ229" s="21" t="str">
        <f t="shared" si="3"/>
        <v>FIXO</v>
      </c>
    </row>
    <row r="230" spans="1:62" x14ac:dyDescent="0.25">
      <c r="A230" s="7">
        <v>5</v>
      </c>
      <c r="B230" s="1" t="s">
        <v>71</v>
      </c>
      <c r="C230" s="8">
        <v>8</v>
      </c>
      <c r="D230" s="9" t="s">
        <v>807</v>
      </c>
      <c r="E230" s="10">
        <v>15752</v>
      </c>
      <c r="F230" s="11" t="s">
        <v>1650</v>
      </c>
      <c r="G230" s="12" t="s">
        <v>71</v>
      </c>
      <c r="H230" s="13" t="str">
        <f>VLOOKUP(AP230,[1]Listas!A:B,2,0)</f>
        <v xml:space="preserve">FNOH </v>
      </c>
      <c r="I230" s="1" t="s">
        <v>380</v>
      </c>
      <c r="J230" s="12"/>
      <c r="K230" s="12"/>
      <c r="L230" s="12"/>
      <c r="M230" s="1" t="s">
        <v>394</v>
      </c>
      <c r="N230" s="14">
        <v>34905</v>
      </c>
      <c r="O230" s="1" t="s">
        <v>855</v>
      </c>
      <c r="P230" s="1" t="s">
        <v>856</v>
      </c>
      <c r="Q230" s="15" t="s">
        <v>807</v>
      </c>
      <c r="R230" s="1" t="s">
        <v>857</v>
      </c>
      <c r="S230" s="1" t="s">
        <v>868</v>
      </c>
      <c r="T230" s="1" t="s">
        <v>869</v>
      </c>
      <c r="U230" s="9" t="s">
        <v>814</v>
      </c>
      <c r="V230" s="1" t="s">
        <v>815</v>
      </c>
      <c r="W230" s="1" t="s">
        <v>1638</v>
      </c>
      <c r="X230" s="1" t="s">
        <v>388</v>
      </c>
      <c r="Y230" s="14">
        <v>45149</v>
      </c>
      <c r="Z230" s="9" t="s">
        <v>817</v>
      </c>
      <c r="AB230" s="14">
        <v>45148</v>
      </c>
      <c r="AC230" s="9" t="s">
        <v>817</v>
      </c>
      <c r="AD230" s="9" t="s">
        <v>818</v>
      </c>
      <c r="AE230" s="1" t="s">
        <v>819</v>
      </c>
      <c r="AF230" s="14">
        <v>45908</v>
      </c>
      <c r="AG230" s="9" t="s">
        <v>821</v>
      </c>
      <c r="AH230" s="1" t="s">
        <v>9</v>
      </c>
      <c r="AI230" s="9" t="s">
        <v>179</v>
      </c>
      <c r="AJ230" s="1" t="s">
        <v>180</v>
      </c>
      <c r="AK230" s="1" t="s">
        <v>1639</v>
      </c>
      <c r="AL230" s="1" t="s">
        <v>1640</v>
      </c>
      <c r="AM230" s="9">
        <v>11648</v>
      </c>
      <c r="AN230" s="1" t="s">
        <v>389</v>
      </c>
      <c r="AO230" s="1" t="s">
        <v>390</v>
      </c>
      <c r="AP230" s="1" t="s">
        <v>1641</v>
      </c>
      <c r="AQ230" s="14">
        <v>45658</v>
      </c>
      <c r="AU230" s="14">
        <v>45679</v>
      </c>
      <c r="AV230" s="16">
        <v>0</v>
      </c>
      <c r="AW230" s="16">
        <v>0</v>
      </c>
      <c r="BA230" s="1" t="s">
        <v>911</v>
      </c>
      <c r="BB230" s="9">
        <v>7</v>
      </c>
      <c r="BC230" s="1" t="s">
        <v>826</v>
      </c>
      <c r="BD230" s="9" t="s">
        <v>807</v>
      </c>
      <c r="BE230" s="1" t="s">
        <v>1642</v>
      </c>
      <c r="BF230" s="1" t="s">
        <v>380</v>
      </c>
      <c r="BG230" s="1" t="s">
        <v>1627</v>
      </c>
      <c r="BH230" s="1" t="s">
        <v>1628</v>
      </c>
      <c r="BI230" s="20" t="s">
        <v>1651</v>
      </c>
      <c r="BJ230" s="21" t="str">
        <f t="shared" si="3"/>
        <v>FIXO</v>
      </c>
    </row>
    <row r="231" spans="1:62" x14ac:dyDescent="0.25">
      <c r="A231" s="7">
        <v>5</v>
      </c>
      <c r="B231" s="1" t="s">
        <v>71</v>
      </c>
      <c r="C231" s="8">
        <v>8</v>
      </c>
      <c r="D231" s="9" t="s">
        <v>807</v>
      </c>
      <c r="E231" s="10">
        <v>15753</v>
      </c>
      <c r="F231" s="11" t="s">
        <v>1652</v>
      </c>
      <c r="G231" s="12" t="s">
        <v>71</v>
      </c>
      <c r="H231" s="13" t="str">
        <f>VLOOKUP(AP231,[1]Listas!A:B,2,0)</f>
        <v xml:space="preserve">FNOH </v>
      </c>
      <c r="I231" s="1" t="s">
        <v>380</v>
      </c>
      <c r="J231" s="12"/>
      <c r="K231" s="12"/>
      <c r="L231" s="12"/>
      <c r="M231" s="1" t="s">
        <v>395</v>
      </c>
      <c r="N231" s="14">
        <v>35259</v>
      </c>
      <c r="O231" s="1" t="s">
        <v>855</v>
      </c>
      <c r="P231" s="1" t="s">
        <v>856</v>
      </c>
      <c r="Q231" s="15" t="s">
        <v>807</v>
      </c>
      <c r="R231" s="1" t="s">
        <v>857</v>
      </c>
      <c r="S231" s="1" t="s">
        <v>868</v>
      </c>
      <c r="T231" s="1" t="s">
        <v>869</v>
      </c>
      <c r="U231" s="9" t="s">
        <v>814</v>
      </c>
      <c r="V231" s="1" t="s">
        <v>815</v>
      </c>
      <c r="W231" s="1" t="s">
        <v>1638</v>
      </c>
      <c r="X231" s="1" t="s">
        <v>388</v>
      </c>
      <c r="Y231" s="14">
        <v>45149</v>
      </c>
      <c r="Z231" s="9" t="s">
        <v>817</v>
      </c>
      <c r="AB231" s="14">
        <v>45148</v>
      </c>
      <c r="AC231" s="9" t="s">
        <v>817</v>
      </c>
      <c r="AD231" s="9" t="s">
        <v>818</v>
      </c>
      <c r="AE231" s="1" t="s">
        <v>819</v>
      </c>
      <c r="AF231" s="14" t="s">
        <v>820</v>
      </c>
      <c r="AG231" s="9" t="s">
        <v>821</v>
      </c>
      <c r="AH231" s="1" t="s">
        <v>9</v>
      </c>
      <c r="AI231" s="9" t="s">
        <v>10</v>
      </c>
      <c r="AJ231" s="1" t="s">
        <v>11</v>
      </c>
      <c r="AK231" s="1" t="s">
        <v>1639</v>
      </c>
      <c r="AL231" s="1" t="s">
        <v>1640</v>
      </c>
      <c r="AM231" s="9">
        <v>11648</v>
      </c>
      <c r="AN231" s="1" t="s">
        <v>389</v>
      </c>
      <c r="AO231" s="1" t="s">
        <v>390</v>
      </c>
      <c r="AP231" s="1" t="s">
        <v>1641</v>
      </c>
      <c r="AQ231" s="14">
        <v>45658</v>
      </c>
      <c r="AU231" s="14">
        <v>45679</v>
      </c>
      <c r="AV231" s="16">
        <v>0</v>
      </c>
      <c r="AW231" s="16">
        <v>0</v>
      </c>
      <c r="BA231" s="1" t="s">
        <v>911</v>
      </c>
      <c r="BB231" s="9">
        <v>7</v>
      </c>
      <c r="BC231" s="1" t="s">
        <v>826</v>
      </c>
      <c r="BD231" s="9" t="s">
        <v>807</v>
      </c>
      <c r="BE231" s="1" t="s">
        <v>1642</v>
      </c>
      <c r="BF231" s="1" t="s">
        <v>380</v>
      </c>
      <c r="BG231" s="1" t="s">
        <v>1627</v>
      </c>
      <c r="BH231" s="1" t="s">
        <v>1628</v>
      </c>
      <c r="BI231" s="20" t="s">
        <v>1647</v>
      </c>
      <c r="BJ231" s="21" t="str">
        <f t="shared" si="3"/>
        <v>FIXO</v>
      </c>
    </row>
    <row r="232" spans="1:62" x14ac:dyDescent="0.25">
      <c r="A232" s="7">
        <v>5</v>
      </c>
      <c r="B232" s="1" t="s">
        <v>71</v>
      </c>
      <c r="C232" s="8">
        <v>8</v>
      </c>
      <c r="D232" s="9" t="s">
        <v>807</v>
      </c>
      <c r="E232" s="10">
        <v>15755</v>
      </c>
      <c r="F232" s="11" t="s">
        <v>1653</v>
      </c>
      <c r="G232" s="12" t="s">
        <v>71</v>
      </c>
      <c r="H232" s="13" t="str">
        <f>VLOOKUP(AP232,[1]Listas!A:B,2,0)</f>
        <v xml:space="preserve">FNOH </v>
      </c>
      <c r="I232" s="1" t="s">
        <v>362</v>
      </c>
      <c r="J232" s="12"/>
      <c r="K232" s="12"/>
      <c r="L232" s="12"/>
      <c r="M232" s="1" t="s">
        <v>396</v>
      </c>
      <c r="N232" s="14">
        <v>35664</v>
      </c>
      <c r="O232" s="1" t="s">
        <v>855</v>
      </c>
      <c r="P232" s="1" t="s">
        <v>856</v>
      </c>
      <c r="Q232" s="15" t="s">
        <v>807</v>
      </c>
      <c r="R232" s="1" t="s">
        <v>857</v>
      </c>
      <c r="S232" s="1" t="s">
        <v>868</v>
      </c>
      <c r="T232" s="1" t="s">
        <v>869</v>
      </c>
      <c r="U232" s="9" t="s">
        <v>814</v>
      </c>
      <c r="V232" s="1" t="s">
        <v>815</v>
      </c>
      <c r="W232" s="1" t="s">
        <v>1638</v>
      </c>
      <c r="X232" s="1" t="s">
        <v>388</v>
      </c>
      <c r="Y232" s="14">
        <v>45149</v>
      </c>
      <c r="Z232" s="9" t="s">
        <v>817</v>
      </c>
      <c r="AB232" s="14">
        <v>45148</v>
      </c>
      <c r="AC232" s="9" t="s">
        <v>817</v>
      </c>
      <c r="AD232" s="9" t="s">
        <v>818</v>
      </c>
      <c r="AE232" s="1" t="s">
        <v>819</v>
      </c>
      <c r="AF232" s="14" t="s">
        <v>820</v>
      </c>
      <c r="AG232" s="9" t="s">
        <v>821</v>
      </c>
      <c r="AH232" s="1" t="s">
        <v>9</v>
      </c>
      <c r="AI232" s="9" t="s">
        <v>10</v>
      </c>
      <c r="AJ232" s="1" t="s">
        <v>11</v>
      </c>
      <c r="AK232" s="1" t="s">
        <v>1639</v>
      </c>
      <c r="AL232" s="1" t="s">
        <v>1640</v>
      </c>
      <c r="AM232" s="9">
        <v>11648</v>
      </c>
      <c r="AN232" s="1" t="s">
        <v>389</v>
      </c>
      <c r="AO232" s="1" t="s">
        <v>390</v>
      </c>
      <c r="AP232" s="1" t="s">
        <v>1641</v>
      </c>
      <c r="AQ232" s="14">
        <v>45658</v>
      </c>
      <c r="AU232" s="14">
        <v>45856</v>
      </c>
      <c r="AV232" s="16">
        <v>0</v>
      </c>
      <c r="AW232" s="16">
        <v>0</v>
      </c>
      <c r="BA232" s="1" t="s">
        <v>911</v>
      </c>
      <c r="BB232" s="9">
        <v>7</v>
      </c>
      <c r="BC232" s="1" t="s">
        <v>826</v>
      </c>
      <c r="BD232" s="9" t="s">
        <v>807</v>
      </c>
      <c r="BE232" s="1" t="s">
        <v>1642</v>
      </c>
      <c r="BF232" s="1" t="s">
        <v>380</v>
      </c>
      <c r="BG232" s="1" t="s">
        <v>1627</v>
      </c>
      <c r="BH232" s="1" t="s">
        <v>1628</v>
      </c>
      <c r="BI232" s="20" t="s">
        <v>983</v>
      </c>
      <c r="BJ232" s="21" t="str">
        <f t="shared" si="3"/>
        <v>FIXO</v>
      </c>
    </row>
    <row r="233" spans="1:62" x14ac:dyDescent="0.25">
      <c r="A233" s="7">
        <v>5</v>
      </c>
      <c r="B233" s="1" t="s">
        <v>71</v>
      </c>
      <c r="C233" s="8">
        <v>8</v>
      </c>
      <c r="D233" s="9" t="s">
        <v>807</v>
      </c>
      <c r="E233" s="10">
        <v>15756</v>
      </c>
      <c r="F233" s="11" t="s">
        <v>1654</v>
      </c>
      <c r="G233" s="12" t="s">
        <v>71</v>
      </c>
      <c r="H233" s="13" t="str">
        <f>VLOOKUP(AP233,[1]Listas!A:B,2,0)</f>
        <v xml:space="preserve">FNOH </v>
      </c>
      <c r="I233" s="1" t="s">
        <v>380</v>
      </c>
      <c r="J233" s="12"/>
      <c r="K233" s="12"/>
      <c r="L233" s="12"/>
      <c r="M233" s="1" t="s">
        <v>397</v>
      </c>
      <c r="N233" s="14">
        <v>37039</v>
      </c>
      <c r="O233" s="1" t="s">
        <v>855</v>
      </c>
      <c r="P233" s="1" t="s">
        <v>856</v>
      </c>
      <c r="Q233" s="15" t="s">
        <v>807</v>
      </c>
      <c r="R233" s="1" t="s">
        <v>857</v>
      </c>
      <c r="S233" s="1" t="s">
        <v>868</v>
      </c>
      <c r="T233" s="1" t="s">
        <v>869</v>
      </c>
      <c r="U233" s="9" t="s">
        <v>880</v>
      </c>
      <c r="V233" s="1" t="s">
        <v>881</v>
      </c>
      <c r="W233" s="1" t="s">
        <v>1638</v>
      </c>
      <c r="X233" s="1" t="s">
        <v>388</v>
      </c>
      <c r="Y233" s="14">
        <v>45149</v>
      </c>
      <c r="Z233" s="9" t="s">
        <v>817</v>
      </c>
      <c r="AB233" s="14">
        <v>45148</v>
      </c>
      <c r="AC233" s="9" t="s">
        <v>817</v>
      </c>
      <c r="AD233" s="9" t="s">
        <v>818</v>
      </c>
      <c r="AE233" s="1" t="s">
        <v>819</v>
      </c>
      <c r="AF233" s="14" t="s">
        <v>820</v>
      </c>
      <c r="AG233" s="9" t="s">
        <v>821</v>
      </c>
      <c r="AH233" s="1" t="s">
        <v>9</v>
      </c>
      <c r="AI233" s="9" t="s">
        <v>10</v>
      </c>
      <c r="AJ233" s="1" t="s">
        <v>11</v>
      </c>
      <c r="AK233" s="1" t="s">
        <v>1639</v>
      </c>
      <c r="AL233" s="1" t="s">
        <v>1640</v>
      </c>
      <c r="AM233" s="9">
        <v>11648</v>
      </c>
      <c r="AN233" s="1" t="s">
        <v>389</v>
      </c>
      <c r="AO233" s="1" t="s">
        <v>390</v>
      </c>
      <c r="AP233" s="1" t="s">
        <v>1641</v>
      </c>
      <c r="AQ233" s="14">
        <v>45658</v>
      </c>
      <c r="AU233" s="14">
        <v>45679</v>
      </c>
      <c r="AV233" s="16">
        <v>0</v>
      </c>
      <c r="AW233" s="16">
        <v>0</v>
      </c>
      <c r="BA233" s="1" t="s">
        <v>911</v>
      </c>
      <c r="BB233" s="9">
        <v>7</v>
      </c>
      <c r="BC233" s="1" t="s">
        <v>826</v>
      </c>
      <c r="BD233" s="9" t="s">
        <v>807</v>
      </c>
      <c r="BE233" s="1" t="s">
        <v>1642</v>
      </c>
      <c r="BF233" s="1" t="s">
        <v>380</v>
      </c>
      <c r="BG233" s="1" t="s">
        <v>1627</v>
      </c>
      <c r="BH233" s="1" t="s">
        <v>1628</v>
      </c>
      <c r="BI233" s="20" t="s">
        <v>1655</v>
      </c>
      <c r="BJ233" s="21" t="str">
        <f t="shared" si="3"/>
        <v>FIXO</v>
      </c>
    </row>
    <row r="234" spans="1:62" x14ac:dyDescent="0.25">
      <c r="A234" s="7">
        <v>5</v>
      </c>
      <c r="B234" s="1" t="s">
        <v>71</v>
      </c>
      <c r="C234" s="8">
        <v>8</v>
      </c>
      <c r="D234" s="9" t="s">
        <v>807</v>
      </c>
      <c r="E234" s="10">
        <v>15760</v>
      </c>
      <c r="F234" s="11" t="s">
        <v>1656</v>
      </c>
      <c r="G234" s="12" t="s">
        <v>71</v>
      </c>
      <c r="H234" s="13" t="str">
        <f>VLOOKUP(AP234,[1]Listas!A:B,2,0)</f>
        <v xml:space="preserve">FNOH </v>
      </c>
      <c r="I234" s="1" t="s">
        <v>380</v>
      </c>
      <c r="J234" s="12"/>
      <c r="K234" s="12"/>
      <c r="L234" s="12"/>
      <c r="M234" s="1" t="s">
        <v>398</v>
      </c>
      <c r="N234" s="14">
        <v>34419</v>
      </c>
      <c r="O234" s="1" t="s">
        <v>855</v>
      </c>
      <c r="P234" s="1" t="s">
        <v>856</v>
      </c>
      <c r="Q234" s="15" t="s">
        <v>807</v>
      </c>
      <c r="R234" s="1" t="s">
        <v>857</v>
      </c>
      <c r="S234" s="1" t="s">
        <v>1017</v>
      </c>
      <c r="U234" s="9" t="s">
        <v>880</v>
      </c>
      <c r="V234" s="1" t="s">
        <v>881</v>
      </c>
      <c r="W234" s="1" t="s">
        <v>1638</v>
      </c>
      <c r="X234" s="1" t="s">
        <v>388</v>
      </c>
      <c r="Y234" s="14">
        <v>45149</v>
      </c>
      <c r="Z234" s="9" t="s">
        <v>817</v>
      </c>
      <c r="AB234" s="14">
        <v>45148</v>
      </c>
      <c r="AC234" s="9" t="s">
        <v>817</v>
      </c>
      <c r="AD234" s="9" t="s">
        <v>818</v>
      </c>
      <c r="AE234" s="1" t="s">
        <v>819</v>
      </c>
      <c r="AF234" s="14" t="s">
        <v>820</v>
      </c>
      <c r="AG234" s="9" t="s">
        <v>821</v>
      </c>
      <c r="AH234" s="1" t="s">
        <v>9</v>
      </c>
      <c r="AI234" s="9" t="s">
        <v>10</v>
      </c>
      <c r="AJ234" s="1" t="s">
        <v>11</v>
      </c>
      <c r="AK234" s="1" t="s">
        <v>1639</v>
      </c>
      <c r="AL234" s="1" t="s">
        <v>1640</v>
      </c>
      <c r="AM234" s="9">
        <v>11648</v>
      </c>
      <c r="AN234" s="1" t="s">
        <v>389</v>
      </c>
      <c r="AO234" s="1" t="s">
        <v>390</v>
      </c>
      <c r="AP234" s="1" t="s">
        <v>1641</v>
      </c>
      <c r="AQ234" s="14">
        <v>45658</v>
      </c>
      <c r="AU234" s="14">
        <v>45679</v>
      </c>
      <c r="AV234" s="16">
        <v>0</v>
      </c>
      <c r="AW234" s="16">
        <v>0</v>
      </c>
      <c r="BA234" s="1" t="s">
        <v>911</v>
      </c>
      <c r="BB234" s="9">
        <v>7</v>
      </c>
      <c r="BC234" s="1" t="s">
        <v>826</v>
      </c>
      <c r="BD234" s="9" t="s">
        <v>807</v>
      </c>
      <c r="BE234" s="1" t="s">
        <v>1642</v>
      </c>
      <c r="BF234" s="1" t="s">
        <v>380</v>
      </c>
      <c r="BG234" s="1" t="s">
        <v>1627</v>
      </c>
      <c r="BH234" s="1" t="s">
        <v>1628</v>
      </c>
      <c r="BI234" s="20" t="s">
        <v>1643</v>
      </c>
      <c r="BJ234" s="21" t="str">
        <f t="shared" si="3"/>
        <v>FIXO</v>
      </c>
    </row>
    <row r="235" spans="1:62" x14ac:dyDescent="0.25">
      <c r="A235" s="7">
        <v>5</v>
      </c>
      <c r="B235" s="1" t="s">
        <v>71</v>
      </c>
      <c r="C235" s="8">
        <v>8</v>
      </c>
      <c r="D235" s="9" t="s">
        <v>807</v>
      </c>
      <c r="E235" s="10">
        <v>15762</v>
      </c>
      <c r="F235" s="11" t="s">
        <v>1657</v>
      </c>
      <c r="G235" s="12" t="s">
        <v>71</v>
      </c>
      <c r="H235" s="13" t="str">
        <f>VLOOKUP(AP235,[1]Listas!A:B,2,0)</f>
        <v xml:space="preserve">FNOH </v>
      </c>
      <c r="I235" s="1" t="s">
        <v>362</v>
      </c>
      <c r="J235" s="12"/>
      <c r="K235" s="12"/>
      <c r="L235" s="12"/>
      <c r="M235" s="1" t="s">
        <v>399</v>
      </c>
      <c r="N235" s="14">
        <v>28552</v>
      </c>
      <c r="O235" s="1" t="s">
        <v>855</v>
      </c>
      <c r="P235" s="1" t="s">
        <v>856</v>
      </c>
      <c r="Q235" s="15" t="s">
        <v>807</v>
      </c>
      <c r="R235" s="1" t="s">
        <v>857</v>
      </c>
      <c r="S235" s="1" t="s">
        <v>868</v>
      </c>
      <c r="T235" s="1" t="s">
        <v>869</v>
      </c>
      <c r="U235" s="9" t="s">
        <v>880</v>
      </c>
      <c r="V235" s="1" t="s">
        <v>881</v>
      </c>
      <c r="W235" s="1" t="s">
        <v>1658</v>
      </c>
      <c r="X235" s="1" t="s">
        <v>400</v>
      </c>
      <c r="Y235" s="14">
        <v>45901</v>
      </c>
      <c r="Z235" s="9" t="s">
        <v>817</v>
      </c>
      <c r="AB235" s="14">
        <v>45147</v>
      </c>
      <c r="AC235" s="9" t="s">
        <v>817</v>
      </c>
      <c r="AD235" s="9" t="s">
        <v>818</v>
      </c>
      <c r="AE235" s="1" t="s">
        <v>819</v>
      </c>
      <c r="AF235" s="14" t="s">
        <v>820</v>
      </c>
      <c r="AG235" s="9" t="s">
        <v>999</v>
      </c>
      <c r="AH235" s="1" t="s">
        <v>105</v>
      </c>
      <c r="AI235" s="9" t="s">
        <v>10</v>
      </c>
      <c r="AJ235" s="1" t="s">
        <v>11</v>
      </c>
      <c r="AK235" s="1" t="s">
        <v>1659</v>
      </c>
      <c r="AL235" s="1" t="s">
        <v>1660</v>
      </c>
      <c r="AM235" s="9">
        <v>11648</v>
      </c>
      <c r="AN235" s="1" t="s">
        <v>389</v>
      </c>
      <c r="AO235" s="1" t="s">
        <v>390</v>
      </c>
      <c r="AP235" s="1" t="s">
        <v>1641</v>
      </c>
      <c r="AQ235" s="14">
        <v>45658</v>
      </c>
      <c r="AU235" s="14">
        <v>45679</v>
      </c>
      <c r="AV235" s="16">
        <v>0</v>
      </c>
      <c r="AW235" s="16">
        <v>0</v>
      </c>
      <c r="BA235" s="1" t="s">
        <v>911</v>
      </c>
      <c r="BB235" s="9">
        <v>7</v>
      </c>
      <c r="BC235" s="1" t="s">
        <v>826</v>
      </c>
      <c r="BD235" s="9" t="s">
        <v>807</v>
      </c>
      <c r="BE235" s="1" t="s">
        <v>1642</v>
      </c>
      <c r="BF235" s="1" t="s">
        <v>380</v>
      </c>
      <c r="BG235" s="1" t="s">
        <v>1627</v>
      </c>
      <c r="BH235" s="1" t="s">
        <v>1628</v>
      </c>
      <c r="BI235" s="20" t="s">
        <v>1661</v>
      </c>
      <c r="BJ235" s="21" t="str">
        <f t="shared" si="3"/>
        <v>FIXO</v>
      </c>
    </row>
    <row r="236" spans="1:62" x14ac:dyDescent="0.25">
      <c r="A236" s="7">
        <v>5</v>
      </c>
      <c r="B236" s="1" t="s">
        <v>71</v>
      </c>
      <c r="C236" s="8">
        <v>8</v>
      </c>
      <c r="D236" s="9" t="s">
        <v>807</v>
      </c>
      <c r="E236" s="10">
        <v>15763</v>
      </c>
      <c r="F236" s="11" t="s">
        <v>1662</v>
      </c>
      <c r="G236" s="12" t="s">
        <v>71</v>
      </c>
      <c r="H236" s="13" t="str">
        <f>VLOOKUP(AP236,[1]Listas!A:B,2,0)</f>
        <v xml:space="preserve">FNOH </v>
      </c>
      <c r="I236" s="1" t="s">
        <v>380</v>
      </c>
      <c r="J236" s="12"/>
      <c r="K236" s="12"/>
      <c r="L236" s="12"/>
      <c r="M236" s="1" t="s">
        <v>401</v>
      </c>
      <c r="N236" s="14">
        <v>34742</v>
      </c>
      <c r="O236" s="1" t="s">
        <v>855</v>
      </c>
      <c r="P236" s="1" t="s">
        <v>856</v>
      </c>
      <c r="Q236" s="15" t="s">
        <v>807</v>
      </c>
      <c r="R236" s="1" t="s">
        <v>857</v>
      </c>
      <c r="S236" s="1" t="s">
        <v>868</v>
      </c>
      <c r="T236" s="1" t="s">
        <v>869</v>
      </c>
      <c r="U236" s="9" t="s">
        <v>868</v>
      </c>
      <c r="V236" s="1" t="s">
        <v>913</v>
      </c>
      <c r="W236" s="1" t="s">
        <v>1638</v>
      </c>
      <c r="X236" s="1" t="s">
        <v>388</v>
      </c>
      <c r="Y236" s="14">
        <v>45149</v>
      </c>
      <c r="Z236" s="9" t="s">
        <v>817</v>
      </c>
      <c r="AB236" s="14">
        <v>45148</v>
      </c>
      <c r="AC236" s="9" t="s">
        <v>817</v>
      </c>
      <c r="AD236" s="9" t="s">
        <v>818</v>
      </c>
      <c r="AE236" s="1" t="s">
        <v>819</v>
      </c>
      <c r="AF236" s="14" t="s">
        <v>820</v>
      </c>
      <c r="AG236" s="9" t="s">
        <v>821</v>
      </c>
      <c r="AH236" s="1" t="s">
        <v>9</v>
      </c>
      <c r="AI236" s="9" t="s">
        <v>10</v>
      </c>
      <c r="AJ236" s="1" t="s">
        <v>11</v>
      </c>
      <c r="AK236" s="1" t="s">
        <v>1639</v>
      </c>
      <c r="AL236" s="1" t="s">
        <v>1640</v>
      </c>
      <c r="AM236" s="9">
        <v>11648</v>
      </c>
      <c r="AN236" s="1" t="s">
        <v>389</v>
      </c>
      <c r="AO236" s="1" t="s">
        <v>390</v>
      </c>
      <c r="AP236" s="1" t="s">
        <v>1641</v>
      </c>
      <c r="AQ236" s="14">
        <v>45658</v>
      </c>
      <c r="AU236" s="14">
        <v>45679</v>
      </c>
      <c r="AV236" s="16">
        <v>0</v>
      </c>
      <c r="AW236" s="16">
        <v>0</v>
      </c>
      <c r="BA236" s="1" t="s">
        <v>911</v>
      </c>
      <c r="BB236" s="9">
        <v>7</v>
      </c>
      <c r="BC236" s="1" t="s">
        <v>826</v>
      </c>
      <c r="BD236" s="9" t="s">
        <v>807</v>
      </c>
      <c r="BE236" s="1" t="s">
        <v>1642</v>
      </c>
      <c r="BF236" s="1" t="s">
        <v>380</v>
      </c>
      <c r="BG236" s="1" t="s">
        <v>1627</v>
      </c>
      <c r="BH236" s="1" t="s">
        <v>1628</v>
      </c>
      <c r="BI236" s="20" t="s">
        <v>1651</v>
      </c>
      <c r="BJ236" s="21" t="str">
        <f t="shared" si="3"/>
        <v>FIXO</v>
      </c>
    </row>
    <row r="237" spans="1:62" x14ac:dyDescent="0.25">
      <c r="A237" s="7">
        <v>5</v>
      </c>
      <c r="B237" s="1" t="s">
        <v>71</v>
      </c>
      <c r="C237" s="8">
        <v>5</v>
      </c>
      <c r="D237" s="9" t="s">
        <v>807</v>
      </c>
      <c r="E237" s="10">
        <v>15791</v>
      </c>
      <c r="F237" s="11" t="s">
        <v>1663</v>
      </c>
      <c r="G237" s="1" t="s">
        <v>41</v>
      </c>
      <c r="H237" s="13" t="str">
        <f>VLOOKUP(AP237,[1]Listas!A:B,2,0)</f>
        <v xml:space="preserve">FESP </v>
      </c>
      <c r="I237" s="12" t="s">
        <v>38</v>
      </c>
      <c r="J237" s="12"/>
      <c r="K237" s="1" t="s">
        <v>32</v>
      </c>
      <c r="L237" s="1" t="s">
        <v>79</v>
      </c>
      <c r="M237" s="1" t="s">
        <v>402</v>
      </c>
      <c r="N237" s="14">
        <v>31732</v>
      </c>
      <c r="O237" s="1" t="s">
        <v>855</v>
      </c>
      <c r="P237" s="1" t="s">
        <v>856</v>
      </c>
      <c r="Q237" s="15" t="s">
        <v>807</v>
      </c>
      <c r="R237" s="1" t="s">
        <v>857</v>
      </c>
      <c r="S237" s="1" t="s">
        <v>868</v>
      </c>
      <c r="T237" s="1" t="s">
        <v>869</v>
      </c>
      <c r="U237" s="9" t="s">
        <v>951</v>
      </c>
      <c r="V237" s="1" t="s">
        <v>952</v>
      </c>
      <c r="W237" s="1" t="s">
        <v>871</v>
      </c>
      <c r="X237" s="1" t="s">
        <v>34</v>
      </c>
      <c r="Y237" s="14">
        <v>45538</v>
      </c>
      <c r="Z237" s="9" t="s">
        <v>817</v>
      </c>
      <c r="AB237" s="14">
        <v>45156</v>
      </c>
      <c r="AC237" s="9" t="s">
        <v>817</v>
      </c>
      <c r="AD237" s="9" t="s">
        <v>818</v>
      </c>
      <c r="AE237" s="1" t="s">
        <v>819</v>
      </c>
      <c r="AF237" s="14" t="s">
        <v>820</v>
      </c>
      <c r="AG237" s="9" t="s">
        <v>821</v>
      </c>
      <c r="AH237" s="1" t="s">
        <v>9</v>
      </c>
      <c r="AI237" s="9" t="s">
        <v>10</v>
      </c>
      <c r="AJ237" s="1" t="s">
        <v>11</v>
      </c>
      <c r="AK237" s="1" t="s">
        <v>1581</v>
      </c>
      <c r="AL237" s="1" t="s">
        <v>919</v>
      </c>
      <c r="AM237" s="9">
        <v>11377</v>
      </c>
      <c r="AN237" s="1" t="s">
        <v>56</v>
      </c>
      <c r="AO237" s="1" t="s">
        <v>36</v>
      </c>
      <c r="AP237" s="1" t="s">
        <v>874</v>
      </c>
      <c r="AQ237" s="14">
        <v>45658</v>
      </c>
      <c r="AU237" s="14">
        <v>45799</v>
      </c>
      <c r="AV237" s="16">
        <v>0</v>
      </c>
      <c r="AW237" s="16">
        <v>0</v>
      </c>
      <c r="BA237" s="1" t="s">
        <v>911</v>
      </c>
      <c r="BB237" s="9">
        <v>1</v>
      </c>
      <c r="BC237" s="1" t="s">
        <v>862</v>
      </c>
      <c r="BD237" s="9" t="s">
        <v>807</v>
      </c>
      <c r="BE237" s="1" t="s">
        <v>863</v>
      </c>
      <c r="BF237" s="1" t="s">
        <v>32</v>
      </c>
      <c r="BG237" s="1" t="s">
        <v>864</v>
      </c>
      <c r="BH237" s="1" t="s">
        <v>865</v>
      </c>
      <c r="BI237" s="1" t="s">
        <v>916</v>
      </c>
      <c r="BJ237" s="21" t="str">
        <f t="shared" si="3"/>
        <v>FIXO</v>
      </c>
    </row>
    <row r="238" spans="1:62" x14ac:dyDescent="0.25">
      <c r="A238" s="7">
        <v>5</v>
      </c>
      <c r="B238" s="1" t="s">
        <v>71</v>
      </c>
      <c r="C238" s="8">
        <v>8</v>
      </c>
      <c r="D238" s="9" t="s">
        <v>807</v>
      </c>
      <c r="E238" s="10">
        <v>15808</v>
      </c>
      <c r="F238" s="11" t="s">
        <v>1664</v>
      </c>
      <c r="G238" s="12" t="s">
        <v>71</v>
      </c>
      <c r="H238" s="13" t="str">
        <f>VLOOKUP(AP238,[1]Listas!A:B,2,0)</f>
        <v xml:space="preserve">FNOH </v>
      </c>
      <c r="I238" s="1" t="s">
        <v>380</v>
      </c>
      <c r="J238" s="12"/>
      <c r="K238" s="12"/>
      <c r="L238" s="12"/>
      <c r="M238" s="1" t="s">
        <v>403</v>
      </c>
      <c r="N238" s="14">
        <v>37792</v>
      </c>
      <c r="O238" s="1" t="s">
        <v>855</v>
      </c>
      <c r="P238" s="1" t="s">
        <v>856</v>
      </c>
      <c r="Q238" s="15" t="s">
        <v>807</v>
      </c>
      <c r="R238" s="1" t="s">
        <v>857</v>
      </c>
      <c r="S238" s="1" t="s">
        <v>868</v>
      </c>
      <c r="T238" s="1" t="s">
        <v>869</v>
      </c>
      <c r="U238" s="9" t="s">
        <v>814</v>
      </c>
      <c r="V238" s="1" t="s">
        <v>815</v>
      </c>
      <c r="W238" s="1" t="s">
        <v>1638</v>
      </c>
      <c r="X238" s="1" t="s">
        <v>388</v>
      </c>
      <c r="Y238" s="14">
        <v>45153</v>
      </c>
      <c r="Z238" s="9" t="s">
        <v>817</v>
      </c>
      <c r="AB238" s="14">
        <v>45152</v>
      </c>
      <c r="AC238" s="9" t="s">
        <v>817</v>
      </c>
      <c r="AD238" s="9" t="s">
        <v>818</v>
      </c>
      <c r="AE238" s="1" t="s">
        <v>819</v>
      </c>
      <c r="AF238" s="14" t="s">
        <v>820</v>
      </c>
      <c r="AG238" s="9" t="s">
        <v>821</v>
      </c>
      <c r="AH238" s="1" t="s">
        <v>9</v>
      </c>
      <c r="AI238" s="9" t="s">
        <v>10</v>
      </c>
      <c r="AJ238" s="1" t="s">
        <v>11</v>
      </c>
      <c r="AK238" s="1" t="s">
        <v>1639</v>
      </c>
      <c r="AL238" s="1" t="s">
        <v>1640</v>
      </c>
      <c r="AM238" s="9">
        <v>11648</v>
      </c>
      <c r="AN238" s="1" t="s">
        <v>389</v>
      </c>
      <c r="AO238" s="1" t="s">
        <v>390</v>
      </c>
      <c r="AP238" s="1" t="s">
        <v>1641</v>
      </c>
      <c r="AQ238" s="14">
        <v>45658</v>
      </c>
      <c r="AU238" s="14">
        <v>45679</v>
      </c>
      <c r="AV238" s="16">
        <v>0</v>
      </c>
      <c r="AW238" s="16">
        <v>0</v>
      </c>
      <c r="BA238" s="1" t="s">
        <v>911</v>
      </c>
      <c r="BB238" s="9">
        <v>7</v>
      </c>
      <c r="BC238" s="1" t="s">
        <v>826</v>
      </c>
      <c r="BD238" s="9" t="s">
        <v>807</v>
      </c>
      <c r="BE238" s="1" t="s">
        <v>1642</v>
      </c>
      <c r="BF238" s="1" t="s">
        <v>380</v>
      </c>
      <c r="BG238" s="1" t="s">
        <v>1627</v>
      </c>
      <c r="BH238" s="1" t="s">
        <v>1628</v>
      </c>
      <c r="BI238" s="20" t="s">
        <v>1655</v>
      </c>
      <c r="BJ238" s="21" t="str">
        <f t="shared" si="3"/>
        <v>FIXO</v>
      </c>
    </row>
    <row r="239" spans="1:62" x14ac:dyDescent="0.25">
      <c r="A239" s="7">
        <v>5</v>
      </c>
      <c r="B239" s="1" t="s">
        <v>71</v>
      </c>
      <c r="C239" s="8">
        <v>8</v>
      </c>
      <c r="D239" s="9" t="s">
        <v>807</v>
      </c>
      <c r="E239" s="10">
        <v>15933</v>
      </c>
      <c r="F239" s="11" t="s">
        <v>1665</v>
      </c>
      <c r="G239" s="12" t="s">
        <v>71</v>
      </c>
      <c r="H239" s="13" t="str">
        <f>VLOOKUP(AP239,[1]Listas!A:B,2,0)</f>
        <v xml:space="preserve">FNOH </v>
      </c>
      <c r="I239" s="1" t="s">
        <v>380</v>
      </c>
      <c r="J239" s="12"/>
      <c r="K239" s="12"/>
      <c r="L239" s="12"/>
      <c r="M239" s="1" t="s">
        <v>404</v>
      </c>
      <c r="N239" s="14">
        <v>39031</v>
      </c>
      <c r="O239" s="1" t="s">
        <v>855</v>
      </c>
      <c r="P239" s="1" t="s">
        <v>856</v>
      </c>
      <c r="Q239" s="15" t="s">
        <v>807</v>
      </c>
      <c r="R239" s="1" t="s">
        <v>857</v>
      </c>
      <c r="S239" s="1" t="s">
        <v>868</v>
      </c>
      <c r="T239" s="1" t="s">
        <v>869</v>
      </c>
      <c r="U239" s="9" t="s">
        <v>951</v>
      </c>
      <c r="V239" s="1" t="s">
        <v>952</v>
      </c>
      <c r="W239" s="1" t="s">
        <v>1638</v>
      </c>
      <c r="X239" s="1" t="s">
        <v>388</v>
      </c>
      <c r="Y239" s="14">
        <v>45174</v>
      </c>
      <c r="Z239" s="9" t="s">
        <v>817</v>
      </c>
      <c r="AB239" s="14">
        <v>45173</v>
      </c>
      <c r="AC239" s="9" t="s">
        <v>817</v>
      </c>
      <c r="AD239" s="9" t="s">
        <v>818</v>
      </c>
      <c r="AE239" s="1" t="s">
        <v>819</v>
      </c>
      <c r="AF239" s="14" t="s">
        <v>820</v>
      </c>
      <c r="AG239" s="9" t="s">
        <v>999</v>
      </c>
      <c r="AH239" s="1" t="s">
        <v>105</v>
      </c>
      <c r="AI239" s="9" t="s">
        <v>10</v>
      </c>
      <c r="AJ239" s="1" t="s">
        <v>11</v>
      </c>
      <c r="AK239" s="1" t="s">
        <v>1639</v>
      </c>
      <c r="AL239" s="1" t="s">
        <v>1640</v>
      </c>
      <c r="AM239" s="9">
        <v>11648</v>
      </c>
      <c r="AN239" s="1" t="s">
        <v>389</v>
      </c>
      <c r="AO239" s="1" t="s">
        <v>390</v>
      </c>
      <c r="AP239" s="1" t="s">
        <v>1641</v>
      </c>
      <c r="AQ239" s="14">
        <v>45658</v>
      </c>
      <c r="AU239" s="14">
        <v>45693</v>
      </c>
      <c r="AV239" s="16">
        <v>0</v>
      </c>
      <c r="AW239" s="16">
        <v>0</v>
      </c>
      <c r="BA239" s="1" t="s">
        <v>911</v>
      </c>
      <c r="BB239" s="9">
        <v>7</v>
      </c>
      <c r="BC239" s="1" t="s">
        <v>826</v>
      </c>
      <c r="BD239" s="9" t="s">
        <v>807</v>
      </c>
      <c r="BE239" s="1" t="s">
        <v>1642</v>
      </c>
      <c r="BF239" s="1" t="s">
        <v>380</v>
      </c>
      <c r="BG239" s="1" t="s">
        <v>1627</v>
      </c>
      <c r="BH239" s="1" t="s">
        <v>1628</v>
      </c>
      <c r="BI239" s="20" t="s">
        <v>1649</v>
      </c>
      <c r="BJ239" s="21" t="str">
        <f t="shared" si="3"/>
        <v>FIXO</v>
      </c>
    </row>
    <row r="240" spans="1:62" x14ac:dyDescent="0.25">
      <c r="A240" s="7">
        <v>5</v>
      </c>
      <c r="B240" s="1" t="s">
        <v>71</v>
      </c>
      <c r="C240" s="8">
        <v>8</v>
      </c>
      <c r="D240" s="9" t="s">
        <v>807</v>
      </c>
      <c r="E240" s="10">
        <v>16010</v>
      </c>
      <c r="F240" s="11" t="s">
        <v>1666</v>
      </c>
      <c r="G240" s="12" t="s">
        <v>71</v>
      </c>
      <c r="H240" s="13" t="str">
        <f>VLOOKUP(AP240,[1]Listas!A:B,2,0)</f>
        <v xml:space="preserve">FNOH </v>
      </c>
      <c r="I240" s="1" t="s">
        <v>380</v>
      </c>
      <c r="J240" s="12"/>
      <c r="K240" s="12"/>
      <c r="L240" s="12"/>
      <c r="M240" s="1" t="s">
        <v>405</v>
      </c>
      <c r="N240" s="14">
        <v>29854</v>
      </c>
      <c r="O240" s="1" t="s">
        <v>855</v>
      </c>
      <c r="P240" s="1" t="s">
        <v>856</v>
      </c>
      <c r="Q240" s="15" t="s">
        <v>807</v>
      </c>
      <c r="R240" s="1" t="s">
        <v>857</v>
      </c>
      <c r="S240" s="1" t="s">
        <v>868</v>
      </c>
      <c r="T240" s="1" t="s">
        <v>869</v>
      </c>
      <c r="U240" s="9" t="s">
        <v>811</v>
      </c>
      <c r="V240" s="1" t="s">
        <v>870</v>
      </c>
      <c r="W240" s="1" t="s">
        <v>1638</v>
      </c>
      <c r="X240" s="1" t="s">
        <v>388</v>
      </c>
      <c r="Y240" s="14">
        <v>45183</v>
      </c>
      <c r="Z240" s="9" t="s">
        <v>817</v>
      </c>
      <c r="AB240" s="14">
        <v>45182</v>
      </c>
      <c r="AC240" s="9" t="s">
        <v>817</v>
      </c>
      <c r="AD240" s="9" t="s">
        <v>818</v>
      </c>
      <c r="AE240" s="1" t="s">
        <v>819</v>
      </c>
      <c r="AF240" s="14" t="s">
        <v>820</v>
      </c>
      <c r="AG240" s="9" t="s">
        <v>821</v>
      </c>
      <c r="AH240" s="1" t="s">
        <v>9</v>
      </c>
      <c r="AI240" s="9" t="s">
        <v>10</v>
      </c>
      <c r="AJ240" s="1" t="s">
        <v>11</v>
      </c>
      <c r="AK240" s="1" t="s">
        <v>1639</v>
      </c>
      <c r="AL240" s="1" t="s">
        <v>1640</v>
      </c>
      <c r="AM240" s="9">
        <v>11648</v>
      </c>
      <c r="AN240" s="1" t="s">
        <v>389</v>
      </c>
      <c r="AO240" s="1" t="s">
        <v>390</v>
      </c>
      <c r="AP240" s="1" t="s">
        <v>1641</v>
      </c>
      <c r="AQ240" s="14">
        <v>45658</v>
      </c>
      <c r="AU240" s="14">
        <v>45679</v>
      </c>
      <c r="AV240" s="16">
        <v>0</v>
      </c>
      <c r="AW240" s="16">
        <v>0</v>
      </c>
      <c r="BA240" s="1" t="s">
        <v>911</v>
      </c>
      <c r="BB240" s="9">
        <v>7</v>
      </c>
      <c r="BC240" s="1" t="s">
        <v>826</v>
      </c>
      <c r="BD240" s="9" t="s">
        <v>807</v>
      </c>
      <c r="BE240" s="1" t="s">
        <v>1642</v>
      </c>
      <c r="BF240" s="1" t="s">
        <v>380</v>
      </c>
      <c r="BG240" s="1" t="s">
        <v>1627</v>
      </c>
      <c r="BH240" s="1" t="s">
        <v>1628</v>
      </c>
      <c r="BI240" s="20" t="s">
        <v>1667</v>
      </c>
      <c r="BJ240" s="21" t="str">
        <f t="shared" si="3"/>
        <v>FIXO</v>
      </c>
    </row>
    <row r="241" spans="1:62" x14ac:dyDescent="0.25">
      <c r="A241" s="7">
        <v>5</v>
      </c>
      <c r="B241" s="1" t="s">
        <v>71</v>
      </c>
      <c r="C241" s="8">
        <v>8</v>
      </c>
      <c r="D241" s="9" t="s">
        <v>807</v>
      </c>
      <c r="E241" s="10">
        <v>16011</v>
      </c>
      <c r="F241" s="11" t="s">
        <v>1668</v>
      </c>
      <c r="G241" s="12" t="s">
        <v>71</v>
      </c>
      <c r="H241" s="13" t="str">
        <f>VLOOKUP(AP241,[1]Listas!A:B,2,0)</f>
        <v xml:space="preserve">FNOH </v>
      </c>
      <c r="I241" s="1" t="s">
        <v>380</v>
      </c>
      <c r="J241" s="12"/>
      <c r="K241" s="12"/>
      <c r="L241" s="12"/>
      <c r="M241" s="1" t="s">
        <v>406</v>
      </c>
      <c r="N241" s="14">
        <v>30213</v>
      </c>
      <c r="O241" s="1" t="s">
        <v>809</v>
      </c>
      <c r="P241" s="1" t="s">
        <v>810</v>
      </c>
      <c r="Q241" s="15" t="s">
        <v>807</v>
      </c>
      <c r="R241" s="1" t="s">
        <v>857</v>
      </c>
      <c r="S241" s="1" t="s">
        <v>868</v>
      </c>
      <c r="T241" s="1" t="s">
        <v>869</v>
      </c>
      <c r="U241" s="9" t="s">
        <v>951</v>
      </c>
      <c r="V241" s="1" t="s">
        <v>952</v>
      </c>
      <c r="W241" s="1" t="s">
        <v>1051</v>
      </c>
      <c r="X241" s="1" t="s">
        <v>126</v>
      </c>
      <c r="Y241" s="14">
        <v>45183</v>
      </c>
      <c r="Z241" s="9" t="s">
        <v>817</v>
      </c>
      <c r="AB241" s="14">
        <v>45182</v>
      </c>
      <c r="AC241" s="9" t="s">
        <v>817</v>
      </c>
      <c r="AD241" s="9" t="s">
        <v>818</v>
      </c>
      <c r="AE241" s="1" t="s">
        <v>819</v>
      </c>
      <c r="AF241" s="14" t="s">
        <v>820</v>
      </c>
      <c r="AG241" s="9" t="s">
        <v>821</v>
      </c>
      <c r="AH241" s="1" t="s">
        <v>9</v>
      </c>
      <c r="AI241" s="9" t="s">
        <v>10</v>
      </c>
      <c r="AJ241" s="1" t="s">
        <v>11</v>
      </c>
      <c r="AK241" s="1" t="s">
        <v>1669</v>
      </c>
      <c r="AL241" s="1" t="s">
        <v>1670</v>
      </c>
      <c r="AM241" s="9">
        <v>11655</v>
      </c>
      <c r="AN241" s="1" t="s">
        <v>407</v>
      </c>
      <c r="AO241" s="1" t="s">
        <v>408</v>
      </c>
      <c r="AP241" s="1" t="s">
        <v>1671</v>
      </c>
      <c r="AQ241" s="14">
        <v>45658</v>
      </c>
      <c r="AU241" s="14">
        <v>45799</v>
      </c>
      <c r="AV241" s="16">
        <v>0</v>
      </c>
      <c r="AW241" s="16">
        <v>0</v>
      </c>
      <c r="BA241" s="1" t="s">
        <v>911</v>
      </c>
      <c r="BB241" s="9">
        <v>7</v>
      </c>
      <c r="BC241" s="1" t="s">
        <v>826</v>
      </c>
      <c r="BD241" s="9" t="s">
        <v>807</v>
      </c>
      <c r="BE241" s="1" t="s">
        <v>1642</v>
      </c>
      <c r="BF241" s="1" t="s">
        <v>380</v>
      </c>
      <c r="BG241" s="1" t="s">
        <v>1627</v>
      </c>
      <c r="BH241" s="1" t="s">
        <v>1628</v>
      </c>
      <c r="BI241" s="20" t="s">
        <v>1055</v>
      </c>
      <c r="BJ241" s="21" t="str">
        <f t="shared" si="3"/>
        <v>FIXO</v>
      </c>
    </row>
    <row r="242" spans="1:62" x14ac:dyDescent="0.25">
      <c r="A242" s="7">
        <v>5</v>
      </c>
      <c r="B242" s="1" t="s">
        <v>71</v>
      </c>
      <c r="C242" s="8">
        <v>8</v>
      </c>
      <c r="D242" s="9" t="s">
        <v>807</v>
      </c>
      <c r="E242" s="10">
        <v>16165</v>
      </c>
      <c r="F242" s="11" t="s">
        <v>1672</v>
      </c>
      <c r="G242" s="12" t="s">
        <v>71</v>
      </c>
      <c r="H242" s="13" t="str">
        <f>VLOOKUP(AP242,[1]Listas!A:B,2,0)</f>
        <v xml:space="preserve">FNOH </v>
      </c>
      <c r="I242" s="1" t="s">
        <v>362</v>
      </c>
      <c r="J242" s="12"/>
      <c r="K242" s="12"/>
      <c r="L242" s="12"/>
      <c r="M242" s="1" t="s">
        <v>409</v>
      </c>
      <c r="N242" s="14">
        <v>34285</v>
      </c>
      <c r="O242" s="1" t="s">
        <v>855</v>
      </c>
      <c r="P242" s="1" t="s">
        <v>856</v>
      </c>
      <c r="Q242" s="15" t="s">
        <v>807</v>
      </c>
      <c r="R242" s="1" t="s">
        <v>857</v>
      </c>
      <c r="S242" s="1" t="s">
        <v>868</v>
      </c>
      <c r="T242" s="1" t="s">
        <v>869</v>
      </c>
      <c r="U242" s="9" t="s">
        <v>814</v>
      </c>
      <c r="V242" s="1" t="s">
        <v>815</v>
      </c>
      <c r="W242" s="1" t="s">
        <v>1673</v>
      </c>
      <c r="X242" s="1" t="s">
        <v>410</v>
      </c>
      <c r="Y242" s="14">
        <v>45901</v>
      </c>
      <c r="Z242" s="9" t="s">
        <v>817</v>
      </c>
      <c r="AB242" s="14">
        <v>45205</v>
      </c>
      <c r="AC242" s="9" t="s">
        <v>817</v>
      </c>
      <c r="AD242" s="9" t="s">
        <v>818</v>
      </c>
      <c r="AE242" s="1" t="s">
        <v>819</v>
      </c>
      <c r="AF242" s="14" t="s">
        <v>820</v>
      </c>
      <c r="AG242" s="9" t="s">
        <v>821</v>
      </c>
      <c r="AH242" s="1" t="s">
        <v>9</v>
      </c>
      <c r="AI242" s="9" t="s">
        <v>10</v>
      </c>
      <c r="AJ242" s="1" t="s">
        <v>11</v>
      </c>
      <c r="AK242" s="1" t="s">
        <v>1674</v>
      </c>
      <c r="AL242" s="1" t="s">
        <v>1675</v>
      </c>
      <c r="AM242" s="9">
        <v>11648</v>
      </c>
      <c r="AN242" s="1" t="s">
        <v>389</v>
      </c>
      <c r="AO242" s="1" t="s">
        <v>390</v>
      </c>
      <c r="AP242" s="1" t="s">
        <v>1641</v>
      </c>
      <c r="AQ242" s="14">
        <v>45658</v>
      </c>
      <c r="AU242" s="14">
        <v>45681</v>
      </c>
      <c r="AV242" s="16">
        <v>0</v>
      </c>
      <c r="AW242" s="16">
        <v>0</v>
      </c>
      <c r="BA242" s="1" t="s">
        <v>911</v>
      </c>
      <c r="BB242" s="9">
        <v>7</v>
      </c>
      <c r="BC242" s="1" t="s">
        <v>826</v>
      </c>
      <c r="BD242" s="9" t="s">
        <v>807</v>
      </c>
      <c r="BE242" s="1" t="s">
        <v>1642</v>
      </c>
      <c r="BF242" s="1" t="s">
        <v>380</v>
      </c>
      <c r="BG242" s="1" t="s">
        <v>1627</v>
      </c>
      <c r="BH242" s="1" t="s">
        <v>1628</v>
      </c>
      <c r="BI242" s="20" t="s">
        <v>1661</v>
      </c>
      <c r="BJ242" s="21" t="str">
        <f t="shared" si="3"/>
        <v>FIXO</v>
      </c>
    </row>
    <row r="243" spans="1:62" x14ac:dyDescent="0.25">
      <c r="A243" s="7">
        <v>5</v>
      </c>
      <c r="B243" s="1" t="s">
        <v>71</v>
      </c>
      <c r="C243" s="8">
        <v>5</v>
      </c>
      <c r="D243" s="9" t="s">
        <v>807</v>
      </c>
      <c r="E243" s="10">
        <v>16211</v>
      </c>
      <c r="F243" s="11" t="s">
        <v>1676</v>
      </c>
      <c r="G243" s="1" t="s">
        <v>41</v>
      </c>
      <c r="H243" s="13" t="str">
        <f>VLOOKUP(AP243,[1]Listas!A:B,2,0)</f>
        <v xml:space="preserve">FESP </v>
      </c>
      <c r="I243" s="1" t="s">
        <v>38</v>
      </c>
      <c r="J243" s="12"/>
      <c r="K243" s="12"/>
      <c r="L243" s="1" t="s">
        <v>38</v>
      </c>
      <c r="M243" s="1" t="s">
        <v>411</v>
      </c>
      <c r="N243" s="14">
        <v>38519</v>
      </c>
      <c r="O243" s="1" t="s">
        <v>855</v>
      </c>
      <c r="P243" s="1" t="s">
        <v>856</v>
      </c>
      <c r="Q243" s="15" t="s">
        <v>807</v>
      </c>
      <c r="R243" s="1" t="s">
        <v>857</v>
      </c>
      <c r="S243" s="1" t="s">
        <v>868</v>
      </c>
      <c r="T243" s="1" t="s">
        <v>869</v>
      </c>
      <c r="U243" s="9" t="s">
        <v>880</v>
      </c>
      <c r="V243" s="1" t="s">
        <v>881</v>
      </c>
      <c r="W243" s="1" t="s">
        <v>1123</v>
      </c>
      <c r="X243" s="1" t="s">
        <v>168</v>
      </c>
      <c r="Y243" s="14">
        <v>45213</v>
      </c>
      <c r="Z243" s="9" t="s">
        <v>817</v>
      </c>
      <c r="AB243" s="14">
        <v>45212</v>
      </c>
      <c r="AC243" s="9" t="s">
        <v>817</v>
      </c>
      <c r="AD243" s="9" t="s">
        <v>818</v>
      </c>
      <c r="AE243" s="1" t="s">
        <v>819</v>
      </c>
      <c r="AF243" s="14" t="s">
        <v>820</v>
      </c>
      <c r="AG243" s="9" t="s">
        <v>999</v>
      </c>
      <c r="AH243" s="1" t="s">
        <v>105</v>
      </c>
      <c r="AI243" s="9" t="s">
        <v>10</v>
      </c>
      <c r="AJ243" s="1" t="s">
        <v>11</v>
      </c>
      <c r="AK243" s="1" t="s">
        <v>1677</v>
      </c>
      <c r="AL243" s="1" t="s">
        <v>1125</v>
      </c>
      <c r="AM243" s="9">
        <v>11358</v>
      </c>
      <c r="AN243" s="1" t="s">
        <v>169</v>
      </c>
      <c r="AO243" s="1" t="s">
        <v>170</v>
      </c>
      <c r="AP243" s="1" t="s">
        <v>1126</v>
      </c>
      <c r="AQ243" s="14">
        <v>45658</v>
      </c>
      <c r="AU243" s="14">
        <v>45799</v>
      </c>
      <c r="AV243" s="16">
        <v>0</v>
      </c>
      <c r="AW243" s="16">
        <v>0</v>
      </c>
      <c r="BA243" s="1" t="s">
        <v>911</v>
      </c>
      <c r="BB243" s="9">
        <v>1</v>
      </c>
      <c r="BC243" s="1" t="s">
        <v>862</v>
      </c>
      <c r="BD243" s="9" t="s">
        <v>807</v>
      </c>
      <c r="BE243" s="1" t="s">
        <v>893</v>
      </c>
      <c r="BF243" s="1" t="s">
        <v>38</v>
      </c>
      <c r="BG243" s="1" t="s">
        <v>883</v>
      </c>
      <c r="BH243" s="1" t="s">
        <v>884</v>
      </c>
      <c r="BI243" s="20" t="s">
        <v>983</v>
      </c>
      <c r="BJ243" s="21" t="str">
        <f t="shared" si="3"/>
        <v>FIXO</v>
      </c>
    </row>
    <row r="244" spans="1:62" x14ac:dyDescent="0.25">
      <c r="A244" s="7">
        <v>5</v>
      </c>
      <c r="B244" s="1" t="s">
        <v>71</v>
      </c>
      <c r="C244" s="8">
        <v>5</v>
      </c>
      <c r="D244" s="9" t="s">
        <v>807</v>
      </c>
      <c r="E244" s="10">
        <v>16274</v>
      </c>
      <c r="F244" s="11" t="s">
        <v>1678</v>
      </c>
      <c r="G244" s="12" t="s">
        <v>71</v>
      </c>
      <c r="H244" s="13" t="str">
        <f>VLOOKUP(AP244,[1]Listas!A:B,2,0)</f>
        <v xml:space="preserve">FESP </v>
      </c>
      <c r="I244" s="1" t="s">
        <v>27</v>
      </c>
      <c r="J244" s="12"/>
      <c r="K244" s="1" t="s">
        <v>21</v>
      </c>
      <c r="L244" s="1" t="s">
        <v>1167</v>
      </c>
      <c r="M244" s="1" t="s">
        <v>412</v>
      </c>
      <c r="N244" s="14">
        <v>33734</v>
      </c>
      <c r="O244" s="1" t="s">
        <v>809</v>
      </c>
      <c r="P244" s="1" t="s">
        <v>810</v>
      </c>
      <c r="Q244" s="15" t="s">
        <v>807</v>
      </c>
      <c r="R244" s="1" t="s">
        <v>857</v>
      </c>
      <c r="S244" s="1" t="s">
        <v>868</v>
      </c>
      <c r="T244" s="1" t="s">
        <v>869</v>
      </c>
      <c r="U244" s="9" t="s">
        <v>814</v>
      </c>
      <c r="V244" s="1" t="s">
        <v>815</v>
      </c>
      <c r="W244" s="1" t="s">
        <v>1051</v>
      </c>
      <c r="X244" s="1" t="s">
        <v>126</v>
      </c>
      <c r="Y244" s="14">
        <v>45262</v>
      </c>
      <c r="Z244" s="9" t="s">
        <v>817</v>
      </c>
      <c r="AB244" s="14">
        <v>45240</v>
      </c>
      <c r="AC244" s="9" t="s">
        <v>817</v>
      </c>
      <c r="AD244" s="9" t="s">
        <v>818</v>
      </c>
      <c r="AE244" s="1" t="s">
        <v>819</v>
      </c>
      <c r="AF244" s="14">
        <v>45915</v>
      </c>
      <c r="AG244" s="9" t="s">
        <v>821</v>
      </c>
      <c r="AH244" s="1" t="s">
        <v>9</v>
      </c>
      <c r="AI244" s="9" t="s">
        <v>179</v>
      </c>
      <c r="AJ244" s="1" t="s">
        <v>180</v>
      </c>
      <c r="AK244" s="1" t="s">
        <v>1679</v>
      </c>
      <c r="AL244" s="1" t="s">
        <v>1511</v>
      </c>
      <c r="AM244" s="9">
        <v>11355</v>
      </c>
      <c r="AN244" s="1" t="s">
        <v>127</v>
      </c>
      <c r="AO244" s="1" t="s">
        <v>196</v>
      </c>
      <c r="AP244" s="1" t="s">
        <v>1172</v>
      </c>
      <c r="AQ244" s="14">
        <v>45658</v>
      </c>
      <c r="AU244" s="14">
        <v>45799</v>
      </c>
      <c r="AV244" s="16">
        <v>0</v>
      </c>
      <c r="AW244" s="16">
        <v>0</v>
      </c>
      <c r="BA244" s="1" t="s">
        <v>911</v>
      </c>
      <c r="BB244" s="9">
        <v>1</v>
      </c>
      <c r="BC244" s="1" t="s">
        <v>862</v>
      </c>
      <c r="BD244" s="9" t="s">
        <v>807</v>
      </c>
      <c r="BE244" s="1" t="s">
        <v>1160</v>
      </c>
      <c r="BF244" s="1" t="s">
        <v>21</v>
      </c>
      <c r="BG244" s="1" t="s">
        <v>846</v>
      </c>
      <c r="BH244" s="1" t="s">
        <v>847</v>
      </c>
      <c r="BI244" s="1" t="s">
        <v>1055</v>
      </c>
      <c r="BJ244" s="21" t="str">
        <f t="shared" si="3"/>
        <v>FIXO</v>
      </c>
    </row>
    <row r="245" spans="1:62" x14ac:dyDescent="0.25">
      <c r="A245" s="7">
        <v>5</v>
      </c>
      <c r="B245" s="1" t="s">
        <v>71</v>
      </c>
      <c r="C245" s="8">
        <v>5</v>
      </c>
      <c r="D245" s="9" t="s">
        <v>807</v>
      </c>
      <c r="E245" s="10">
        <v>16460</v>
      </c>
      <c r="F245" s="11" t="s">
        <v>1680</v>
      </c>
      <c r="G245" s="12" t="s">
        <v>71</v>
      </c>
      <c r="H245" s="13" t="str">
        <f>VLOOKUP(AP245,[1]Listas!A:B,2,0)</f>
        <v xml:space="preserve">FESP </v>
      </c>
      <c r="I245" s="1" t="s">
        <v>27</v>
      </c>
      <c r="J245" s="12"/>
      <c r="K245" s="1" t="s">
        <v>21</v>
      </c>
      <c r="L245" s="1" t="s">
        <v>1167</v>
      </c>
      <c r="M245" s="1" t="s">
        <v>413</v>
      </c>
      <c r="N245" s="14">
        <v>36531</v>
      </c>
      <c r="O245" s="1" t="s">
        <v>809</v>
      </c>
      <c r="P245" s="1" t="s">
        <v>810</v>
      </c>
      <c r="Q245" s="15" t="s">
        <v>807</v>
      </c>
      <c r="R245" s="1" t="s">
        <v>857</v>
      </c>
      <c r="S245" s="1" t="s">
        <v>868</v>
      </c>
      <c r="T245" s="1" t="s">
        <v>869</v>
      </c>
      <c r="U245" s="9" t="s">
        <v>814</v>
      </c>
      <c r="V245" s="1" t="s">
        <v>815</v>
      </c>
      <c r="W245" s="1" t="s">
        <v>1051</v>
      </c>
      <c r="X245" s="1" t="s">
        <v>126</v>
      </c>
      <c r="Y245" s="14">
        <v>45353</v>
      </c>
      <c r="Z245" s="9" t="s">
        <v>817</v>
      </c>
      <c r="AB245" s="14">
        <v>45240</v>
      </c>
      <c r="AC245" s="9" t="s">
        <v>817</v>
      </c>
      <c r="AD245" s="9" t="s">
        <v>818</v>
      </c>
      <c r="AE245" s="1" t="s">
        <v>819</v>
      </c>
      <c r="AF245" s="14">
        <v>45881</v>
      </c>
      <c r="AG245" s="9" t="s">
        <v>821</v>
      </c>
      <c r="AH245" s="1" t="s">
        <v>9</v>
      </c>
      <c r="AI245" s="9" t="s">
        <v>23</v>
      </c>
      <c r="AJ245" s="1" t="s">
        <v>24</v>
      </c>
      <c r="AK245" s="1" t="s">
        <v>1679</v>
      </c>
      <c r="AL245" s="1" t="s">
        <v>1511</v>
      </c>
      <c r="AM245" s="9">
        <v>11355</v>
      </c>
      <c r="AN245" s="1" t="s">
        <v>127</v>
      </c>
      <c r="AO245" s="1" t="s">
        <v>196</v>
      </c>
      <c r="AP245" s="1" t="s">
        <v>1172</v>
      </c>
      <c r="AQ245" s="14">
        <v>45658</v>
      </c>
      <c r="AU245" s="14">
        <v>45793</v>
      </c>
      <c r="AV245" s="16">
        <v>0</v>
      </c>
      <c r="AW245" s="16">
        <v>0</v>
      </c>
      <c r="BA245" s="1" t="s">
        <v>911</v>
      </c>
      <c r="BB245" s="9">
        <v>30</v>
      </c>
      <c r="BC245" s="1" t="s">
        <v>1681</v>
      </c>
      <c r="BD245" s="9" t="s">
        <v>807</v>
      </c>
      <c r="BE245" s="1" t="s">
        <v>1160</v>
      </c>
      <c r="BF245" s="1" t="s">
        <v>21</v>
      </c>
      <c r="BG245" s="1" t="s">
        <v>846</v>
      </c>
      <c r="BH245" s="1" t="s">
        <v>847</v>
      </c>
      <c r="BI245" s="1" t="s">
        <v>1055</v>
      </c>
      <c r="BJ245" s="21" t="str">
        <f t="shared" si="3"/>
        <v>FIXO</v>
      </c>
    </row>
    <row r="246" spans="1:62" x14ac:dyDescent="0.25">
      <c r="A246" s="7">
        <v>5</v>
      </c>
      <c r="B246" s="1" t="s">
        <v>71</v>
      </c>
      <c r="C246" s="8">
        <v>8</v>
      </c>
      <c r="D246" s="9" t="s">
        <v>807</v>
      </c>
      <c r="E246" s="10">
        <v>16496</v>
      </c>
      <c r="F246" s="11" t="s">
        <v>1682</v>
      </c>
      <c r="G246" s="12" t="s">
        <v>71</v>
      </c>
      <c r="H246" s="13" t="str">
        <f>VLOOKUP(AP246,[1]Listas!A:B,2,0)</f>
        <v xml:space="preserve">FNOH </v>
      </c>
      <c r="I246" s="1" t="s">
        <v>362</v>
      </c>
      <c r="J246" s="12"/>
      <c r="K246" s="12"/>
      <c r="L246" s="12"/>
      <c r="M246" s="1" t="s">
        <v>414</v>
      </c>
      <c r="N246" s="14">
        <v>34096</v>
      </c>
      <c r="O246" s="1" t="s">
        <v>855</v>
      </c>
      <c r="P246" s="1" t="s">
        <v>856</v>
      </c>
      <c r="Q246" s="15" t="s">
        <v>807</v>
      </c>
      <c r="R246" s="1" t="s">
        <v>857</v>
      </c>
      <c r="S246" s="1" t="s">
        <v>868</v>
      </c>
      <c r="T246" s="1" t="s">
        <v>869</v>
      </c>
      <c r="U246" s="9" t="s">
        <v>1031</v>
      </c>
      <c r="V246" s="1" t="s">
        <v>1100</v>
      </c>
      <c r="W246" s="1" t="s">
        <v>1683</v>
      </c>
      <c r="X246" s="1" t="s">
        <v>415</v>
      </c>
      <c r="Y246" s="14">
        <v>45658</v>
      </c>
      <c r="Z246" s="9" t="s">
        <v>817</v>
      </c>
      <c r="AB246" s="14">
        <v>45244</v>
      </c>
      <c r="AC246" s="9" t="s">
        <v>817</v>
      </c>
      <c r="AD246" s="9" t="s">
        <v>818</v>
      </c>
      <c r="AE246" s="1" t="s">
        <v>819</v>
      </c>
      <c r="AF246" s="14" t="s">
        <v>820</v>
      </c>
      <c r="AG246" s="9" t="s">
        <v>821</v>
      </c>
      <c r="AH246" s="1" t="s">
        <v>9</v>
      </c>
      <c r="AI246" s="9" t="s">
        <v>10</v>
      </c>
      <c r="AJ246" s="1" t="s">
        <v>11</v>
      </c>
      <c r="AK246" s="1" t="s">
        <v>1684</v>
      </c>
      <c r="AL246" s="1" t="s">
        <v>1685</v>
      </c>
      <c r="AM246" s="9">
        <v>11648</v>
      </c>
      <c r="AN246" s="1" t="s">
        <v>389</v>
      </c>
      <c r="AO246" s="1" t="s">
        <v>390</v>
      </c>
      <c r="AP246" s="1" t="s">
        <v>1641</v>
      </c>
      <c r="AQ246" s="14">
        <v>45658</v>
      </c>
      <c r="AU246" s="14">
        <v>45799</v>
      </c>
      <c r="AV246" s="16">
        <v>0</v>
      </c>
      <c r="AW246" s="16">
        <v>0</v>
      </c>
      <c r="BA246" s="1" t="s">
        <v>911</v>
      </c>
      <c r="BB246" s="9">
        <v>7</v>
      </c>
      <c r="BC246" s="1" t="s">
        <v>826</v>
      </c>
      <c r="BD246" s="9" t="s">
        <v>807</v>
      </c>
      <c r="BE246" s="1" t="s">
        <v>1642</v>
      </c>
      <c r="BF246" s="1" t="s">
        <v>380</v>
      </c>
      <c r="BG246" s="1" t="s">
        <v>1627</v>
      </c>
      <c r="BH246" s="1" t="s">
        <v>1628</v>
      </c>
      <c r="BI246" s="20" t="s">
        <v>1661</v>
      </c>
      <c r="BJ246" s="21" t="str">
        <f t="shared" si="3"/>
        <v>FIXO</v>
      </c>
    </row>
    <row r="247" spans="1:62" x14ac:dyDescent="0.25">
      <c r="A247" s="7">
        <v>5</v>
      </c>
      <c r="B247" s="1" t="s">
        <v>71</v>
      </c>
      <c r="C247" s="8">
        <v>4</v>
      </c>
      <c r="D247" s="9" t="s">
        <v>807</v>
      </c>
      <c r="E247" s="10">
        <v>16862</v>
      </c>
      <c r="F247" s="11" t="s">
        <v>1686</v>
      </c>
      <c r="G247" s="12" t="s">
        <v>271</v>
      </c>
      <c r="H247" s="13" t="str">
        <f>VLOOKUP(AP247,[1]Listas!A:B,2,0)</f>
        <v xml:space="preserve">FPAR </v>
      </c>
      <c r="I247" s="1" t="s">
        <v>296</v>
      </c>
      <c r="J247" s="12"/>
      <c r="K247" s="12"/>
      <c r="L247" s="1" t="s">
        <v>296</v>
      </c>
      <c r="M247" s="1" t="s">
        <v>1687</v>
      </c>
      <c r="N247" s="14">
        <v>29621</v>
      </c>
      <c r="O247" s="1" t="s">
        <v>855</v>
      </c>
      <c r="P247" s="1" t="s">
        <v>856</v>
      </c>
      <c r="Q247" s="15" t="s">
        <v>811</v>
      </c>
      <c r="R247" s="1" t="s">
        <v>812</v>
      </c>
      <c r="S247" s="1" t="s">
        <v>868</v>
      </c>
      <c r="T247" s="1" t="s">
        <v>869</v>
      </c>
      <c r="U247" s="9" t="s">
        <v>1031</v>
      </c>
      <c r="V247" s="1" t="s">
        <v>1100</v>
      </c>
      <c r="W247" s="1" t="s">
        <v>979</v>
      </c>
      <c r="X247" s="1" t="s">
        <v>92</v>
      </c>
      <c r="Y247" s="14">
        <v>45279</v>
      </c>
      <c r="Z247" s="9" t="s">
        <v>817</v>
      </c>
      <c r="AB247" s="14">
        <v>45278</v>
      </c>
      <c r="AC247" s="9" t="s">
        <v>817</v>
      </c>
      <c r="AD247" s="9" t="s">
        <v>818</v>
      </c>
      <c r="AE247" s="1" t="s">
        <v>819</v>
      </c>
      <c r="AF247" s="14" t="s">
        <v>820</v>
      </c>
      <c r="AG247" s="9" t="s">
        <v>821</v>
      </c>
      <c r="AH247" s="1" t="s">
        <v>9</v>
      </c>
      <c r="AI247" s="9" t="s">
        <v>10</v>
      </c>
      <c r="AJ247" s="1" t="s">
        <v>11</v>
      </c>
      <c r="AK247" s="1" t="s">
        <v>1688</v>
      </c>
      <c r="AL247" s="1" t="s">
        <v>1689</v>
      </c>
      <c r="AM247" s="9">
        <v>11258</v>
      </c>
      <c r="AN247" s="1" t="s">
        <v>169</v>
      </c>
      <c r="AO247" s="1" t="s">
        <v>367</v>
      </c>
      <c r="AP247" s="1" t="s">
        <v>1592</v>
      </c>
      <c r="AQ247" s="14">
        <v>45658</v>
      </c>
      <c r="AU247" s="14">
        <v>45799</v>
      </c>
      <c r="AV247" s="16">
        <v>30</v>
      </c>
      <c r="AW247" s="16">
        <v>0</v>
      </c>
      <c r="BA247" s="1" t="s">
        <v>911</v>
      </c>
      <c r="BB247" s="9">
        <v>7</v>
      </c>
      <c r="BC247" s="1" t="s">
        <v>826</v>
      </c>
      <c r="BD247" s="9" t="s">
        <v>807</v>
      </c>
      <c r="BE247" s="1" t="s">
        <v>1017</v>
      </c>
      <c r="BI247" s="20" t="s">
        <v>983</v>
      </c>
      <c r="BJ247" s="21" t="str">
        <f t="shared" si="3"/>
        <v>FIXO</v>
      </c>
    </row>
    <row r="248" spans="1:62" x14ac:dyDescent="0.25">
      <c r="A248" s="7">
        <v>5</v>
      </c>
      <c r="B248" s="1" t="s">
        <v>71</v>
      </c>
      <c r="C248" s="8">
        <v>5</v>
      </c>
      <c r="D248" s="9" t="s">
        <v>807</v>
      </c>
      <c r="E248" s="10">
        <v>16881</v>
      </c>
      <c r="F248" s="11" t="s">
        <v>1690</v>
      </c>
      <c r="G248" s="12" t="s">
        <v>71</v>
      </c>
      <c r="H248" s="13" t="str">
        <f>VLOOKUP(AP248,[1]Listas!A:B,2,0)</f>
        <v xml:space="preserve">FESP </v>
      </c>
      <c r="I248" s="1" t="s">
        <v>27</v>
      </c>
      <c r="J248" s="12"/>
      <c r="K248" s="1" t="s">
        <v>21</v>
      </c>
      <c r="L248" s="12"/>
      <c r="M248" s="1" t="s">
        <v>416</v>
      </c>
      <c r="N248" s="14">
        <v>28786</v>
      </c>
      <c r="O248" s="1" t="s">
        <v>809</v>
      </c>
      <c r="P248" s="1" t="s">
        <v>810</v>
      </c>
      <c r="Q248" s="15" t="s">
        <v>807</v>
      </c>
      <c r="R248" s="1" t="s">
        <v>857</v>
      </c>
      <c r="S248" s="1" t="s">
        <v>868</v>
      </c>
      <c r="T248" s="1" t="s">
        <v>869</v>
      </c>
      <c r="U248" s="9" t="s">
        <v>811</v>
      </c>
      <c r="V248" s="1" t="s">
        <v>870</v>
      </c>
      <c r="W248" s="1" t="s">
        <v>1220</v>
      </c>
      <c r="X248" s="1" t="s">
        <v>220</v>
      </c>
      <c r="Y248" s="14">
        <v>45374</v>
      </c>
      <c r="Z248" s="9" t="s">
        <v>817</v>
      </c>
      <c r="AB248" s="14">
        <v>45280</v>
      </c>
      <c r="AC248" s="9" t="s">
        <v>817</v>
      </c>
      <c r="AD248" s="9" t="s">
        <v>818</v>
      </c>
      <c r="AE248" s="1" t="s">
        <v>819</v>
      </c>
      <c r="AF248" s="14">
        <v>45917</v>
      </c>
      <c r="AG248" s="9" t="s">
        <v>821</v>
      </c>
      <c r="AH248" s="1" t="s">
        <v>9</v>
      </c>
      <c r="AI248" s="9" t="s">
        <v>179</v>
      </c>
      <c r="AJ248" s="1" t="s">
        <v>180</v>
      </c>
      <c r="AK248" s="1" t="s">
        <v>1566</v>
      </c>
      <c r="AL248" s="1" t="s">
        <v>1460</v>
      </c>
      <c r="AM248" s="9">
        <v>11318</v>
      </c>
      <c r="AN248" s="1" t="s">
        <v>122</v>
      </c>
      <c r="AO248" s="1" t="s">
        <v>94</v>
      </c>
      <c r="AP248" s="1" t="s">
        <v>982</v>
      </c>
      <c r="AQ248" s="14">
        <v>45658</v>
      </c>
      <c r="AU248" s="14">
        <v>45679</v>
      </c>
      <c r="AV248" s="16">
        <v>0</v>
      </c>
      <c r="AW248" s="16">
        <v>0</v>
      </c>
      <c r="BA248" s="1" t="s">
        <v>911</v>
      </c>
      <c r="BB248" s="9">
        <v>7</v>
      </c>
      <c r="BC248" s="1" t="s">
        <v>826</v>
      </c>
      <c r="BD248" s="9" t="s">
        <v>807</v>
      </c>
      <c r="BE248" s="1" t="s">
        <v>1160</v>
      </c>
      <c r="BF248" s="1" t="s">
        <v>21</v>
      </c>
      <c r="BG248" s="1" t="s">
        <v>846</v>
      </c>
      <c r="BH248" s="1" t="s">
        <v>847</v>
      </c>
      <c r="BI248" s="1" t="s">
        <v>1055</v>
      </c>
      <c r="BJ248" s="21" t="str">
        <f t="shared" si="3"/>
        <v>FIXO</v>
      </c>
    </row>
    <row r="249" spans="1:62" x14ac:dyDescent="0.25">
      <c r="A249" s="7">
        <v>5</v>
      </c>
      <c r="B249" s="1" t="s">
        <v>71</v>
      </c>
      <c r="C249" s="8">
        <v>5</v>
      </c>
      <c r="D249" s="9" t="s">
        <v>807</v>
      </c>
      <c r="E249" s="10">
        <v>16955</v>
      </c>
      <c r="F249" s="11" t="s">
        <v>1691</v>
      </c>
      <c r="G249" s="1" t="s">
        <v>41</v>
      </c>
      <c r="H249" s="13" t="str">
        <f>VLOOKUP(AP249,[1]Listas!A:B,2,0)</f>
        <v xml:space="preserve">FESP </v>
      </c>
      <c r="I249" s="1" t="s">
        <v>38</v>
      </c>
      <c r="J249" s="1" t="s">
        <v>37</v>
      </c>
      <c r="K249" s="12"/>
      <c r="L249" s="1" t="s">
        <v>259</v>
      </c>
      <c r="M249" s="1" t="s">
        <v>417</v>
      </c>
      <c r="N249" s="14">
        <v>36016</v>
      </c>
      <c r="O249" s="1" t="s">
        <v>855</v>
      </c>
      <c r="P249" s="1" t="s">
        <v>856</v>
      </c>
      <c r="Q249" s="15" t="s">
        <v>807</v>
      </c>
      <c r="R249" s="1" t="s">
        <v>857</v>
      </c>
      <c r="S249" s="1" t="s">
        <v>868</v>
      </c>
      <c r="T249" s="1" t="s">
        <v>869</v>
      </c>
      <c r="U249" s="9" t="s">
        <v>814</v>
      </c>
      <c r="V249" s="1" t="s">
        <v>815</v>
      </c>
      <c r="W249" s="1" t="s">
        <v>871</v>
      </c>
      <c r="X249" s="1" t="s">
        <v>34</v>
      </c>
      <c r="Y249" s="14">
        <v>45393</v>
      </c>
      <c r="Z249" s="9" t="s">
        <v>817</v>
      </c>
      <c r="AB249" s="14">
        <v>45301</v>
      </c>
      <c r="AC249" s="9" t="s">
        <v>817</v>
      </c>
      <c r="AD249" s="9" t="s">
        <v>818</v>
      </c>
      <c r="AE249" s="1" t="s">
        <v>819</v>
      </c>
      <c r="AF249" s="14">
        <v>45812</v>
      </c>
      <c r="AG249" s="9" t="s">
        <v>821</v>
      </c>
      <c r="AH249" s="1" t="s">
        <v>9</v>
      </c>
      <c r="AI249" s="9" t="s">
        <v>120</v>
      </c>
      <c r="AJ249" s="1" t="s">
        <v>121</v>
      </c>
      <c r="AK249" s="1" t="s">
        <v>1692</v>
      </c>
      <c r="AL249" s="1" t="s">
        <v>1178</v>
      </c>
      <c r="AM249" s="9">
        <v>11343</v>
      </c>
      <c r="AN249" s="1" t="s">
        <v>114</v>
      </c>
      <c r="AO249" s="1" t="s">
        <v>36</v>
      </c>
      <c r="AP249" s="1" t="s">
        <v>874</v>
      </c>
      <c r="AQ249" s="14">
        <v>45658</v>
      </c>
      <c r="AU249" s="14">
        <v>45799</v>
      </c>
      <c r="AV249" s="16">
        <v>0</v>
      </c>
      <c r="AW249" s="16">
        <v>0</v>
      </c>
      <c r="BA249" s="1" t="s">
        <v>911</v>
      </c>
      <c r="BB249" s="9">
        <v>1</v>
      </c>
      <c r="BC249" s="1" t="s">
        <v>862</v>
      </c>
      <c r="BD249" s="9" t="s">
        <v>807</v>
      </c>
      <c r="BE249" s="1" t="s">
        <v>893</v>
      </c>
      <c r="BF249" s="23" t="s">
        <v>38</v>
      </c>
      <c r="BG249" s="1" t="s">
        <v>883</v>
      </c>
      <c r="BH249" s="1" t="s">
        <v>884</v>
      </c>
      <c r="BI249" s="25" t="s">
        <v>1118</v>
      </c>
      <c r="BJ249" s="21" t="str">
        <f t="shared" si="3"/>
        <v>FIXO</v>
      </c>
    </row>
    <row r="250" spans="1:62" x14ac:dyDescent="0.25">
      <c r="A250" s="7">
        <v>5</v>
      </c>
      <c r="B250" s="1" t="s">
        <v>71</v>
      </c>
      <c r="C250" s="8">
        <v>4</v>
      </c>
      <c r="D250" s="9" t="s">
        <v>807</v>
      </c>
      <c r="E250" s="10">
        <v>17002</v>
      </c>
      <c r="F250" s="11" t="s">
        <v>1693</v>
      </c>
      <c r="G250" s="12" t="s">
        <v>271</v>
      </c>
      <c r="H250" s="13" t="str">
        <f>VLOOKUP(AP250,[1]Listas!A:B,2,0)</f>
        <v xml:space="preserve">FPAR </v>
      </c>
      <c r="I250" s="1" t="s">
        <v>296</v>
      </c>
      <c r="J250" s="12"/>
      <c r="K250" s="12"/>
      <c r="L250" s="1" t="s">
        <v>296</v>
      </c>
      <c r="M250" s="1" t="s">
        <v>1694</v>
      </c>
      <c r="N250" s="14">
        <v>32842</v>
      </c>
      <c r="O250" s="1" t="s">
        <v>855</v>
      </c>
      <c r="P250" s="1" t="s">
        <v>856</v>
      </c>
      <c r="Q250" s="15" t="s">
        <v>807</v>
      </c>
      <c r="R250" s="1" t="s">
        <v>857</v>
      </c>
      <c r="S250" s="1" t="s">
        <v>868</v>
      </c>
      <c r="T250" s="1" t="s">
        <v>869</v>
      </c>
      <c r="U250" s="9" t="s">
        <v>814</v>
      </c>
      <c r="V250" s="1" t="s">
        <v>815</v>
      </c>
      <c r="W250" s="1" t="s">
        <v>871</v>
      </c>
      <c r="X250" s="1" t="s">
        <v>34</v>
      </c>
      <c r="Y250" s="14">
        <v>45296</v>
      </c>
      <c r="Z250" s="9" t="s">
        <v>817</v>
      </c>
      <c r="AB250" s="14">
        <v>45295</v>
      </c>
      <c r="AC250" s="9" t="s">
        <v>817</v>
      </c>
      <c r="AD250" s="9" t="s">
        <v>818</v>
      </c>
      <c r="AE250" s="1" t="s">
        <v>819</v>
      </c>
      <c r="AF250" s="14" t="s">
        <v>820</v>
      </c>
      <c r="AG250" s="9" t="s">
        <v>821</v>
      </c>
      <c r="AH250" s="1" t="s">
        <v>9</v>
      </c>
      <c r="AI250" s="9" t="s">
        <v>10</v>
      </c>
      <c r="AJ250" s="1" t="s">
        <v>11</v>
      </c>
      <c r="AK250" s="1" t="s">
        <v>1573</v>
      </c>
      <c r="AL250" s="1" t="s">
        <v>1343</v>
      </c>
      <c r="AM250" s="9">
        <v>11271</v>
      </c>
      <c r="AN250" s="1" t="s">
        <v>276</v>
      </c>
      <c r="AO250" s="1" t="s">
        <v>273</v>
      </c>
      <c r="AP250" s="1" t="s">
        <v>1331</v>
      </c>
      <c r="AQ250" s="14">
        <v>45658</v>
      </c>
      <c r="AU250" s="14">
        <v>45799</v>
      </c>
      <c r="AV250" s="16">
        <v>0</v>
      </c>
      <c r="AW250" s="16">
        <v>0</v>
      </c>
      <c r="BA250" s="1" t="s">
        <v>911</v>
      </c>
      <c r="BB250" s="9">
        <v>7</v>
      </c>
      <c r="BC250" s="1" t="s">
        <v>826</v>
      </c>
      <c r="BD250" s="9" t="s">
        <v>807</v>
      </c>
      <c r="BE250" s="1" t="s">
        <v>1017</v>
      </c>
      <c r="BI250" s="20" t="s">
        <v>866</v>
      </c>
      <c r="BJ250" s="21" t="str">
        <f t="shared" si="3"/>
        <v>FIXO</v>
      </c>
    </row>
    <row r="251" spans="1:62" x14ac:dyDescent="0.25">
      <c r="A251" s="7">
        <v>5</v>
      </c>
      <c r="B251" s="1" t="s">
        <v>71</v>
      </c>
      <c r="C251" s="8">
        <v>5</v>
      </c>
      <c r="D251" s="9" t="s">
        <v>807</v>
      </c>
      <c r="E251" s="10">
        <v>17037</v>
      </c>
      <c r="F251" s="11" t="s">
        <v>1695</v>
      </c>
      <c r="G251" s="12" t="s">
        <v>71</v>
      </c>
      <c r="H251" s="13" t="str">
        <f>VLOOKUP(AP251,[1]Listas!A:B,2,0)</f>
        <v xml:space="preserve">FESP </v>
      </c>
      <c r="I251" s="1" t="s">
        <v>27</v>
      </c>
      <c r="J251" s="12"/>
      <c r="K251" s="1" t="s">
        <v>248</v>
      </c>
      <c r="L251" s="12"/>
      <c r="M251" s="1" t="s">
        <v>1696</v>
      </c>
      <c r="N251" s="14">
        <v>37484</v>
      </c>
      <c r="O251" s="1" t="s">
        <v>809</v>
      </c>
      <c r="P251" s="1" t="s">
        <v>810</v>
      </c>
      <c r="Q251" s="15" t="s">
        <v>807</v>
      </c>
      <c r="R251" s="1" t="s">
        <v>857</v>
      </c>
      <c r="S251" s="1" t="s">
        <v>807</v>
      </c>
      <c r="T251" s="1" t="s">
        <v>813</v>
      </c>
      <c r="U251" s="9" t="s">
        <v>814</v>
      </c>
      <c r="V251" s="1" t="s">
        <v>815</v>
      </c>
      <c r="W251" s="1" t="s">
        <v>1004</v>
      </c>
      <c r="X251" s="1" t="s">
        <v>108</v>
      </c>
      <c r="Y251" s="14">
        <v>45901</v>
      </c>
      <c r="Z251" s="9" t="s">
        <v>817</v>
      </c>
      <c r="AB251" s="14">
        <v>45308</v>
      </c>
      <c r="AC251" s="9" t="s">
        <v>817</v>
      </c>
      <c r="AD251" s="9" t="s">
        <v>818</v>
      </c>
      <c r="AE251" s="1" t="s">
        <v>819</v>
      </c>
      <c r="AF251" s="14" t="s">
        <v>820</v>
      </c>
      <c r="AG251" s="9" t="s">
        <v>821</v>
      </c>
      <c r="AH251" s="1" t="s">
        <v>9</v>
      </c>
      <c r="AI251" s="9" t="s">
        <v>10</v>
      </c>
      <c r="AJ251" s="1" t="s">
        <v>11</v>
      </c>
      <c r="AK251" s="1" t="s">
        <v>1697</v>
      </c>
      <c r="AL251" s="1" t="s">
        <v>1698</v>
      </c>
      <c r="AM251" s="9">
        <v>11310</v>
      </c>
      <c r="AN251" s="1" t="s">
        <v>101</v>
      </c>
      <c r="AO251" s="1" t="s">
        <v>1699</v>
      </c>
      <c r="AP251" s="1" t="s">
        <v>1700</v>
      </c>
      <c r="AQ251" s="14">
        <v>45658</v>
      </c>
      <c r="AU251" s="14">
        <v>45901</v>
      </c>
      <c r="AV251" s="16">
        <v>0</v>
      </c>
      <c r="AW251" s="16">
        <v>0</v>
      </c>
      <c r="BA251" s="1" t="s">
        <v>911</v>
      </c>
      <c r="BB251" s="9">
        <v>10</v>
      </c>
      <c r="BC251" s="1" t="s">
        <v>839</v>
      </c>
      <c r="BD251" s="9" t="s">
        <v>807</v>
      </c>
      <c r="BE251" s="1" t="s">
        <v>1017</v>
      </c>
      <c r="BI251" s="20" t="s">
        <v>853</v>
      </c>
      <c r="BJ251" s="21" t="str">
        <f t="shared" si="3"/>
        <v>FIXO</v>
      </c>
    </row>
    <row r="252" spans="1:62" x14ac:dyDescent="0.25">
      <c r="A252" s="7">
        <v>5</v>
      </c>
      <c r="B252" s="1" t="s">
        <v>71</v>
      </c>
      <c r="C252" s="8">
        <v>8</v>
      </c>
      <c r="D252" s="9" t="s">
        <v>807</v>
      </c>
      <c r="E252" s="10">
        <v>17517</v>
      </c>
      <c r="F252" s="11" t="s">
        <v>1701</v>
      </c>
      <c r="G252" s="12" t="s">
        <v>71</v>
      </c>
      <c r="H252" s="13" t="str">
        <f>VLOOKUP(AP252,[1]Listas!A:B,2,0)</f>
        <v xml:space="preserve">FNOH </v>
      </c>
      <c r="I252" s="1" t="s">
        <v>362</v>
      </c>
      <c r="J252" s="12"/>
      <c r="K252" s="12"/>
      <c r="L252" s="12"/>
      <c r="M252" s="1" t="s">
        <v>418</v>
      </c>
      <c r="N252" s="14">
        <v>35389</v>
      </c>
      <c r="O252" s="1" t="s">
        <v>855</v>
      </c>
      <c r="P252" s="1" t="s">
        <v>856</v>
      </c>
      <c r="Q252" s="15" t="s">
        <v>811</v>
      </c>
      <c r="R252" s="1" t="s">
        <v>812</v>
      </c>
      <c r="S252" s="1" t="s">
        <v>868</v>
      </c>
      <c r="T252" s="1" t="s">
        <v>869</v>
      </c>
      <c r="U252" s="9" t="s">
        <v>814</v>
      </c>
      <c r="V252" s="1" t="s">
        <v>815</v>
      </c>
      <c r="W252" s="1" t="s">
        <v>1638</v>
      </c>
      <c r="X252" s="1" t="s">
        <v>388</v>
      </c>
      <c r="Y252" s="14">
        <v>45393</v>
      </c>
      <c r="Z252" s="9" t="s">
        <v>817</v>
      </c>
      <c r="AB252" s="14">
        <v>45392</v>
      </c>
      <c r="AC252" s="9" t="s">
        <v>817</v>
      </c>
      <c r="AD252" s="9" t="s">
        <v>818</v>
      </c>
      <c r="AE252" s="1" t="s">
        <v>819</v>
      </c>
      <c r="AF252" s="14" t="s">
        <v>820</v>
      </c>
      <c r="AG252" s="9" t="s">
        <v>821</v>
      </c>
      <c r="AH252" s="1" t="s">
        <v>9</v>
      </c>
      <c r="AI252" s="9" t="s">
        <v>10</v>
      </c>
      <c r="AJ252" s="1" t="s">
        <v>11</v>
      </c>
      <c r="AK252" s="1" t="s">
        <v>1639</v>
      </c>
      <c r="AL252" s="1" t="s">
        <v>1640</v>
      </c>
      <c r="AM252" s="9">
        <v>11648</v>
      </c>
      <c r="AN252" s="1" t="s">
        <v>389</v>
      </c>
      <c r="AO252" s="1" t="s">
        <v>390</v>
      </c>
      <c r="AP252" s="1" t="s">
        <v>1641</v>
      </c>
      <c r="AQ252" s="14">
        <v>45658</v>
      </c>
      <c r="AU252" s="14">
        <v>45679</v>
      </c>
      <c r="AV252" s="16">
        <v>0</v>
      </c>
      <c r="AW252" s="16">
        <v>0</v>
      </c>
      <c r="BA252" s="1" t="s">
        <v>911</v>
      </c>
      <c r="BB252" s="9">
        <v>7</v>
      </c>
      <c r="BC252" s="1" t="s">
        <v>826</v>
      </c>
      <c r="BD252" s="9" t="s">
        <v>807</v>
      </c>
      <c r="BE252" s="1" t="s">
        <v>1642</v>
      </c>
      <c r="BF252" s="1" t="s">
        <v>380</v>
      </c>
      <c r="BG252" s="1" t="s">
        <v>1627</v>
      </c>
      <c r="BH252" s="1" t="s">
        <v>1628</v>
      </c>
      <c r="BI252" s="20" t="s">
        <v>1645</v>
      </c>
      <c r="BJ252" s="21" t="str">
        <f t="shared" si="3"/>
        <v>FIXO</v>
      </c>
    </row>
    <row r="253" spans="1:62" x14ac:dyDescent="0.25">
      <c r="A253" s="7">
        <v>5</v>
      </c>
      <c r="B253" s="1" t="s">
        <v>71</v>
      </c>
      <c r="C253" s="8">
        <v>8</v>
      </c>
      <c r="D253" s="9" t="s">
        <v>807</v>
      </c>
      <c r="E253" s="10">
        <v>17671</v>
      </c>
      <c r="F253" s="11" t="s">
        <v>1702</v>
      </c>
      <c r="G253" s="12" t="s">
        <v>71</v>
      </c>
      <c r="H253" s="13" t="str">
        <f>VLOOKUP(AP253,[1]Listas!A:B,2,0)</f>
        <v xml:space="preserve">FNOH </v>
      </c>
      <c r="I253" s="1" t="s">
        <v>380</v>
      </c>
      <c r="J253" s="12"/>
      <c r="K253" s="12"/>
      <c r="L253" s="12"/>
      <c r="M253" s="1" t="s">
        <v>419</v>
      </c>
      <c r="N253" s="14">
        <v>36014</v>
      </c>
      <c r="O253" s="1" t="s">
        <v>855</v>
      </c>
      <c r="P253" s="1" t="s">
        <v>856</v>
      </c>
      <c r="Q253" s="15" t="s">
        <v>807</v>
      </c>
      <c r="R253" s="1" t="s">
        <v>857</v>
      </c>
      <c r="S253" s="1" t="s">
        <v>868</v>
      </c>
      <c r="T253" s="1" t="s">
        <v>869</v>
      </c>
      <c r="U253" s="9" t="s">
        <v>951</v>
      </c>
      <c r="V253" s="1" t="s">
        <v>952</v>
      </c>
      <c r="W253" s="1" t="s">
        <v>1638</v>
      </c>
      <c r="X253" s="1" t="s">
        <v>388</v>
      </c>
      <c r="Y253" s="14">
        <v>45416</v>
      </c>
      <c r="Z253" s="9" t="s">
        <v>817</v>
      </c>
      <c r="AB253" s="14">
        <v>45415</v>
      </c>
      <c r="AC253" s="9" t="s">
        <v>817</v>
      </c>
      <c r="AD253" s="9" t="s">
        <v>818</v>
      </c>
      <c r="AE253" s="1" t="s">
        <v>819</v>
      </c>
      <c r="AF253" s="14" t="s">
        <v>820</v>
      </c>
      <c r="AG253" s="9" t="s">
        <v>821</v>
      </c>
      <c r="AH253" s="1" t="s">
        <v>9</v>
      </c>
      <c r="AI253" s="9" t="s">
        <v>10</v>
      </c>
      <c r="AJ253" s="1" t="s">
        <v>11</v>
      </c>
      <c r="AK253" s="1" t="s">
        <v>1703</v>
      </c>
      <c r="AL253" s="1" t="s">
        <v>1640</v>
      </c>
      <c r="AM253" s="9">
        <v>11648</v>
      </c>
      <c r="AN253" s="1" t="s">
        <v>389</v>
      </c>
      <c r="AO253" s="1" t="s">
        <v>390</v>
      </c>
      <c r="AP253" s="1" t="s">
        <v>1641</v>
      </c>
      <c r="AQ253" s="14">
        <v>45658</v>
      </c>
      <c r="AU253" s="14">
        <v>45679</v>
      </c>
      <c r="AV253" s="16">
        <v>0</v>
      </c>
      <c r="AW253" s="16">
        <v>0</v>
      </c>
      <c r="BA253" s="1" t="s">
        <v>911</v>
      </c>
      <c r="BB253" s="9">
        <v>7</v>
      </c>
      <c r="BC253" s="1" t="s">
        <v>826</v>
      </c>
      <c r="BD253" s="9" t="s">
        <v>807</v>
      </c>
      <c r="BE253" s="1" t="s">
        <v>1642</v>
      </c>
      <c r="BF253" s="1" t="s">
        <v>380</v>
      </c>
      <c r="BG253" s="1" t="s">
        <v>1627</v>
      </c>
      <c r="BH253" s="1" t="s">
        <v>1628</v>
      </c>
      <c r="BI253" s="20" t="s">
        <v>1704</v>
      </c>
      <c r="BJ253" s="21" t="str">
        <f t="shared" si="3"/>
        <v>FIXO</v>
      </c>
    </row>
    <row r="254" spans="1:62" x14ac:dyDescent="0.25">
      <c r="A254" s="7">
        <v>5</v>
      </c>
      <c r="B254" s="1" t="s">
        <v>71</v>
      </c>
      <c r="C254" s="8">
        <v>8</v>
      </c>
      <c r="D254" s="9" t="s">
        <v>807</v>
      </c>
      <c r="E254" s="10">
        <v>18130</v>
      </c>
      <c r="F254" s="11" t="s">
        <v>1705</v>
      </c>
      <c r="G254" s="12" t="s">
        <v>71</v>
      </c>
      <c r="H254" s="13" t="str">
        <f>VLOOKUP(AP254,[1]Listas!A:B,2,0)</f>
        <v xml:space="preserve">FNOH </v>
      </c>
      <c r="I254" s="1" t="s">
        <v>380</v>
      </c>
      <c r="J254" s="12"/>
      <c r="K254" s="12"/>
      <c r="L254" s="12"/>
      <c r="M254" s="1" t="s">
        <v>1706</v>
      </c>
      <c r="N254" s="14">
        <v>36242</v>
      </c>
      <c r="O254" s="1" t="s">
        <v>809</v>
      </c>
      <c r="P254" s="1" t="s">
        <v>810</v>
      </c>
      <c r="Q254" s="15" t="s">
        <v>814</v>
      </c>
      <c r="R254" s="1" t="s">
        <v>1075</v>
      </c>
      <c r="S254" s="1" t="s">
        <v>868</v>
      </c>
      <c r="T254" s="1" t="s">
        <v>869</v>
      </c>
      <c r="U254" s="9" t="s">
        <v>814</v>
      </c>
      <c r="V254" s="1" t="s">
        <v>815</v>
      </c>
      <c r="W254" s="1" t="s">
        <v>1707</v>
      </c>
      <c r="X254" s="1" t="s">
        <v>1708</v>
      </c>
      <c r="Y254" s="14">
        <v>45905</v>
      </c>
      <c r="Z254" s="9" t="s">
        <v>817</v>
      </c>
      <c r="AB254" s="14">
        <v>45905</v>
      </c>
      <c r="AC254" s="9" t="s">
        <v>817</v>
      </c>
      <c r="AD254" s="9" t="s">
        <v>818</v>
      </c>
      <c r="AE254" s="1" t="s">
        <v>819</v>
      </c>
      <c r="AF254" s="14" t="s">
        <v>820</v>
      </c>
      <c r="AG254" s="9" t="s">
        <v>821</v>
      </c>
      <c r="AH254" s="1" t="s">
        <v>9</v>
      </c>
      <c r="AI254" s="9" t="s">
        <v>10</v>
      </c>
      <c r="AJ254" s="1" t="s">
        <v>11</v>
      </c>
      <c r="AK254" s="1" t="s">
        <v>1709</v>
      </c>
      <c r="AL254" s="1" t="s">
        <v>1710</v>
      </c>
      <c r="AM254" s="9">
        <v>11655</v>
      </c>
      <c r="AN254" s="1" t="s">
        <v>407</v>
      </c>
      <c r="AO254" s="1" t="s">
        <v>1711</v>
      </c>
      <c r="AP254" s="1" t="s">
        <v>1712</v>
      </c>
      <c r="AQ254" s="14">
        <v>45905</v>
      </c>
      <c r="AU254" s="14">
        <v>45905</v>
      </c>
      <c r="AV254" s="16">
        <v>0</v>
      </c>
      <c r="AW254" s="16">
        <v>0</v>
      </c>
      <c r="BA254" s="1" t="s">
        <v>911</v>
      </c>
      <c r="BB254" s="9">
        <v>22</v>
      </c>
      <c r="BC254" s="1" t="s">
        <v>1244</v>
      </c>
      <c r="BD254" s="9" t="s">
        <v>807</v>
      </c>
      <c r="BE254" s="1" t="s">
        <v>1017</v>
      </c>
      <c r="BI254" s="20" t="s">
        <v>1055</v>
      </c>
      <c r="BJ254" s="21" t="str">
        <f t="shared" si="3"/>
        <v>FIXO</v>
      </c>
    </row>
    <row r="255" spans="1:62" x14ac:dyDescent="0.25">
      <c r="A255" s="7">
        <v>5</v>
      </c>
      <c r="B255" s="1" t="s">
        <v>71</v>
      </c>
      <c r="C255" s="8">
        <v>8</v>
      </c>
      <c r="D255" s="9" t="s">
        <v>807</v>
      </c>
      <c r="E255" s="10">
        <v>18132</v>
      </c>
      <c r="F255" s="11" t="s">
        <v>1713</v>
      </c>
      <c r="G255" s="12" t="s">
        <v>71</v>
      </c>
      <c r="H255" s="13" t="str">
        <f>VLOOKUP(AP255,[1]Listas!A:B,2,0)</f>
        <v xml:space="preserve">FNOH </v>
      </c>
      <c r="I255" s="1" t="s">
        <v>380</v>
      </c>
      <c r="J255" s="12"/>
      <c r="K255" s="12"/>
      <c r="L255" s="12"/>
      <c r="M255" s="1" t="s">
        <v>1714</v>
      </c>
      <c r="N255" s="14">
        <v>36208</v>
      </c>
      <c r="O255" s="1" t="s">
        <v>809</v>
      </c>
      <c r="P255" s="1" t="s">
        <v>810</v>
      </c>
      <c r="Q255" s="15" t="s">
        <v>814</v>
      </c>
      <c r="R255" s="1" t="s">
        <v>1075</v>
      </c>
      <c r="S255" s="1" t="s">
        <v>868</v>
      </c>
      <c r="T255" s="1" t="s">
        <v>869</v>
      </c>
      <c r="U255" s="9" t="s">
        <v>814</v>
      </c>
      <c r="V255" s="1" t="s">
        <v>815</v>
      </c>
      <c r="W255" s="1" t="s">
        <v>1707</v>
      </c>
      <c r="X255" s="1" t="s">
        <v>1708</v>
      </c>
      <c r="Y255" s="14">
        <v>45905</v>
      </c>
      <c r="Z255" s="9" t="s">
        <v>817</v>
      </c>
      <c r="AB255" s="14">
        <v>45905</v>
      </c>
      <c r="AC255" s="9" t="s">
        <v>817</v>
      </c>
      <c r="AD255" s="9" t="s">
        <v>818</v>
      </c>
      <c r="AE255" s="1" t="s">
        <v>819</v>
      </c>
      <c r="AF255" s="14" t="s">
        <v>820</v>
      </c>
      <c r="AG255" s="9" t="s">
        <v>821</v>
      </c>
      <c r="AH255" s="1" t="s">
        <v>9</v>
      </c>
      <c r="AI255" s="9" t="s">
        <v>10</v>
      </c>
      <c r="AJ255" s="1" t="s">
        <v>11</v>
      </c>
      <c r="AK255" s="1" t="s">
        <v>1715</v>
      </c>
      <c r="AL255" s="1" t="s">
        <v>1716</v>
      </c>
      <c r="AM255" s="9">
        <v>11669</v>
      </c>
      <c r="AN255" s="1" t="s">
        <v>420</v>
      </c>
      <c r="AO255" s="1" t="s">
        <v>1717</v>
      </c>
      <c r="AP255" s="1" t="s">
        <v>1718</v>
      </c>
      <c r="AQ255" s="14">
        <v>45905</v>
      </c>
      <c r="AU255" s="14">
        <v>45905</v>
      </c>
      <c r="AV255" s="16">
        <v>0</v>
      </c>
      <c r="AW255" s="16">
        <v>0</v>
      </c>
      <c r="BA255" s="1" t="s">
        <v>911</v>
      </c>
      <c r="BB255" s="9">
        <v>22</v>
      </c>
      <c r="BC255" s="1" t="s">
        <v>1244</v>
      </c>
      <c r="BD255" s="9" t="s">
        <v>807</v>
      </c>
      <c r="BE255" s="1" t="s">
        <v>1017</v>
      </c>
      <c r="BI255" s="20" t="s">
        <v>1055</v>
      </c>
      <c r="BJ255" s="21" t="str">
        <f t="shared" si="3"/>
        <v>FIXO</v>
      </c>
    </row>
    <row r="256" spans="1:62" x14ac:dyDescent="0.25">
      <c r="A256" s="7">
        <v>5</v>
      </c>
      <c r="B256" s="1" t="s">
        <v>71</v>
      </c>
      <c r="C256" s="8">
        <v>4</v>
      </c>
      <c r="D256" s="9" t="s">
        <v>807</v>
      </c>
      <c r="E256" s="10">
        <v>19196</v>
      </c>
      <c r="F256" s="11" t="s">
        <v>1719</v>
      </c>
      <c r="G256" s="12" t="s">
        <v>71</v>
      </c>
      <c r="H256" s="13" t="str">
        <f>VLOOKUP(AP256,[1]Listas!A:B,2,0)</f>
        <v xml:space="preserve">FPAR </v>
      </c>
      <c r="I256" s="1" t="s">
        <v>27</v>
      </c>
      <c r="J256" s="12"/>
      <c r="K256" s="12"/>
      <c r="L256" s="12"/>
      <c r="M256" s="1" t="s">
        <v>421</v>
      </c>
      <c r="N256" s="14">
        <v>32964</v>
      </c>
      <c r="O256" s="1" t="s">
        <v>809</v>
      </c>
      <c r="P256" s="1" t="s">
        <v>810</v>
      </c>
      <c r="Q256" s="15" t="s">
        <v>807</v>
      </c>
      <c r="R256" s="1" t="s">
        <v>857</v>
      </c>
      <c r="S256" s="1" t="s">
        <v>868</v>
      </c>
      <c r="T256" s="1" t="s">
        <v>869</v>
      </c>
      <c r="U256" s="9" t="s">
        <v>832</v>
      </c>
      <c r="V256" s="1" t="s">
        <v>833</v>
      </c>
      <c r="W256" s="1" t="s">
        <v>998</v>
      </c>
      <c r="X256" s="1" t="s">
        <v>104</v>
      </c>
      <c r="Y256" s="14">
        <v>45605</v>
      </c>
      <c r="Z256" s="9" t="s">
        <v>817</v>
      </c>
      <c r="AB256" s="14">
        <v>45604</v>
      </c>
      <c r="AC256" s="9" t="s">
        <v>817</v>
      </c>
      <c r="AD256" s="9" t="s">
        <v>818</v>
      </c>
      <c r="AE256" s="1" t="s">
        <v>819</v>
      </c>
      <c r="AF256" s="14" t="s">
        <v>820</v>
      </c>
      <c r="AG256" s="9" t="s">
        <v>821</v>
      </c>
      <c r="AH256" s="1" t="s">
        <v>9</v>
      </c>
      <c r="AI256" s="9" t="s">
        <v>10</v>
      </c>
      <c r="AJ256" s="1" t="s">
        <v>11</v>
      </c>
      <c r="AK256" s="1" t="s">
        <v>1720</v>
      </c>
      <c r="AL256" s="1" t="s">
        <v>1456</v>
      </c>
      <c r="AM256" s="9">
        <v>11201</v>
      </c>
      <c r="AN256" s="1" t="s">
        <v>83</v>
      </c>
      <c r="AO256" s="1" t="s">
        <v>314</v>
      </c>
      <c r="AP256" s="1" t="s">
        <v>1457</v>
      </c>
      <c r="AQ256" s="14">
        <v>45658</v>
      </c>
      <c r="AU256" s="14">
        <v>45799</v>
      </c>
      <c r="AV256" s="16">
        <v>0</v>
      </c>
      <c r="AW256" s="16">
        <v>0</v>
      </c>
      <c r="BA256" s="1" t="s">
        <v>911</v>
      </c>
      <c r="BB256" s="9">
        <v>7</v>
      </c>
      <c r="BC256" s="1" t="s">
        <v>826</v>
      </c>
      <c r="BD256" s="9" t="s">
        <v>807</v>
      </c>
      <c r="BE256" s="1" t="s">
        <v>850</v>
      </c>
      <c r="BF256" s="1" t="s">
        <v>27</v>
      </c>
      <c r="BG256" s="1" t="s">
        <v>851</v>
      </c>
      <c r="BH256" s="1" t="s">
        <v>852</v>
      </c>
      <c r="BI256" s="20" t="s">
        <v>853</v>
      </c>
      <c r="BJ256" s="21" t="str">
        <f t="shared" si="3"/>
        <v>FIXO</v>
      </c>
    </row>
    <row r="257" spans="1:62" x14ac:dyDescent="0.25">
      <c r="A257" s="7">
        <v>5</v>
      </c>
      <c r="B257" s="1" t="s">
        <v>71</v>
      </c>
      <c r="C257" s="8">
        <v>8</v>
      </c>
      <c r="D257" s="9" t="s">
        <v>807</v>
      </c>
      <c r="E257" s="10">
        <v>20825</v>
      </c>
      <c r="F257" s="11" t="s">
        <v>1721</v>
      </c>
      <c r="G257" s="12" t="s">
        <v>71</v>
      </c>
      <c r="H257" s="13" t="str">
        <f>VLOOKUP(AP257,[1]Listas!A:B,2,0)</f>
        <v xml:space="preserve">FNOH </v>
      </c>
      <c r="I257" s="1" t="s">
        <v>362</v>
      </c>
      <c r="J257" s="12"/>
      <c r="K257" s="12"/>
      <c r="L257" s="12"/>
      <c r="M257" s="1" t="s">
        <v>422</v>
      </c>
      <c r="N257" s="14">
        <v>38648</v>
      </c>
      <c r="O257" s="1" t="s">
        <v>855</v>
      </c>
      <c r="P257" s="1" t="s">
        <v>856</v>
      </c>
      <c r="Q257" s="15" t="s">
        <v>807</v>
      </c>
      <c r="R257" s="1" t="s">
        <v>857</v>
      </c>
      <c r="S257" s="1" t="s">
        <v>868</v>
      </c>
      <c r="T257" s="1" t="s">
        <v>869</v>
      </c>
      <c r="U257" s="9" t="s">
        <v>814</v>
      </c>
      <c r="V257" s="1" t="s">
        <v>815</v>
      </c>
      <c r="W257" s="1" t="s">
        <v>1638</v>
      </c>
      <c r="X257" s="1" t="s">
        <v>388</v>
      </c>
      <c r="Y257" s="14">
        <v>45797</v>
      </c>
      <c r="Z257" s="9" t="s">
        <v>817</v>
      </c>
      <c r="AB257" s="14">
        <v>45797</v>
      </c>
      <c r="AC257" s="9" t="s">
        <v>817</v>
      </c>
      <c r="AD257" s="9" t="s">
        <v>818</v>
      </c>
      <c r="AE257" s="1" t="s">
        <v>819</v>
      </c>
      <c r="AF257" s="14" t="s">
        <v>820</v>
      </c>
      <c r="AG257" s="9" t="s">
        <v>821</v>
      </c>
      <c r="AH257" s="1" t="s">
        <v>9</v>
      </c>
      <c r="AI257" s="9" t="s">
        <v>10</v>
      </c>
      <c r="AJ257" s="1" t="s">
        <v>11</v>
      </c>
      <c r="AK257" s="1" t="s">
        <v>1703</v>
      </c>
      <c r="AL257" s="1" t="s">
        <v>1640</v>
      </c>
      <c r="AM257" s="9">
        <v>11648</v>
      </c>
      <c r="AN257" s="1" t="s">
        <v>389</v>
      </c>
      <c r="AO257" s="1" t="s">
        <v>390</v>
      </c>
      <c r="AP257" s="1" t="s">
        <v>1641</v>
      </c>
      <c r="AQ257" s="14">
        <v>45797</v>
      </c>
      <c r="AU257" s="14">
        <v>45797</v>
      </c>
      <c r="AV257" s="16">
        <v>0</v>
      </c>
      <c r="AW257" s="16">
        <v>0</v>
      </c>
      <c r="BA257" s="1" t="s">
        <v>911</v>
      </c>
      <c r="BB257" s="9">
        <v>7</v>
      </c>
      <c r="BC257" s="1" t="s">
        <v>826</v>
      </c>
      <c r="BD257" s="9" t="s">
        <v>807</v>
      </c>
      <c r="BE257" s="1" t="s">
        <v>1642</v>
      </c>
      <c r="BF257" s="1" t="s">
        <v>380</v>
      </c>
      <c r="BG257" s="1" t="s">
        <v>1627</v>
      </c>
      <c r="BH257" s="1" t="s">
        <v>1628</v>
      </c>
      <c r="BI257" s="20" t="s">
        <v>983</v>
      </c>
      <c r="BJ257" s="21" t="str">
        <f t="shared" si="3"/>
        <v>FIXO</v>
      </c>
    </row>
    <row r="258" spans="1:62" x14ac:dyDescent="0.25">
      <c r="A258" s="7">
        <v>5</v>
      </c>
      <c r="B258" s="1" t="s">
        <v>71</v>
      </c>
      <c r="C258" s="8">
        <v>8</v>
      </c>
      <c r="D258" s="9" t="s">
        <v>807</v>
      </c>
      <c r="E258" s="10">
        <v>20834</v>
      </c>
      <c r="F258" s="11" t="s">
        <v>1722</v>
      </c>
      <c r="G258" s="12" t="s">
        <v>71</v>
      </c>
      <c r="H258" s="13" t="str">
        <f>VLOOKUP(AP258,[1]Listas!A:B,2,0)</f>
        <v xml:space="preserve">FNOH </v>
      </c>
      <c r="I258" s="1" t="s">
        <v>362</v>
      </c>
      <c r="J258" s="12"/>
      <c r="K258" s="12"/>
      <c r="L258" s="12"/>
      <c r="M258" s="1" t="s">
        <v>423</v>
      </c>
      <c r="N258" s="14">
        <v>35592</v>
      </c>
      <c r="O258" s="1" t="s">
        <v>855</v>
      </c>
      <c r="P258" s="1" t="s">
        <v>856</v>
      </c>
      <c r="Q258" s="15" t="s">
        <v>807</v>
      </c>
      <c r="R258" s="1" t="s">
        <v>857</v>
      </c>
      <c r="S258" s="1" t="s">
        <v>807</v>
      </c>
      <c r="T258" s="1" t="s">
        <v>813</v>
      </c>
      <c r="U258" s="9" t="s">
        <v>814</v>
      </c>
      <c r="V258" s="1" t="s">
        <v>815</v>
      </c>
      <c r="W258" s="1" t="s">
        <v>1658</v>
      </c>
      <c r="X258" s="1" t="s">
        <v>400</v>
      </c>
      <c r="Y258" s="14">
        <v>45901</v>
      </c>
      <c r="Z258" s="9" t="s">
        <v>817</v>
      </c>
      <c r="AB258" s="14">
        <v>45798</v>
      </c>
      <c r="AC258" s="9" t="s">
        <v>817</v>
      </c>
      <c r="AD258" s="9" t="s">
        <v>818</v>
      </c>
      <c r="AE258" s="1" t="s">
        <v>819</v>
      </c>
      <c r="AF258" s="14" t="s">
        <v>820</v>
      </c>
      <c r="AG258" s="9" t="s">
        <v>821</v>
      </c>
      <c r="AH258" s="1" t="s">
        <v>9</v>
      </c>
      <c r="AI258" s="9" t="s">
        <v>10</v>
      </c>
      <c r="AJ258" s="1" t="s">
        <v>11</v>
      </c>
      <c r="AK258" s="1" t="s">
        <v>1659</v>
      </c>
      <c r="AL258" s="1" t="s">
        <v>1660</v>
      </c>
      <c r="AM258" s="9">
        <v>11648</v>
      </c>
      <c r="AN258" s="1" t="s">
        <v>389</v>
      </c>
      <c r="AO258" s="1" t="s">
        <v>390</v>
      </c>
      <c r="AP258" s="1" t="s">
        <v>1641</v>
      </c>
      <c r="AQ258" s="14">
        <v>45798</v>
      </c>
      <c r="AU258" s="14">
        <v>45798</v>
      </c>
      <c r="AV258" s="16">
        <v>0</v>
      </c>
      <c r="AW258" s="16">
        <v>0</v>
      </c>
      <c r="BA258" s="1" t="s">
        <v>911</v>
      </c>
      <c r="BB258" s="9">
        <v>7</v>
      </c>
      <c r="BC258" s="1" t="s">
        <v>826</v>
      </c>
      <c r="BD258" s="9" t="s">
        <v>807</v>
      </c>
      <c r="BE258" s="1" t="s">
        <v>1642</v>
      </c>
      <c r="BF258" s="1" t="s">
        <v>380</v>
      </c>
      <c r="BG258" s="1" t="s">
        <v>1627</v>
      </c>
      <c r="BH258" s="1" t="s">
        <v>1628</v>
      </c>
      <c r="BI258" s="20" t="s">
        <v>1661</v>
      </c>
      <c r="BJ258" s="21" t="str">
        <f t="shared" ref="BJ258:BJ321" si="4">IF(NOT(ISERROR(SEARCH("SAFRISTA",X258))),"SAFRISTA","FIXO")</f>
        <v>FIXO</v>
      </c>
    </row>
    <row r="259" spans="1:62" x14ac:dyDescent="0.25">
      <c r="A259" s="7">
        <v>5</v>
      </c>
      <c r="B259" s="1" t="s">
        <v>71</v>
      </c>
      <c r="C259" s="8">
        <v>8</v>
      </c>
      <c r="D259" s="9" t="s">
        <v>807</v>
      </c>
      <c r="E259" s="10">
        <v>21143</v>
      </c>
      <c r="F259" s="11" t="s">
        <v>1723</v>
      </c>
      <c r="G259" s="12" t="s">
        <v>71</v>
      </c>
      <c r="H259" s="13" t="str">
        <f>VLOOKUP(AP259,[1]Listas!A:B,2,0)</f>
        <v xml:space="preserve">FNOH </v>
      </c>
      <c r="I259" s="1" t="s">
        <v>380</v>
      </c>
      <c r="J259" s="12"/>
      <c r="K259" s="12"/>
      <c r="L259" s="12"/>
      <c r="M259" s="1" t="s">
        <v>424</v>
      </c>
      <c r="N259" s="14">
        <v>37532</v>
      </c>
      <c r="O259" s="1" t="s">
        <v>855</v>
      </c>
      <c r="P259" s="1" t="s">
        <v>856</v>
      </c>
      <c r="Q259" s="15" t="s">
        <v>807</v>
      </c>
      <c r="R259" s="1" t="s">
        <v>857</v>
      </c>
      <c r="S259" s="1" t="s">
        <v>811</v>
      </c>
      <c r="T259" s="1" t="s">
        <v>906</v>
      </c>
      <c r="U259" s="9" t="s">
        <v>814</v>
      </c>
      <c r="V259" s="1" t="s">
        <v>815</v>
      </c>
      <c r="W259" s="1" t="s">
        <v>1638</v>
      </c>
      <c r="X259" s="1" t="s">
        <v>388</v>
      </c>
      <c r="Y259" s="14">
        <v>45828</v>
      </c>
      <c r="Z259" s="9" t="s">
        <v>817</v>
      </c>
      <c r="AB259" s="14">
        <v>45828</v>
      </c>
      <c r="AC259" s="9" t="s">
        <v>817</v>
      </c>
      <c r="AD259" s="9" t="s">
        <v>818</v>
      </c>
      <c r="AE259" s="1" t="s">
        <v>819</v>
      </c>
      <c r="AF259" s="14" t="s">
        <v>820</v>
      </c>
      <c r="AG259" s="9" t="s">
        <v>999</v>
      </c>
      <c r="AH259" s="1" t="s">
        <v>105</v>
      </c>
      <c r="AI259" s="9" t="s">
        <v>10</v>
      </c>
      <c r="AJ259" s="1" t="s">
        <v>11</v>
      </c>
      <c r="AK259" s="1" t="s">
        <v>1703</v>
      </c>
      <c r="AL259" s="1" t="s">
        <v>1640</v>
      </c>
      <c r="AM259" s="9">
        <v>11648</v>
      </c>
      <c r="AN259" s="1" t="s">
        <v>389</v>
      </c>
      <c r="AO259" s="1" t="s">
        <v>390</v>
      </c>
      <c r="AP259" s="1" t="s">
        <v>1641</v>
      </c>
      <c r="AQ259" s="14">
        <v>45828</v>
      </c>
      <c r="AU259" s="14">
        <v>45828</v>
      </c>
      <c r="AV259" s="16">
        <v>0</v>
      </c>
      <c r="AW259" s="16">
        <v>0</v>
      </c>
      <c r="BA259" s="1" t="s">
        <v>911</v>
      </c>
      <c r="BB259" s="9">
        <v>7</v>
      </c>
      <c r="BC259" s="1" t="s">
        <v>826</v>
      </c>
      <c r="BD259" s="9" t="s">
        <v>807</v>
      </c>
      <c r="BE259" s="1" t="s">
        <v>1642</v>
      </c>
      <c r="BF259" s="1" t="s">
        <v>380</v>
      </c>
      <c r="BG259" s="1" t="s">
        <v>1627</v>
      </c>
      <c r="BH259" s="1" t="s">
        <v>1628</v>
      </c>
      <c r="BI259" s="25" t="s">
        <v>1667</v>
      </c>
      <c r="BJ259" s="21" t="str">
        <f t="shared" si="4"/>
        <v>FIXO</v>
      </c>
    </row>
    <row r="260" spans="1:62" x14ac:dyDescent="0.25">
      <c r="A260" s="7">
        <v>5</v>
      </c>
      <c r="B260" s="1" t="s">
        <v>71</v>
      </c>
      <c r="C260" s="8">
        <v>8</v>
      </c>
      <c r="D260" s="9" t="s">
        <v>807</v>
      </c>
      <c r="E260" s="10">
        <v>21145</v>
      </c>
      <c r="F260" s="11" t="s">
        <v>1724</v>
      </c>
      <c r="G260" s="12" t="s">
        <v>71</v>
      </c>
      <c r="H260" s="13" t="str">
        <f>VLOOKUP(AP260,[1]Listas!A:B,2,0)</f>
        <v xml:space="preserve">FNOH </v>
      </c>
      <c r="I260" s="1" t="s">
        <v>380</v>
      </c>
      <c r="J260" s="12"/>
      <c r="K260" s="12"/>
      <c r="L260" s="12"/>
      <c r="M260" s="1" t="s">
        <v>425</v>
      </c>
      <c r="N260" s="14">
        <v>37784</v>
      </c>
      <c r="O260" s="1" t="s">
        <v>855</v>
      </c>
      <c r="P260" s="1" t="s">
        <v>856</v>
      </c>
      <c r="Q260" s="15" t="s">
        <v>807</v>
      </c>
      <c r="R260" s="1" t="s">
        <v>857</v>
      </c>
      <c r="S260" s="1" t="s">
        <v>811</v>
      </c>
      <c r="T260" s="1" t="s">
        <v>906</v>
      </c>
      <c r="U260" s="9" t="s">
        <v>814</v>
      </c>
      <c r="V260" s="1" t="s">
        <v>815</v>
      </c>
      <c r="W260" s="1" t="s">
        <v>1638</v>
      </c>
      <c r="X260" s="1" t="s">
        <v>388</v>
      </c>
      <c r="Y260" s="14">
        <v>45828</v>
      </c>
      <c r="Z260" s="9" t="s">
        <v>817</v>
      </c>
      <c r="AB260" s="14">
        <v>45828</v>
      </c>
      <c r="AC260" s="9" t="s">
        <v>817</v>
      </c>
      <c r="AD260" s="9" t="s">
        <v>818</v>
      </c>
      <c r="AE260" s="1" t="s">
        <v>819</v>
      </c>
      <c r="AF260" s="14" t="s">
        <v>820</v>
      </c>
      <c r="AG260" s="9" t="s">
        <v>999</v>
      </c>
      <c r="AH260" s="1" t="s">
        <v>105</v>
      </c>
      <c r="AI260" s="9" t="s">
        <v>10</v>
      </c>
      <c r="AJ260" s="1" t="s">
        <v>11</v>
      </c>
      <c r="AK260" s="1" t="s">
        <v>1703</v>
      </c>
      <c r="AL260" s="1" t="s">
        <v>1640</v>
      </c>
      <c r="AM260" s="9">
        <v>11648</v>
      </c>
      <c r="AN260" s="1" t="s">
        <v>389</v>
      </c>
      <c r="AO260" s="1" t="s">
        <v>390</v>
      </c>
      <c r="AP260" s="1" t="s">
        <v>1641</v>
      </c>
      <c r="AQ260" s="14">
        <v>45828</v>
      </c>
      <c r="AU260" s="14">
        <v>45828</v>
      </c>
      <c r="AV260" s="16">
        <v>0</v>
      </c>
      <c r="AW260" s="16">
        <v>0</v>
      </c>
      <c r="BA260" s="1" t="s">
        <v>911</v>
      </c>
      <c r="BB260" s="9">
        <v>7</v>
      </c>
      <c r="BC260" s="1" t="s">
        <v>826</v>
      </c>
      <c r="BD260" s="9" t="s">
        <v>807</v>
      </c>
      <c r="BE260" s="1" t="s">
        <v>1642</v>
      </c>
      <c r="BF260" s="1" t="s">
        <v>380</v>
      </c>
      <c r="BG260" s="1" t="s">
        <v>1627</v>
      </c>
      <c r="BH260" s="1" t="s">
        <v>1628</v>
      </c>
      <c r="BI260" s="25" t="s">
        <v>1704</v>
      </c>
      <c r="BJ260" s="21" t="str">
        <f t="shared" si="4"/>
        <v>FIXO</v>
      </c>
    </row>
    <row r="261" spans="1:62" x14ac:dyDescent="0.25">
      <c r="A261" s="7">
        <v>5</v>
      </c>
      <c r="B261" s="1" t="s">
        <v>71</v>
      </c>
      <c r="C261" s="8">
        <v>5</v>
      </c>
      <c r="D261" s="9" t="s">
        <v>807</v>
      </c>
      <c r="E261" s="10">
        <v>21313</v>
      </c>
      <c r="F261" s="11" t="s">
        <v>1725</v>
      </c>
      <c r="G261" s="12" t="s">
        <v>71</v>
      </c>
      <c r="H261" s="13" t="str">
        <f>VLOOKUP(AP261,[1]Listas!A:B,2,0)</f>
        <v xml:space="preserve">FESP </v>
      </c>
      <c r="I261" s="1" t="s">
        <v>27</v>
      </c>
      <c r="J261" s="12"/>
      <c r="K261" s="1" t="s">
        <v>21</v>
      </c>
      <c r="L261" s="1" t="s">
        <v>1167</v>
      </c>
      <c r="M261" s="1" t="s">
        <v>426</v>
      </c>
      <c r="N261" s="14">
        <v>31823</v>
      </c>
      <c r="O261" s="1" t="s">
        <v>809</v>
      </c>
      <c r="P261" s="1" t="s">
        <v>810</v>
      </c>
      <c r="Q261" s="15" t="s">
        <v>807</v>
      </c>
      <c r="R261" s="1" t="s">
        <v>857</v>
      </c>
      <c r="S261" s="1" t="s">
        <v>868</v>
      </c>
      <c r="T261" s="1" t="s">
        <v>869</v>
      </c>
      <c r="U261" s="9" t="s">
        <v>1031</v>
      </c>
      <c r="V261" s="1" t="s">
        <v>1100</v>
      </c>
      <c r="W261" s="1" t="s">
        <v>1051</v>
      </c>
      <c r="X261" s="1" t="s">
        <v>126</v>
      </c>
      <c r="Y261" s="14">
        <v>45853</v>
      </c>
      <c r="Z261" s="9" t="s">
        <v>817</v>
      </c>
      <c r="AB261" s="14">
        <v>45853</v>
      </c>
      <c r="AC261" s="9" t="s">
        <v>817</v>
      </c>
      <c r="AD261" s="9" t="s">
        <v>818</v>
      </c>
      <c r="AE261" s="1" t="s">
        <v>819</v>
      </c>
      <c r="AF261" s="14" t="s">
        <v>820</v>
      </c>
      <c r="AG261" s="9" t="s">
        <v>821</v>
      </c>
      <c r="AH261" s="1" t="s">
        <v>9</v>
      </c>
      <c r="AI261" s="9" t="s">
        <v>10</v>
      </c>
      <c r="AJ261" s="1" t="s">
        <v>11</v>
      </c>
      <c r="AK261" s="1" t="s">
        <v>1679</v>
      </c>
      <c r="AL261" s="1" t="s">
        <v>1511</v>
      </c>
      <c r="AM261" s="9">
        <v>11355</v>
      </c>
      <c r="AN261" s="1" t="s">
        <v>127</v>
      </c>
      <c r="AO261" s="1" t="s">
        <v>196</v>
      </c>
      <c r="AP261" s="1" t="s">
        <v>1172</v>
      </c>
      <c r="AQ261" s="14">
        <v>45853</v>
      </c>
      <c r="AU261" s="14">
        <v>45853</v>
      </c>
      <c r="AV261" s="16">
        <v>0</v>
      </c>
      <c r="AW261" s="16">
        <v>0</v>
      </c>
      <c r="BA261" s="1" t="s">
        <v>911</v>
      </c>
      <c r="BB261" s="9">
        <v>11</v>
      </c>
      <c r="BC261" s="1" t="s">
        <v>1521</v>
      </c>
      <c r="BD261" s="9" t="s">
        <v>807</v>
      </c>
      <c r="BE261" s="1" t="s">
        <v>1160</v>
      </c>
      <c r="BF261" s="1" t="s">
        <v>21</v>
      </c>
      <c r="BG261" s="1" t="s">
        <v>846</v>
      </c>
      <c r="BH261" s="1" t="s">
        <v>847</v>
      </c>
      <c r="BI261" s="1" t="s">
        <v>1055</v>
      </c>
      <c r="BJ261" s="21" t="str">
        <f t="shared" si="4"/>
        <v>FIXO</v>
      </c>
    </row>
    <row r="262" spans="1:62" x14ac:dyDescent="0.25">
      <c r="A262" s="7">
        <v>5</v>
      </c>
      <c r="B262" s="1" t="s">
        <v>71</v>
      </c>
      <c r="C262" s="8">
        <v>5</v>
      </c>
      <c r="D262" s="9" t="s">
        <v>807</v>
      </c>
      <c r="E262" s="10">
        <v>21494</v>
      </c>
      <c r="F262" s="11" t="s">
        <v>1726</v>
      </c>
      <c r="G262" s="12" t="s">
        <v>71</v>
      </c>
      <c r="H262" s="13" t="str">
        <f>VLOOKUP(AP262,[1]Listas!A:B,2,0)</f>
        <v xml:space="preserve">FESP </v>
      </c>
      <c r="I262" s="1" t="s">
        <v>27</v>
      </c>
      <c r="J262" s="12"/>
      <c r="K262" s="1" t="s">
        <v>21</v>
      </c>
      <c r="L262" s="1" t="s">
        <v>1167</v>
      </c>
      <c r="M262" s="1" t="s">
        <v>1727</v>
      </c>
      <c r="N262" s="14">
        <v>27740</v>
      </c>
      <c r="O262" s="1" t="s">
        <v>809</v>
      </c>
      <c r="P262" s="1" t="s">
        <v>810</v>
      </c>
      <c r="Q262" s="15" t="s">
        <v>807</v>
      </c>
      <c r="R262" s="1" t="s">
        <v>857</v>
      </c>
      <c r="S262" s="1" t="s">
        <v>868</v>
      </c>
      <c r="T262" s="1" t="s">
        <v>869</v>
      </c>
      <c r="U262" s="9" t="s">
        <v>868</v>
      </c>
      <c r="V262" s="1" t="s">
        <v>913</v>
      </c>
      <c r="W262" s="1" t="s">
        <v>1051</v>
      </c>
      <c r="X262" s="1" t="s">
        <v>126</v>
      </c>
      <c r="Y262" s="14">
        <v>45884</v>
      </c>
      <c r="Z262" s="9" t="s">
        <v>817</v>
      </c>
      <c r="AB262" s="14">
        <v>45884</v>
      </c>
      <c r="AC262" s="9" t="s">
        <v>817</v>
      </c>
      <c r="AD262" s="9" t="s">
        <v>818</v>
      </c>
      <c r="AE262" s="1" t="s">
        <v>819</v>
      </c>
      <c r="AF262" s="14" t="s">
        <v>820</v>
      </c>
      <c r="AG262" s="9" t="s">
        <v>821</v>
      </c>
      <c r="AH262" s="1" t="s">
        <v>9</v>
      </c>
      <c r="AI262" s="9" t="s">
        <v>10</v>
      </c>
      <c r="AJ262" s="1" t="s">
        <v>11</v>
      </c>
      <c r="AK262" s="1" t="s">
        <v>1679</v>
      </c>
      <c r="AL262" s="1" t="s">
        <v>1511</v>
      </c>
      <c r="AM262" s="9">
        <v>11355</v>
      </c>
      <c r="AN262" s="1" t="s">
        <v>127</v>
      </c>
      <c r="AO262" s="1" t="s">
        <v>196</v>
      </c>
      <c r="AP262" s="1" t="s">
        <v>1172</v>
      </c>
      <c r="AQ262" s="14">
        <v>45884</v>
      </c>
      <c r="AU262" s="14">
        <v>45884</v>
      </c>
      <c r="AV262" s="16">
        <v>0</v>
      </c>
      <c r="AW262" s="16">
        <v>0</v>
      </c>
      <c r="BA262" s="1" t="s">
        <v>911</v>
      </c>
      <c r="BB262" s="9">
        <v>11</v>
      </c>
      <c r="BC262" s="1" t="s">
        <v>1521</v>
      </c>
      <c r="BD262" s="9" t="s">
        <v>807</v>
      </c>
      <c r="BE262" s="1" t="s">
        <v>1160</v>
      </c>
      <c r="BF262" s="1" t="s">
        <v>21</v>
      </c>
      <c r="BG262" s="1" t="s">
        <v>846</v>
      </c>
      <c r="BH262" s="1" t="s">
        <v>847</v>
      </c>
      <c r="BI262" s="1" t="s">
        <v>1055</v>
      </c>
      <c r="BJ262" s="21" t="str">
        <f t="shared" si="4"/>
        <v>FIXO</v>
      </c>
    </row>
    <row r="263" spans="1:62" x14ac:dyDescent="0.25">
      <c r="A263" s="7">
        <v>5</v>
      </c>
      <c r="B263" s="1" t="s">
        <v>71</v>
      </c>
      <c r="C263" s="8">
        <v>8</v>
      </c>
      <c r="D263" s="9" t="s">
        <v>807</v>
      </c>
      <c r="E263" s="10">
        <v>21574</v>
      </c>
      <c r="F263" s="11" t="s">
        <v>1728</v>
      </c>
      <c r="G263" s="12" t="s">
        <v>71</v>
      </c>
      <c r="H263" s="13" t="str">
        <f>VLOOKUP(AP263,[1]Listas!A:B,2,0)</f>
        <v xml:space="preserve">FNOH </v>
      </c>
      <c r="I263" s="1" t="s">
        <v>380</v>
      </c>
      <c r="J263" s="12"/>
      <c r="K263" s="12"/>
      <c r="L263" s="12"/>
      <c r="M263" s="1" t="s">
        <v>427</v>
      </c>
      <c r="N263" s="14">
        <v>39200</v>
      </c>
      <c r="O263" s="1" t="s">
        <v>855</v>
      </c>
      <c r="P263" s="1" t="s">
        <v>856</v>
      </c>
      <c r="Q263" s="15" t="s">
        <v>807</v>
      </c>
      <c r="R263" s="1" t="s">
        <v>857</v>
      </c>
      <c r="S263" s="1" t="s">
        <v>868</v>
      </c>
      <c r="T263" s="1" t="s">
        <v>869</v>
      </c>
      <c r="U263" s="9" t="s">
        <v>814</v>
      </c>
      <c r="V263" s="1" t="s">
        <v>815</v>
      </c>
      <c r="W263" s="1" t="s">
        <v>1638</v>
      </c>
      <c r="X263" s="1" t="s">
        <v>388</v>
      </c>
      <c r="Y263" s="14">
        <v>45902</v>
      </c>
      <c r="Z263" s="9" t="s">
        <v>817</v>
      </c>
      <c r="AB263" s="14">
        <v>45902</v>
      </c>
      <c r="AC263" s="9" t="s">
        <v>817</v>
      </c>
      <c r="AD263" s="9" t="s">
        <v>818</v>
      </c>
      <c r="AE263" s="1" t="s">
        <v>819</v>
      </c>
      <c r="AF263" s="14" t="s">
        <v>820</v>
      </c>
      <c r="AG263" s="9" t="s">
        <v>821</v>
      </c>
      <c r="AH263" s="1" t="s">
        <v>9</v>
      </c>
      <c r="AI263" s="9" t="s">
        <v>10</v>
      </c>
      <c r="AJ263" s="1" t="s">
        <v>11</v>
      </c>
      <c r="AK263" s="1" t="s">
        <v>1639</v>
      </c>
      <c r="AL263" s="1" t="s">
        <v>1640</v>
      </c>
      <c r="AM263" s="9">
        <v>11648</v>
      </c>
      <c r="AN263" s="1" t="s">
        <v>389</v>
      </c>
      <c r="AO263" s="1" t="s">
        <v>390</v>
      </c>
      <c r="AP263" s="1" t="s">
        <v>1641</v>
      </c>
      <c r="AQ263" s="14">
        <v>45902</v>
      </c>
      <c r="AU263" s="14">
        <v>45902</v>
      </c>
      <c r="AV263" s="16">
        <v>0</v>
      </c>
      <c r="AW263" s="16">
        <v>0</v>
      </c>
      <c r="BA263" s="1" t="s">
        <v>911</v>
      </c>
      <c r="BB263" s="9">
        <v>36</v>
      </c>
      <c r="BC263" s="1" t="s">
        <v>1729</v>
      </c>
      <c r="BD263" s="9" t="s">
        <v>807</v>
      </c>
      <c r="BE263" s="1" t="s">
        <v>1642</v>
      </c>
      <c r="BF263" s="1" t="s">
        <v>380</v>
      </c>
      <c r="BG263" s="1" t="s">
        <v>1627</v>
      </c>
      <c r="BH263" s="1" t="s">
        <v>1628</v>
      </c>
      <c r="BI263" s="25" t="s">
        <v>983</v>
      </c>
      <c r="BJ263" s="21" t="str">
        <f t="shared" si="4"/>
        <v>FIXO</v>
      </c>
    </row>
    <row r="264" spans="1:62" x14ac:dyDescent="0.25">
      <c r="A264" s="7">
        <v>5</v>
      </c>
      <c r="B264" s="1" t="s">
        <v>71</v>
      </c>
      <c r="C264" s="8">
        <v>8</v>
      </c>
      <c r="D264" s="9" t="s">
        <v>807</v>
      </c>
      <c r="E264" s="10">
        <v>21608</v>
      </c>
      <c r="F264" s="11" t="s">
        <v>1730</v>
      </c>
      <c r="G264" s="12" t="s">
        <v>71</v>
      </c>
      <c r="H264" s="13" t="str">
        <f>VLOOKUP(AP264,[1]Listas!A:B,2,0)</f>
        <v xml:space="preserve">FNOH </v>
      </c>
      <c r="I264" s="1" t="s">
        <v>380</v>
      </c>
      <c r="J264" s="12"/>
      <c r="K264" s="12"/>
      <c r="L264" s="12"/>
      <c r="M264" s="1" t="s">
        <v>428</v>
      </c>
      <c r="N264" s="14">
        <v>32207</v>
      </c>
      <c r="O264" s="1" t="s">
        <v>855</v>
      </c>
      <c r="P264" s="1" t="s">
        <v>856</v>
      </c>
      <c r="Q264" s="15" t="s">
        <v>814</v>
      </c>
      <c r="R264" s="1" t="s">
        <v>1075</v>
      </c>
      <c r="S264" s="1" t="s">
        <v>868</v>
      </c>
      <c r="T264" s="1" t="s">
        <v>869</v>
      </c>
      <c r="U264" s="9" t="s">
        <v>868</v>
      </c>
      <c r="V264" s="1" t="s">
        <v>913</v>
      </c>
      <c r="W264" s="1" t="s">
        <v>1638</v>
      </c>
      <c r="X264" s="1" t="s">
        <v>388</v>
      </c>
      <c r="Y264" s="14">
        <v>45905</v>
      </c>
      <c r="Z264" s="9" t="s">
        <v>817</v>
      </c>
      <c r="AB264" s="14">
        <v>45905</v>
      </c>
      <c r="AC264" s="9" t="s">
        <v>817</v>
      </c>
      <c r="AD264" s="9" t="s">
        <v>818</v>
      </c>
      <c r="AE264" s="1" t="s">
        <v>819</v>
      </c>
      <c r="AF264" s="14" t="s">
        <v>820</v>
      </c>
      <c r="AG264" s="9" t="s">
        <v>821</v>
      </c>
      <c r="AH264" s="1" t="s">
        <v>9</v>
      </c>
      <c r="AI264" s="9" t="s">
        <v>10</v>
      </c>
      <c r="AJ264" s="1" t="s">
        <v>11</v>
      </c>
      <c r="AK264" s="1" t="s">
        <v>1639</v>
      </c>
      <c r="AL264" s="1" t="s">
        <v>1640</v>
      </c>
      <c r="AM264" s="9">
        <v>11648</v>
      </c>
      <c r="AN264" s="1" t="s">
        <v>389</v>
      </c>
      <c r="AO264" s="1" t="s">
        <v>390</v>
      </c>
      <c r="AP264" s="1" t="s">
        <v>1641</v>
      </c>
      <c r="AQ264" s="14">
        <v>45905</v>
      </c>
      <c r="AU264" s="14">
        <v>45905</v>
      </c>
      <c r="AV264" s="16">
        <v>0</v>
      </c>
      <c r="AW264" s="16">
        <v>0</v>
      </c>
      <c r="BA264" s="1" t="s">
        <v>911</v>
      </c>
      <c r="BB264" s="9">
        <v>21</v>
      </c>
      <c r="BC264" s="1" t="s">
        <v>1731</v>
      </c>
      <c r="BD264" s="9" t="s">
        <v>807</v>
      </c>
      <c r="BE264" s="1" t="s">
        <v>1642</v>
      </c>
      <c r="BF264" s="1" t="s">
        <v>380</v>
      </c>
      <c r="BG264" s="1" t="s">
        <v>1627</v>
      </c>
      <c r="BH264" s="1" t="s">
        <v>1628</v>
      </c>
      <c r="BI264" s="25" t="s">
        <v>929</v>
      </c>
      <c r="BJ264" s="21" t="str">
        <f t="shared" si="4"/>
        <v>FIXO</v>
      </c>
    </row>
    <row r="265" spans="1:62" x14ac:dyDescent="0.25">
      <c r="A265" s="7">
        <v>5</v>
      </c>
      <c r="B265" s="1" t="s">
        <v>71</v>
      </c>
      <c r="C265" s="8">
        <v>5</v>
      </c>
      <c r="D265" s="9" t="s">
        <v>807</v>
      </c>
      <c r="E265" s="10">
        <v>21631</v>
      </c>
      <c r="F265" s="11" t="s">
        <v>1732</v>
      </c>
      <c r="G265" s="1" t="s">
        <v>41</v>
      </c>
      <c r="H265" s="13" t="str">
        <f>VLOOKUP(AP265,[1]Listas!A:B,2,0)</f>
        <v xml:space="preserve">FESP </v>
      </c>
      <c r="I265" s="1" t="s">
        <v>38</v>
      </c>
      <c r="J265" s="12"/>
      <c r="K265" s="12"/>
      <c r="L265" s="1" t="s">
        <v>38</v>
      </c>
      <c r="M265" s="1" t="s">
        <v>429</v>
      </c>
      <c r="N265" s="14">
        <v>25563</v>
      </c>
      <c r="O265" s="1" t="s">
        <v>855</v>
      </c>
      <c r="P265" s="1" t="s">
        <v>856</v>
      </c>
      <c r="Q265" s="15" t="s">
        <v>807</v>
      </c>
      <c r="R265" s="1" t="s">
        <v>857</v>
      </c>
      <c r="S265" s="1" t="s">
        <v>868</v>
      </c>
      <c r="T265" s="1" t="s">
        <v>869</v>
      </c>
      <c r="U265" s="9" t="s">
        <v>868</v>
      </c>
      <c r="V265" s="1" t="s">
        <v>913</v>
      </c>
      <c r="W265" s="1" t="s">
        <v>979</v>
      </c>
      <c r="X265" s="1" t="s">
        <v>92</v>
      </c>
      <c r="Y265" s="14">
        <v>45909</v>
      </c>
      <c r="Z265" s="9" t="s">
        <v>817</v>
      </c>
      <c r="AB265" s="14">
        <v>45909</v>
      </c>
      <c r="AC265" s="9" t="s">
        <v>817</v>
      </c>
      <c r="AD265" s="9" t="s">
        <v>818</v>
      </c>
      <c r="AE265" s="1" t="s">
        <v>819</v>
      </c>
      <c r="AF265" s="14" t="s">
        <v>820</v>
      </c>
      <c r="AG265" s="9" t="s">
        <v>821</v>
      </c>
      <c r="AH265" s="1" t="s">
        <v>9</v>
      </c>
      <c r="AI265" s="9" t="s">
        <v>10</v>
      </c>
      <c r="AJ265" s="1" t="s">
        <v>11</v>
      </c>
      <c r="AK265" s="1" t="s">
        <v>1624</v>
      </c>
      <c r="AL265" s="1" t="s">
        <v>1502</v>
      </c>
      <c r="AM265" s="9">
        <v>11389</v>
      </c>
      <c r="AN265" s="1" t="s">
        <v>332</v>
      </c>
      <c r="AO265" s="1" t="s">
        <v>170</v>
      </c>
      <c r="AP265" s="1" t="s">
        <v>1126</v>
      </c>
      <c r="AQ265" s="14">
        <v>45909</v>
      </c>
      <c r="AU265" s="14">
        <v>45909</v>
      </c>
      <c r="AV265" s="16">
        <v>0</v>
      </c>
      <c r="AW265" s="16">
        <v>0</v>
      </c>
      <c r="BA265" s="1" t="s">
        <v>911</v>
      </c>
      <c r="BB265" s="9">
        <v>38</v>
      </c>
      <c r="BC265" s="1" t="s">
        <v>1297</v>
      </c>
      <c r="BD265" s="9" t="s">
        <v>807</v>
      </c>
      <c r="BE265" s="1" t="s">
        <v>893</v>
      </c>
      <c r="BF265" s="1" t="s">
        <v>38</v>
      </c>
      <c r="BG265" s="1" t="s">
        <v>883</v>
      </c>
      <c r="BH265" s="1" t="s">
        <v>884</v>
      </c>
      <c r="BI265" s="20" t="s">
        <v>983</v>
      </c>
      <c r="BJ265" s="21" t="str">
        <f t="shared" si="4"/>
        <v>FIXO</v>
      </c>
    </row>
    <row r="266" spans="1:62" x14ac:dyDescent="0.25">
      <c r="A266" s="7">
        <v>5</v>
      </c>
      <c r="B266" s="1" t="s">
        <v>71</v>
      </c>
      <c r="C266" s="8">
        <v>8</v>
      </c>
      <c r="D266" s="9" t="s">
        <v>807</v>
      </c>
      <c r="E266" s="10">
        <v>21724</v>
      </c>
      <c r="F266" s="11" t="s">
        <v>1733</v>
      </c>
      <c r="G266" s="12" t="s">
        <v>71</v>
      </c>
      <c r="H266" s="13" t="str">
        <f>VLOOKUP(AP266,[1]Listas!A:B,2,0)</f>
        <v xml:space="preserve">FNOH </v>
      </c>
      <c r="I266" s="1" t="s">
        <v>362</v>
      </c>
      <c r="J266" s="12"/>
      <c r="K266" s="12"/>
      <c r="L266" s="12"/>
      <c r="M266" s="1" t="s">
        <v>430</v>
      </c>
      <c r="N266" s="14">
        <v>31578</v>
      </c>
      <c r="O266" s="1" t="s">
        <v>855</v>
      </c>
      <c r="P266" s="1" t="s">
        <v>856</v>
      </c>
      <c r="Q266" s="15" t="s">
        <v>807</v>
      </c>
      <c r="R266" s="1" t="s">
        <v>857</v>
      </c>
      <c r="S266" s="1" t="s">
        <v>868</v>
      </c>
      <c r="T266" s="1" t="s">
        <v>869</v>
      </c>
      <c r="U266" s="9" t="s">
        <v>811</v>
      </c>
      <c r="V266" s="1" t="s">
        <v>870</v>
      </c>
      <c r="W266" s="1" t="s">
        <v>1658</v>
      </c>
      <c r="X266" s="1" t="s">
        <v>400</v>
      </c>
      <c r="Y266" s="14">
        <v>45919</v>
      </c>
      <c r="Z266" s="9" t="s">
        <v>817</v>
      </c>
      <c r="AB266" s="14">
        <v>45919</v>
      </c>
      <c r="AC266" s="9" t="s">
        <v>817</v>
      </c>
      <c r="AD266" s="9" t="s">
        <v>818</v>
      </c>
      <c r="AE266" s="1" t="s">
        <v>819</v>
      </c>
      <c r="AF266" s="14" t="s">
        <v>820</v>
      </c>
      <c r="AG266" s="9" t="s">
        <v>821</v>
      </c>
      <c r="AH266" s="1" t="s">
        <v>9</v>
      </c>
      <c r="AI266" s="9" t="s">
        <v>10</v>
      </c>
      <c r="AJ266" s="1" t="s">
        <v>11</v>
      </c>
      <c r="AK266" s="1" t="s">
        <v>1659</v>
      </c>
      <c r="AL266" s="1" t="s">
        <v>1660</v>
      </c>
      <c r="AM266" s="9">
        <v>11648</v>
      </c>
      <c r="AN266" s="1" t="s">
        <v>389</v>
      </c>
      <c r="AO266" s="1" t="s">
        <v>390</v>
      </c>
      <c r="AP266" s="1" t="s">
        <v>1641</v>
      </c>
      <c r="AQ266" s="14">
        <v>45919</v>
      </c>
      <c r="AU266" s="14">
        <v>45919</v>
      </c>
      <c r="AV266" s="16">
        <v>0</v>
      </c>
      <c r="AW266" s="16">
        <v>0</v>
      </c>
      <c r="BA266" s="1" t="s">
        <v>911</v>
      </c>
      <c r="BB266" s="9">
        <v>38</v>
      </c>
      <c r="BC266" s="1" t="s">
        <v>1297</v>
      </c>
      <c r="BD266" s="9" t="s">
        <v>807</v>
      </c>
      <c r="BE266" s="1" t="s">
        <v>1642</v>
      </c>
      <c r="BF266" s="1" t="s">
        <v>380</v>
      </c>
      <c r="BG266" s="1" t="s">
        <v>1627</v>
      </c>
      <c r="BH266" s="1" t="s">
        <v>1628</v>
      </c>
      <c r="BI266" s="20" t="s">
        <v>1661</v>
      </c>
      <c r="BJ266" s="21" t="str">
        <f t="shared" si="4"/>
        <v>FIXO</v>
      </c>
    </row>
    <row r="267" spans="1:62" x14ac:dyDescent="0.25">
      <c r="A267" s="7">
        <v>6</v>
      </c>
      <c r="B267" s="1" t="s">
        <v>41</v>
      </c>
      <c r="C267" s="8">
        <v>9</v>
      </c>
      <c r="D267" s="9" t="s">
        <v>807</v>
      </c>
      <c r="E267" s="10">
        <v>178</v>
      </c>
      <c r="F267" s="11" t="s">
        <v>1734</v>
      </c>
      <c r="G267" s="12" t="s">
        <v>41</v>
      </c>
      <c r="H267" s="13" t="str">
        <f>VLOOKUP(AP267,[1]Listas!A:B,2,0)</f>
        <v xml:space="preserve">FBLA </v>
      </c>
      <c r="I267" s="1" t="s">
        <v>444</v>
      </c>
      <c r="J267" s="12"/>
      <c r="K267" s="12"/>
      <c r="L267" s="1" t="s">
        <v>444</v>
      </c>
      <c r="M267" s="1" t="s">
        <v>435</v>
      </c>
      <c r="N267" s="14">
        <v>27668</v>
      </c>
      <c r="O267" s="1" t="s">
        <v>855</v>
      </c>
      <c r="P267" s="1" t="s">
        <v>856</v>
      </c>
      <c r="Q267" s="15" t="s">
        <v>807</v>
      </c>
      <c r="R267" s="1" t="s">
        <v>857</v>
      </c>
      <c r="S267" s="1" t="s">
        <v>868</v>
      </c>
      <c r="T267" s="1" t="s">
        <v>869</v>
      </c>
      <c r="U267" s="9" t="s">
        <v>814</v>
      </c>
      <c r="V267" s="1" t="s">
        <v>815</v>
      </c>
      <c r="W267" s="1" t="s">
        <v>1425</v>
      </c>
      <c r="X267" s="1" t="s">
        <v>301</v>
      </c>
      <c r="Y267" s="14">
        <v>44645</v>
      </c>
      <c r="Z267" s="9" t="s">
        <v>817</v>
      </c>
      <c r="AB267" s="14">
        <v>42639</v>
      </c>
      <c r="AC267" s="9" t="s">
        <v>817</v>
      </c>
      <c r="AD267" s="9" t="s">
        <v>818</v>
      </c>
      <c r="AE267" s="1" t="s">
        <v>819</v>
      </c>
      <c r="AF267" s="14" t="s">
        <v>820</v>
      </c>
      <c r="AG267" s="9" t="s">
        <v>835</v>
      </c>
      <c r="AH267" s="1" t="s">
        <v>17</v>
      </c>
      <c r="AI267" s="9" t="s">
        <v>10</v>
      </c>
      <c r="AJ267" s="1" t="s">
        <v>11</v>
      </c>
      <c r="AK267" s="1" t="s">
        <v>1735</v>
      </c>
      <c r="AL267" s="1" t="s">
        <v>1736</v>
      </c>
      <c r="AM267" s="9">
        <v>11743</v>
      </c>
      <c r="AN267" s="1" t="s">
        <v>114</v>
      </c>
      <c r="AO267" s="1" t="s">
        <v>436</v>
      </c>
      <c r="AP267" s="1" t="s">
        <v>1737</v>
      </c>
      <c r="AQ267" s="14">
        <v>45728</v>
      </c>
      <c r="AU267" s="14">
        <v>45799</v>
      </c>
      <c r="AV267" s="16">
        <v>0</v>
      </c>
      <c r="AW267" s="16">
        <v>0</v>
      </c>
      <c r="BA267" s="1" t="s">
        <v>825</v>
      </c>
      <c r="BB267" s="9">
        <v>1</v>
      </c>
      <c r="BC267" s="1" t="s">
        <v>862</v>
      </c>
      <c r="BD267" s="9" t="s">
        <v>807</v>
      </c>
      <c r="BE267" s="1" t="s">
        <v>1738</v>
      </c>
      <c r="BF267" s="1" t="s">
        <v>437</v>
      </c>
      <c r="BG267" s="1" t="s">
        <v>1739</v>
      </c>
      <c r="BH267" s="1" t="s">
        <v>1740</v>
      </c>
      <c r="BI267" s="20" t="s">
        <v>983</v>
      </c>
      <c r="BJ267" s="21" t="str">
        <f t="shared" si="4"/>
        <v>FIXO</v>
      </c>
    </row>
    <row r="268" spans="1:62" x14ac:dyDescent="0.25">
      <c r="A268" s="7">
        <v>6</v>
      </c>
      <c r="B268" s="1" t="s">
        <v>41</v>
      </c>
      <c r="C268" s="8">
        <v>5</v>
      </c>
      <c r="D268" s="9" t="s">
        <v>807</v>
      </c>
      <c r="E268" s="10">
        <v>179</v>
      </c>
      <c r="F268" s="11" t="s">
        <v>1741</v>
      </c>
      <c r="G268" s="12" t="s">
        <v>1061</v>
      </c>
      <c r="H268" s="22" t="str">
        <f>VLOOKUP(AP268,[1]Listas!A:B,2,0)</f>
        <v xml:space="preserve">FESP </v>
      </c>
      <c r="I268" s="12"/>
      <c r="J268" s="12"/>
      <c r="K268" s="12"/>
      <c r="L268" s="12"/>
      <c r="M268" s="23" t="s">
        <v>438</v>
      </c>
      <c r="N268" s="14">
        <v>26016</v>
      </c>
      <c r="O268" s="1" t="s">
        <v>855</v>
      </c>
      <c r="P268" s="1" t="s">
        <v>856</v>
      </c>
      <c r="Q268" s="15" t="s">
        <v>807</v>
      </c>
      <c r="R268" s="1" t="s">
        <v>857</v>
      </c>
      <c r="S268" s="1" t="s">
        <v>868</v>
      </c>
      <c r="T268" s="1" t="s">
        <v>869</v>
      </c>
      <c r="U268" s="9" t="s">
        <v>868</v>
      </c>
      <c r="V268" s="1" t="s">
        <v>913</v>
      </c>
      <c r="W268" s="1" t="s">
        <v>979</v>
      </c>
      <c r="X268" s="1" t="s">
        <v>92</v>
      </c>
      <c r="Y268" s="14">
        <v>44110</v>
      </c>
      <c r="Z268" s="9" t="s">
        <v>817</v>
      </c>
      <c r="AB268" s="14">
        <v>41426</v>
      </c>
      <c r="AC268" s="9" t="s">
        <v>817</v>
      </c>
      <c r="AD268" s="9" t="s">
        <v>818</v>
      </c>
      <c r="AE268" s="1" t="s">
        <v>819</v>
      </c>
      <c r="AF268" s="14" t="s">
        <v>820</v>
      </c>
      <c r="AG268" s="9" t="s">
        <v>821</v>
      </c>
      <c r="AH268" s="1" t="s">
        <v>9</v>
      </c>
      <c r="AI268" s="9" t="s">
        <v>10</v>
      </c>
      <c r="AJ268" s="1" t="s">
        <v>11</v>
      </c>
      <c r="AK268" s="1" t="s">
        <v>1742</v>
      </c>
      <c r="AL268" s="1" t="s">
        <v>1622</v>
      </c>
      <c r="AM268" s="9">
        <v>11318</v>
      </c>
      <c r="AN268" s="1" t="s">
        <v>122</v>
      </c>
      <c r="AO268" s="1" t="s">
        <v>94</v>
      </c>
      <c r="AP268" s="1" t="s">
        <v>982</v>
      </c>
      <c r="AQ268" s="14">
        <v>45658</v>
      </c>
      <c r="AU268" s="14">
        <v>45799</v>
      </c>
      <c r="AV268" s="16">
        <v>0</v>
      </c>
      <c r="AW268" s="16">
        <v>0</v>
      </c>
      <c r="BA268" s="1" t="s">
        <v>825</v>
      </c>
      <c r="BB268" s="9">
        <v>1</v>
      </c>
      <c r="BC268" s="1" t="s">
        <v>862</v>
      </c>
      <c r="BD268" s="9" t="s">
        <v>807</v>
      </c>
      <c r="BE268" s="1" t="s">
        <v>1160</v>
      </c>
      <c r="BF268" s="23" t="s">
        <v>21</v>
      </c>
      <c r="BG268" s="1" t="s">
        <v>846</v>
      </c>
      <c r="BH268" s="1" t="s">
        <v>847</v>
      </c>
      <c r="BI268" s="1" t="s">
        <v>1066</v>
      </c>
      <c r="BJ268" s="21" t="str">
        <f t="shared" si="4"/>
        <v>FIXO</v>
      </c>
    </row>
    <row r="269" spans="1:62" x14ac:dyDescent="0.25">
      <c r="A269" s="7">
        <v>6</v>
      </c>
      <c r="B269" s="1" t="s">
        <v>41</v>
      </c>
      <c r="C269" s="8">
        <v>6</v>
      </c>
      <c r="D269" s="9" t="s">
        <v>807</v>
      </c>
      <c r="E269" s="10">
        <v>183</v>
      </c>
      <c r="F269" s="11" t="s">
        <v>1743</v>
      </c>
      <c r="G269" s="12" t="s">
        <v>271</v>
      </c>
      <c r="H269" s="13" t="str">
        <f>VLOOKUP(AP269,[1]Listas!A:B,2,0)</f>
        <v xml:space="preserve">FSTV </v>
      </c>
      <c r="I269" s="1" t="s">
        <v>440</v>
      </c>
      <c r="J269" s="12"/>
      <c r="K269" s="12"/>
      <c r="L269" s="12" t="s">
        <v>1744</v>
      </c>
      <c r="M269" s="1" t="s">
        <v>1745</v>
      </c>
      <c r="N269" s="14">
        <v>30059</v>
      </c>
      <c r="O269" s="1" t="s">
        <v>855</v>
      </c>
      <c r="P269" s="1" t="s">
        <v>856</v>
      </c>
      <c r="Q269" s="15" t="s">
        <v>811</v>
      </c>
      <c r="R269" s="1" t="s">
        <v>812</v>
      </c>
      <c r="S269" s="1" t="s">
        <v>807</v>
      </c>
      <c r="T269" s="1" t="s">
        <v>813</v>
      </c>
      <c r="U269" s="9" t="s">
        <v>951</v>
      </c>
      <c r="V269" s="1" t="s">
        <v>952</v>
      </c>
      <c r="W269" s="1" t="s">
        <v>1317</v>
      </c>
      <c r="X269" s="1" t="s">
        <v>265</v>
      </c>
      <c r="Y269" s="14">
        <v>44461</v>
      </c>
      <c r="Z269" s="9" t="s">
        <v>817</v>
      </c>
      <c r="AB269" s="14">
        <v>44460</v>
      </c>
      <c r="AC269" s="9" t="s">
        <v>817</v>
      </c>
      <c r="AD269" s="9" t="s">
        <v>818</v>
      </c>
      <c r="AE269" s="1" t="s">
        <v>819</v>
      </c>
      <c r="AF269" s="14" t="s">
        <v>820</v>
      </c>
      <c r="AG269" s="9" t="s">
        <v>821</v>
      </c>
      <c r="AH269" s="1" t="s">
        <v>9</v>
      </c>
      <c r="AI269" s="9" t="s">
        <v>10</v>
      </c>
      <c r="AJ269" s="1" t="s">
        <v>11</v>
      </c>
      <c r="AK269" s="1" t="s">
        <v>1746</v>
      </c>
      <c r="AL269" s="1" t="s">
        <v>1747</v>
      </c>
      <c r="AM269" s="9">
        <v>11471</v>
      </c>
      <c r="AN269" s="1" t="s">
        <v>272</v>
      </c>
      <c r="AO269" s="1" t="s">
        <v>439</v>
      </c>
      <c r="AP269" s="1" t="s">
        <v>1748</v>
      </c>
      <c r="AQ269" s="14">
        <v>45658</v>
      </c>
      <c r="AU269" s="14">
        <v>45798</v>
      </c>
      <c r="AV269" s="16">
        <v>0</v>
      </c>
      <c r="AW269" s="16">
        <v>0</v>
      </c>
      <c r="BA269" s="1" t="s">
        <v>911</v>
      </c>
      <c r="BB269" s="9">
        <v>1</v>
      </c>
      <c r="BC269" s="1" t="s">
        <v>862</v>
      </c>
      <c r="BD269" s="9" t="s">
        <v>807</v>
      </c>
      <c r="BE269" s="1" t="s">
        <v>1017</v>
      </c>
      <c r="BI269" s="20" t="s">
        <v>878</v>
      </c>
      <c r="BJ269" s="21" t="str">
        <f t="shared" si="4"/>
        <v>FIXO</v>
      </c>
    </row>
    <row r="270" spans="1:62" x14ac:dyDescent="0.25">
      <c r="A270" s="7">
        <v>6</v>
      </c>
      <c r="B270" s="1" t="s">
        <v>41</v>
      </c>
      <c r="C270" s="8">
        <v>6</v>
      </c>
      <c r="D270" s="9" t="s">
        <v>807</v>
      </c>
      <c r="E270" s="10">
        <v>195</v>
      </c>
      <c r="F270" s="11" t="s">
        <v>1749</v>
      </c>
      <c r="G270" s="12" t="s">
        <v>271</v>
      </c>
      <c r="H270" s="13" t="str">
        <f>VLOOKUP(AP270,[1]Listas!A:B,2,0)</f>
        <v xml:space="preserve">FSTV </v>
      </c>
      <c r="I270" s="1"/>
      <c r="J270" s="12"/>
      <c r="K270" s="12"/>
      <c r="L270" s="12"/>
      <c r="M270" s="1" t="s">
        <v>440</v>
      </c>
      <c r="N270" s="14">
        <v>31170</v>
      </c>
      <c r="O270" s="1" t="s">
        <v>855</v>
      </c>
      <c r="P270" s="1" t="s">
        <v>856</v>
      </c>
      <c r="Q270" s="15" t="s">
        <v>811</v>
      </c>
      <c r="R270" s="1" t="s">
        <v>812</v>
      </c>
      <c r="S270" s="1" t="s">
        <v>1017</v>
      </c>
      <c r="U270" s="9" t="s">
        <v>814</v>
      </c>
      <c r="V270" s="1" t="s">
        <v>815</v>
      </c>
      <c r="W270" s="1" t="s">
        <v>1750</v>
      </c>
      <c r="X270" s="1" t="s">
        <v>1751</v>
      </c>
      <c r="Y270" s="14">
        <v>45181</v>
      </c>
      <c r="Z270" s="9" t="s">
        <v>817</v>
      </c>
      <c r="AB270" s="14">
        <v>43987</v>
      </c>
      <c r="AC270" s="9" t="s">
        <v>817</v>
      </c>
      <c r="AD270" s="9" t="s">
        <v>818</v>
      </c>
      <c r="AE270" s="1" t="s">
        <v>819</v>
      </c>
      <c r="AF270" s="14" t="s">
        <v>820</v>
      </c>
      <c r="AG270" s="9" t="s">
        <v>835</v>
      </c>
      <c r="AH270" s="1" t="s">
        <v>17</v>
      </c>
      <c r="AI270" s="9" t="s">
        <v>10</v>
      </c>
      <c r="AJ270" s="1" t="s">
        <v>11</v>
      </c>
      <c r="AK270" s="1" t="s">
        <v>1752</v>
      </c>
      <c r="AL270" s="1" t="s">
        <v>1753</v>
      </c>
      <c r="AM270" s="9">
        <v>11424</v>
      </c>
      <c r="AN270" s="1" t="s">
        <v>40</v>
      </c>
      <c r="AO270" s="1" t="s">
        <v>442</v>
      </c>
      <c r="AP270" s="1" t="s">
        <v>1754</v>
      </c>
      <c r="AQ270" s="14">
        <v>45658</v>
      </c>
      <c r="AU270" s="14">
        <v>45799</v>
      </c>
      <c r="AV270" s="16">
        <v>0</v>
      </c>
      <c r="AW270" s="16">
        <v>0</v>
      </c>
      <c r="BA270" s="1" t="s">
        <v>911</v>
      </c>
      <c r="BB270" s="9">
        <v>7</v>
      </c>
      <c r="BC270" s="1" t="s">
        <v>826</v>
      </c>
      <c r="BD270" s="9" t="s">
        <v>807</v>
      </c>
      <c r="BE270" s="1" t="s">
        <v>885</v>
      </c>
      <c r="BF270" s="1" t="s">
        <v>41</v>
      </c>
      <c r="BG270" s="1" t="s">
        <v>886</v>
      </c>
      <c r="BH270" s="1" t="s">
        <v>887</v>
      </c>
      <c r="BI270" s="17" t="s">
        <v>888</v>
      </c>
      <c r="BJ270" s="21" t="str">
        <f t="shared" si="4"/>
        <v>FIXO</v>
      </c>
    </row>
    <row r="271" spans="1:62" x14ac:dyDescent="0.25">
      <c r="A271" s="7">
        <v>6</v>
      </c>
      <c r="B271" s="1" t="s">
        <v>41</v>
      </c>
      <c r="C271" s="8">
        <v>5</v>
      </c>
      <c r="D271" s="9" t="s">
        <v>807</v>
      </c>
      <c r="E271" s="10">
        <v>634</v>
      </c>
      <c r="F271" s="11" t="s">
        <v>1755</v>
      </c>
      <c r="G271" s="1" t="s">
        <v>41</v>
      </c>
      <c r="H271" s="13" t="str">
        <f>VLOOKUP(AP271,[1]Listas!A:B,2,0)</f>
        <v xml:space="preserve">FESP </v>
      </c>
      <c r="I271" s="12" t="s">
        <v>38</v>
      </c>
      <c r="J271" s="12"/>
      <c r="K271" s="1" t="s">
        <v>32</v>
      </c>
      <c r="L271" s="1" t="s">
        <v>79</v>
      </c>
      <c r="M271" s="1" t="s">
        <v>443</v>
      </c>
      <c r="N271" s="14">
        <v>32569</v>
      </c>
      <c r="O271" s="1" t="s">
        <v>855</v>
      </c>
      <c r="P271" s="1" t="s">
        <v>856</v>
      </c>
      <c r="Q271" s="15" t="s">
        <v>811</v>
      </c>
      <c r="R271" s="1" t="s">
        <v>812</v>
      </c>
      <c r="S271" s="1" t="s">
        <v>868</v>
      </c>
      <c r="T271" s="1" t="s">
        <v>869</v>
      </c>
      <c r="U271" s="9" t="s">
        <v>814</v>
      </c>
      <c r="V271" s="1" t="s">
        <v>815</v>
      </c>
      <c r="W271" s="1" t="s">
        <v>871</v>
      </c>
      <c r="X271" s="1" t="s">
        <v>34</v>
      </c>
      <c r="Y271" s="14">
        <v>44731</v>
      </c>
      <c r="Z271" s="9" t="s">
        <v>817</v>
      </c>
      <c r="AB271" s="14">
        <v>44730</v>
      </c>
      <c r="AC271" s="9" t="s">
        <v>817</v>
      </c>
      <c r="AD271" s="9" t="s">
        <v>818</v>
      </c>
      <c r="AE271" s="1" t="s">
        <v>819</v>
      </c>
      <c r="AF271" s="14" t="s">
        <v>820</v>
      </c>
      <c r="AG271" s="9" t="s">
        <v>821</v>
      </c>
      <c r="AH271" s="1" t="s">
        <v>9</v>
      </c>
      <c r="AI271" s="9" t="s">
        <v>10</v>
      </c>
      <c r="AJ271" s="1" t="s">
        <v>11</v>
      </c>
      <c r="AK271" s="1" t="s">
        <v>1756</v>
      </c>
      <c r="AL271" s="1" t="s">
        <v>919</v>
      </c>
      <c r="AM271" s="9">
        <v>11377</v>
      </c>
      <c r="AN271" s="1" t="s">
        <v>56</v>
      </c>
      <c r="AO271" s="1" t="s">
        <v>36</v>
      </c>
      <c r="AP271" s="1" t="s">
        <v>874</v>
      </c>
      <c r="AQ271" s="14">
        <v>45707</v>
      </c>
      <c r="AU271" s="14">
        <v>45799</v>
      </c>
      <c r="AV271" s="16">
        <v>0</v>
      </c>
      <c r="AW271" s="16">
        <v>0</v>
      </c>
      <c r="BA271" s="1" t="s">
        <v>911</v>
      </c>
      <c r="BB271" s="9">
        <v>1</v>
      </c>
      <c r="BC271" s="1" t="s">
        <v>862</v>
      </c>
      <c r="BD271" s="9" t="s">
        <v>807</v>
      </c>
      <c r="BE271" s="1" t="s">
        <v>863</v>
      </c>
      <c r="BF271" s="1" t="s">
        <v>32</v>
      </c>
      <c r="BG271" s="1" t="s">
        <v>864</v>
      </c>
      <c r="BH271" s="1" t="s">
        <v>865</v>
      </c>
      <c r="BI271" s="1" t="s">
        <v>916</v>
      </c>
      <c r="BJ271" s="21" t="str">
        <f t="shared" si="4"/>
        <v>FIXO</v>
      </c>
    </row>
    <row r="272" spans="1:62" x14ac:dyDescent="0.25">
      <c r="A272" s="7">
        <v>6</v>
      </c>
      <c r="B272" s="1" t="s">
        <v>41</v>
      </c>
      <c r="C272" s="8">
        <v>5</v>
      </c>
      <c r="D272" s="9" t="s">
        <v>807</v>
      </c>
      <c r="E272" s="10">
        <v>984</v>
      </c>
      <c r="F272" s="11" t="s">
        <v>1757</v>
      </c>
      <c r="G272" s="1" t="s">
        <v>41</v>
      </c>
      <c r="H272" s="13" t="str">
        <f>VLOOKUP(AP272,[1]Listas!A:B,2,0)</f>
        <v xml:space="preserve">FESP </v>
      </c>
      <c r="I272" s="12" t="s">
        <v>38</v>
      </c>
      <c r="J272" s="12"/>
      <c r="K272" s="1" t="s">
        <v>42</v>
      </c>
      <c r="L272" s="12"/>
      <c r="M272" s="1" t="s">
        <v>445</v>
      </c>
      <c r="N272" s="14">
        <v>33064</v>
      </c>
      <c r="O272" s="1" t="s">
        <v>855</v>
      </c>
      <c r="P272" s="1" t="s">
        <v>856</v>
      </c>
      <c r="Q272" s="15" t="s">
        <v>807</v>
      </c>
      <c r="R272" s="1" t="s">
        <v>857</v>
      </c>
      <c r="S272" s="1" t="s">
        <v>868</v>
      </c>
      <c r="T272" s="1" t="s">
        <v>869</v>
      </c>
      <c r="U272" s="9" t="s">
        <v>811</v>
      </c>
      <c r="V272" s="1" t="s">
        <v>870</v>
      </c>
      <c r="W272" s="1" t="s">
        <v>871</v>
      </c>
      <c r="X272" s="1" t="s">
        <v>34</v>
      </c>
      <c r="Y272" s="14">
        <v>45006</v>
      </c>
      <c r="Z272" s="9" t="s">
        <v>817</v>
      </c>
      <c r="AB272" s="14">
        <v>44908</v>
      </c>
      <c r="AC272" s="9" t="s">
        <v>817</v>
      </c>
      <c r="AD272" s="9" t="s">
        <v>818</v>
      </c>
      <c r="AE272" s="1" t="s">
        <v>819</v>
      </c>
      <c r="AF272" s="14" t="s">
        <v>820</v>
      </c>
      <c r="AG272" s="9" t="s">
        <v>821</v>
      </c>
      <c r="AH272" s="1" t="s">
        <v>9</v>
      </c>
      <c r="AI272" s="9" t="s">
        <v>10</v>
      </c>
      <c r="AJ272" s="1" t="s">
        <v>11</v>
      </c>
      <c r="AK272" s="1" t="s">
        <v>1758</v>
      </c>
      <c r="AL272" s="1" t="s">
        <v>1279</v>
      </c>
      <c r="AM272" s="9">
        <v>11380</v>
      </c>
      <c r="AN272" s="1" t="s">
        <v>208</v>
      </c>
      <c r="AO272" s="1" t="s">
        <v>36</v>
      </c>
      <c r="AP272" s="1" t="s">
        <v>874</v>
      </c>
      <c r="AQ272" s="14">
        <v>45658</v>
      </c>
      <c r="AU272" s="14">
        <v>45799</v>
      </c>
      <c r="AV272" s="16">
        <v>0</v>
      </c>
      <c r="AW272" s="16">
        <v>0</v>
      </c>
      <c r="BA272" s="1" t="s">
        <v>911</v>
      </c>
      <c r="BB272" s="9">
        <v>7</v>
      </c>
      <c r="BC272" s="1" t="s">
        <v>826</v>
      </c>
      <c r="BD272" s="9" t="s">
        <v>807</v>
      </c>
      <c r="BE272" s="1" t="s">
        <v>1138</v>
      </c>
      <c r="BF272" s="1" t="s">
        <v>42</v>
      </c>
      <c r="BG272" s="1" t="s">
        <v>891</v>
      </c>
      <c r="BH272" s="1" t="s">
        <v>892</v>
      </c>
      <c r="BI272" s="1" t="s">
        <v>916</v>
      </c>
      <c r="BJ272" s="21" t="str">
        <f t="shared" si="4"/>
        <v>FIXO</v>
      </c>
    </row>
    <row r="273" spans="1:62" x14ac:dyDescent="0.25">
      <c r="A273" s="7">
        <v>6</v>
      </c>
      <c r="B273" s="1" t="s">
        <v>41</v>
      </c>
      <c r="C273" s="8">
        <v>5</v>
      </c>
      <c r="D273" s="9" t="s">
        <v>807</v>
      </c>
      <c r="E273" s="10">
        <v>2412</v>
      </c>
      <c r="F273" s="11" t="s">
        <v>1759</v>
      </c>
      <c r="G273" s="1" t="s">
        <v>41</v>
      </c>
      <c r="H273" s="13" t="str">
        <f>VLOOKUP(AP273,[1]Listas!A:B,2,0)</f>
        <v xml:space="preserve">FESP </v>
      </c>
      <c r="I273" s="12" t="s">
        <v>38</v>
      </c>
      <c r="J273" s="12"/>
      <c r="K273" s="1" t="s">
        <v>32</v>
      </c>
      <c r="L273" s="1" t="s">
        <v>79</v>
      </c>
      <c r="M273" s="1" t="s">
        <v>446</v>
      </c>
      <c r="N273" s="14">
        <v>34760</v>
      </c>
      <c r="O273" s="1" t="s">
        <v>855</v>
      </c>
      <c r="P273" s="1" t="s">
        <v>856</v>
      </c>
      <c r="Q273" s="15" t="s">
        <v>807</v>
      </c>
      <c r="R273" s="1" t="s">
        <v>857</v>
      </c>
      <c r="S273" s="1" t="s">
        <v>868</v>
      </c>
      <c r="T273" s="1" t="s">
        <v>869</v>
      </c>
      <c r="U273" s="9" t="s">
        <v>814</v>
      </c>
      <c r="V273" s="1" t="s">
        <v>815</v>
      </c>
      <c r="W273" s="1" t="s">
        <v>871</v>
      </c>
      <c r="X273" s="1" t="s">
        <v>34</v>
      </c>
      <c r="Y273" s="14">
        <v>44671</v>
      </c>
      <c r="Z273" s="9" t="s">
        <v>817</v>
      </c>
      <c r="AB273" s="14">
        <v>42380</v>
      </c>
      <c r="AC273" s="9" t="s">
        <v>817</v>
      </c>
      <c r="AD273" s="9" t="s">
        <v>818</v>
      </c>
      <c r="AE273" s="1" t="s">
        <v>819</v>
      </c>
      <c r="AF273" s="14" t="s">
        <v>820</v>
      </c>
      <c r="AG273" s="9" t="s">
        <v>821</v>
      </c>
      <c r="AH273" s="1" t="s">
        <v>9</v>
      </c>
      <c r="AI273" s="9" t="s">
        <v>10</v>
      </c>
      <c r="AJ273" s="1" t="s">
        <v>11</v>
      </c>
      <c r="AK273" s="1" t="s">
        <v>1756</v>
      </c>
      <c r="AL273" s="1" t="s">
        <v>919</v>
      </c>
      <c r="AM273" s="9">
        <v>11377</v>
      </c>
      <c r="AN273" s="1" t="s">
        <v>56</v>
      </c>
      <c r="AO273" s="1" t="s">
        <v>36</v>
      </c>
      <c r="AP273" s="1" t="s">
        <v>874</v>
      </c>
      <c r="AQ273" s="14">
        <v>45658</v>
      </c>
      <c r="AU273" s="14">
        <v>45799</v>
      </c>
      <c r="AV273" s="16">
        <v>0</v>
      </c>
      <c r="AW273" s="16">
        <v>0</v>
      </c>
      <c r="BA273" s="1" t="s">
        <v>825</v>
      </c>
      <c r="BB273" s="9">
        <v>1</v>
      </c>
      <c r="BC273" s="1" t="s">
        <v>862</v>
      </c>
      <c r="BD273" s="9" t="s">
        <v>807</v>
      </c>
      <c r="BE273" s="1" t="s">
        <v>863</v>
      </c>
      <c r="BF273" s="1" t="s">
        <v>32</v>
      </c>
      <c r="BG273" s="1" t="s">
        <v>864</v>
      </c>
      <c r="BH273" s="1" t="s">
        <v>865</v>
      </c>
      <c r="BI273" s="1" t="s">
        <v>916</v>
      </c>
      <c r="BJ273" s="21" t="str">
        <f t="shared" si="4"/>
        <v>FIXO</v>
      </c>
    </row>
    <row r="274" spans="1:62" x14ac:dyDescent="0.25">
      <c r="A274" s="7">
        <v>6</v>
      </c>
      <c r="B274" s="1" t="s">
        <v>41</v>
      </c>
      <c r="C274" s="8">
        <v>6</v>
      </c>
      <c r="D274" s="9" t="s">
        <v>807</v>
      </c>
      <c r="E274" s="10">
        <v>7734</v>
      </c>
      <c r="F274" s="11" t="s">
        <v>1760</v>
      </c>
      <c r="G274" s="12" t="s">
        <v>271</v>
      </c>
      <c r="H274" s="13" t="str">
        <f>VLOOKUP(AP274,[1]Listas!A:B,2,0)</f>
        <v xml:space="preserve">FSTV </v>
      </c>
      <c r="I274" s="1" t="s">
        <v>440</v>
      </c>
      <c r="J274" s="12"/>
      <c r="K274" s="1" t="s">
        <v>450</v>
      </c>
      <c r="L274" s="12"/>
      <c r="M274" s="1" t="s">
        <v>1761</v>
      </c>
      <c r="N274" s="14">
        <v>35774</v>
      </c>
      <c r="O274" s="1" t="s">
        <v>855</v>
      </c>
      <c r="P274" s="1" t="s">
        <v>856</v>
      </c>
      <c r="Q274" s="15" t="s">
        <v>807</v>
      </c>
      <c r="R274" s="1" t="s">
        <v>857</v>
      </c>
      <c r="S274" s="1" t="s">
        <v>1017</v>
      </c>
      <c r="U274" s="9" t="s">
        <v>814</v>
      </c>
      <c r="V274" s="1" t="s">
        <v>815</v>
      </c>
      <c r="W274" s="1" t="s">
        <v>1317</v>
      </c>
      <c r="X274" s="1" t="s">
        <v>265</v>
      </c>
      <c r="Y274" s="14">
        <v>44794</v>
      </c>
      <c r="Z274" s="9" t="s">
        <v>817</v>
      </c>
      <c r="AB274" s="14">
        <v>44462</v>
      </c>
      <c r="AC274" s="9" t="s">
        <v>817</v>
      </c>
      <c r="AD274" s="9" t="s">
        <v>1762</v>
      </c>
      <c r="AE274" s="1" t="s">
        <v>1763</v>
      </c>
      <c r="AF274" s="14" t="s">
        <v>820</v>
      </c>
      <c r="AG274" s="9" t="s">
        <v>821</v>
      </c>
      <c r="AH274" s="1" t="s">
        <v>9</v>
      </c>
      <c r="AI274" s="9" t="s">
        <v>10</v>
      </c>
      <c r="AJ274" s="1" t="s">
        <v>11</v>
      </c>
      <c r="AK274" s="1" t="s">
        <v>1764</v>
      </c>
      <c r="AL274" s="1" t="s">
        <v>1765</v>
      </c>
      <c r="AM274" s="9">
        <v>11472</v>
      </c>
      <c r="AN274" s="1" t="s">
        <v>276</v>
      </c>
      <c r="AO274" s="1" t="s">
        <v>439</v>
      </c>
      <c r="AP274" s="1" t="s">
        <v>1748</v>
      </c>
      <c r="AQ274" s="14">
        <v>45658</v>
      </c>
      <c r="AU274" s="14">
        <v>45799</v>
      </c>
      <c r="AV274" s="16">
        <v>0</v>
      </c>
      <c r="AW274" s="16">
        <v>0</v>
      </c>
      <c r="BA274" s="1" t="s">
        <v>825</v>
      </c>
      <c r="BB274" s="9">
        <v>1</v>
      </c>
      <c r="BC274" s="1" t="s">
        <v>862</v>
      </c>
      <c r="BD274" s="9" t="s">
        <v>807</v>
      </c>
      <c r="BE274" s="1" t="s">
        <v>1766</v>
      </c>
      <c r="BF274" s="1" t="s">
        <v>450</v>
      </c>
      <c r="BG274" s="1" t="s">
        <v>1767</v>
      </c>
      <c r="BH274" s="1" t="s">
        <v>1768</v>
      </c>
      <c r="BI274" s="20" t="s">
        <v>916</v>
      </c>
      <c r="BJ274" s="21" t="str">
        <f t="shared" si="4"/>
        <v>FIXO</v>
      </c>
    </row>
    <row r="275" spans="1:62" x14ac:dyDescent="0.25">
      <c r="A275" s="7">
        <v>6</v>
      </c>
      <c r="B275" s="1" t="s">
        <v>41</v>
      </c>
      <c r="C275" s="8">
        <v>9</v>
      </c>
      <c r="D275" s="9" t="s">
        <v>807</v>
      </c>
      <c r="E275" s="10">
        <v>9659</v>
      </c>
      <c r="F275" s="11" t="s">
        <v>1769</v>
      </c>
      <c r="G275" s="12" t="s">
        <v>41</v>
      </c>
      <c r="H275" s="13" t="str">
        <f>VLOOKUP(AP275,[1]Listas!A:B,2,0)</f>
        <v xml:space="preserve">FBLA </v>
      </c>
      <c r="I275" s="1"/>
      <c r="J275" s="12"/>
      <c r="K275" s="12"/>
      <c r="L275" s="12"/>
      <c r="M275" s="1" t="s">
        <v>444</v>
      </c>
      <c r="N275" s="14">
        <v>37008</v>
      </c>
      <c r="O275" s="1" t="s">
        <v>855</v>
      </c>
      <c r="P275" s="1" t="s">
        <v>856</v>
      </c>
      <c r="Q275" s="15" t="s">
        <v>807</v>
      </c>
      <c r="R275" s="1" t="s">
        <v>857</v>
      </c>
      <c r="S275" s="1" t="s">
        <v>807</v>
      </c>
      <c r="T275" s="1" t="s">
        <v>813</v>
      </c>
      <c r="U275" s="9" t="s">
        <v>814</v>
      </c>
      <c r="V275" s="1" t="s">
        <v>815</v>
      </c>
      <c r="W275" s="1" t="s">
        <v>1374</v>
      </c>
      <c r="X275" s="1" t="s">
        <v>281</v>
      </c>
      <c r="Y275" s="14">
        <v>45911</v>
      </c>
      <c r="Z275" s="9" t="s">
        <v>817</v>
      </c>
      <c r="AB275" s="14">
        <v>43605</v>
      </c>
      <c r="AC275" s="9" t="s">
        <v>817</v>
      </c>
      <c r="AD275" s="9" t="s">
        <v>818</v>
      </c>
      <c r="AE275" s="1" t="s">
        <v>819</v>
      </c>
      <c r="AF275" s="14" t="s">
        <v>820</v>
      </c>
      <c r="AG275" s="9" t="s">
        <v>835</v>
      </c>
      <c r="AH275" s="1" t="s">
        <v>17</v>
      </c>
      <c r="AI275" s="9" t="s">
        <v>10</v>
      </c>
      <c r="AJ275" s="1" t="s">
        <v>11</v>
      </c>
      <c r="AK275" s="1" t="s">
        <v>1770</v>
      </c>
      <c r="AL275" s="1" t="s">
        <v>1771</v>
      </c>
      <c r="AM275" s="9">
        <v>11724</v>
      </c>
      <c r="AN275" s="1" t="s">
        <v>40</v>
      </c>
      <c r="AO275" s="1" t="s">
        <v>447</v>
      </c>
      <c r="AP275" s="1" t="s">
        <v>1772</v>
      </c>
      <c r="AQ275" s="14">
        <v>45910</v>
      </c>
      <c r="AU275" s="14">
        <v>45910</v>
      </c>
      <c r="AV275" s="16">
        <v>0</v>
      </c>
      <c r="AW275" s="16">
        <v>0</v>
      </c>
      <c r="BA275" s="1" t="s">
        <v>825</v>
      </c>
      <c r="BB275" s="9">
        <v>23</v>
      </c>
      <c r="BC275" s="1" t="s">
        <v>1773</v>
      </c>
      <c r="BD275" s="9" t="s">
        <v>807</v>
      </c>
      <c r="BE275" s="1" t="s">
        <v>885</v>
      </c>
      <c r="BF275" s="1" t="s">
        <v>41</v>
      </c>
      <c r="BG275" s="1" t="s">
        <v>886</v>
      </c>
      <c r="BH275" s="1" t="s">
        <v>887</v>
      </c>
      <c r="BI275" s="20" t="s">
        <v>888</v>
      </c>
      <c r="BJ275" s="21" t="str">
        <f t="shared" si="4"/>
        <v>FIXO</v>
      </c>
    </row>
    <row r="276" spans="1:62" x14ac:dyDescent="0.25">
      <c r="A276" s="7">
        <v>6</v>
      </c>
      <c r="B276" s="1" t="s">
        <v>41</v>
      </c>
      <c r="C276" s="8">
        <v>9</v>
      </c>
      <c r="D276" s="9" t="s">
        <v>807</v>
      </c>
      <c r="E276" s="10">
        <v>10331</v>
      </c>
      <c r="F276" s="11" t="s">
        <v>1774</v>
      </c>
      <c r="G276" s="12" t="s">
        <v>41</v>
      </c>
      <c r="H276" s="13" t="str">
        <f>VLOOKUP(AP276,[1]Listas!A:B,2,0)</f>
        <v xml:space="preserve">FBLA </v>
      </c>
      <c r="I276" s="1" t="s">
        <v>444</v>
      </c>
      <c r="J276" s="12"/>
      <c r="K276" s="12"/>
      <c r="L276" s="12"/>
      <c r="M276" s="1" t="s">
        <v>437</v>
      </c>
      <c r="N276" s="14">
        <v>31095</v>
      </c>
      <c r="O276" s="1" t="s">
        <v>855</v>
      </c>
      <c r="P276" s="1" t="s">
        <v>856</v>
      </c>
      <c r="Q276" s="15" t="s">
        <v>807</v>
      </c>
      <c r="R276" s="1" t="s">
        <v>857</v>
      </c>
      <c r="S276" s="1" t="s">
        <v>868</v>
      </c>
      <c r="T276" s="1" t="s">
        <v>869</v>
      </c>
      <c r="U276" s="9" t="s">
        <v>814</v>
      </c>
      <c r="V276" s="1" t="s">
        <v>815</v>
      </c>
      <c r="W276" s="1" t="s">
        <v>890</v>
      </c>
      <c r="X276" s="1" t="s">
        <v>43</v>
      </c>
      <c r="Y276" s="14">
        <v>45456</v>
      </c>
      <c r="Z276" s="9" t="s">
        <v>817</v>
      </c>
      <c r="AB276" s="14">
        <v>43718</v>
      </c>
      <c r="AC276" s="9" t="s">
        <v>817</v>
      </c>
      <c r="AD276" s="9" t="s">
        <v>818</v>
      </c>
      <c r="AE276" s="1" t="s">
        <v>819</v>
      </c>
      <c r="AF276" s="14" t="s">
        <v>820</v>
      </c>
      <c r="AG276" s="9" t="s">
        <v>835</v>
      </c>
      <c r="AH276" s="1" t="s">
        <v>17</v>
      </c>
      <c r="AI276" s="9" t="s">
        <v>10</v>
      </c>
      <c r="AJ276" s="1" t="s">
        <v>11</v>
      </c>
      <c r="AK276" s="1" t="s">
        <v>1739</v>
      </c>
      <c r="AL276" s="1" t="s">
        <v>1740</v>
      </c>
      <c r="AM276" s="9">
        <v>11776</v>
      </c>
      <c r="AN276" s="1" t="s">
        <v>448</v>
      </c>
      <c r="AO276" s="1" t="s">
        <v>447</v>
      </c>
      <c r="AP276" s="1" t="s">
        <v>1772</v>
      </c>
      <c r="AQ276" s="14">
        <v>45658</v>
      </c>
      <c r="AU276" s="14">
        <v>45799</v>
      </c>
      <c r="AV276" s="16">
        <v>0</v>
      </c>
      <c r="AW276" s="16">
        <v>0</v>
      </c>
      <c r="BA276" s="1" t="s">
        <v>825</v>
      </c>
      <c r="BB276" s="9">
        <v>1</v>
      </c>
      <c r="BC276" s="1" t="s">
        <v>862</v>
      </c>
      <c r="BD276" s="9" t="s">
        <v>807</v>
      </c>
      <c r="BE276" s="1" t="s">
        <v>1775</v>
      </c>
      <c r="BF276" s="1" t="s">
        <v>444</v>
      </c>
      <c r="BG276" s="1" t="s">
        <v>1770</v>
      </c>
      <c r="BH276" s="1" t="s">
        <v>1771</v>
      </c>
      <c r="BI276" s="20" t="s">
        <v>866</v>
      </c>
      <c r="BJ276" s="21" t="str">
        <f t="shared" si="4"/>
        <v>FIXO</v>
      </c>
    </row>
    <row r="277" spans="1:62" x14ac:dyDescent="0.25">
      <c r="A277" s="7">
        <v>6</v>
      </c>
      <c r="B277" s="1" t="s">
        <v>41</v>
      </c>
      <c r="C277" s="8">
        <v>9</v>
      </c>
      <c r="D277" s="9" t="s">
        <v>807</v>
      </c>
      <c r="E277" s="10">
        <v>11159</v>
      </c>
      <c r="F277" s="11" t="s">
        <v>1776</v>
      </c>
      <c r="G277" s="12" t="s">
        <v>41</v>
      </c>
      <c r="H277" s="13" t="str">
        <f>VLOOKUP(AP277,[1]Listas!A:B,2,0)</f>
        <v xml:space="preserve">FBLA </v>
      </c>
      <c r="I277" s="1" t="s">
        <v>444</v>
      </c>
      <c r="J277" s="12"/>
      <c r="K277" s="12"/>
      <c r="L277" s="1" t="s">
        <v>437</v>
      </c>
      <c r="M277" s="1" t="s">
        <v>449</v>
      </c>
      <c r="N277" s="14">
        <v>31385</v>
      </c>
      <c r="O277" s="1" t="s">
        <v>855</v>
      </c>
      <c r="P277" s="1" t="s">
        <v>856</v>
      </c>
      <c r="Q277" s="15" t="s">
        <v>807</v>
      </c>
      <c r="R277" s="1" t="s">
        <v>857</v>
      </c>
      <c r="S277" s="1" t="s">
        <v>868</v>
      </c>
      <c r="T277" s="1" t="s">
        <v>869</v>
      </c>
      <c r="U277" s="9" t="s">
        <v>811</v>
      </c>
      <c r="V277" s="1" t="s">
        <v>870</v>
      </c>
      <c r="W277" s="1" t="s">
        <v>871</v>
      </c>
      <c r="X277" s="1" t="s">
        <v>34</v>
      </c>
      <c r="Y277" s="14">
        <v>44343</v>
      </c>
      <c r="Z277" s="9" t="s">
        <v>817</v>
      </c>
      <c r="AB277" s="14">
        <v>43992</v>
      </c>
      <c r="AC277" s="9" t="s">
        <v>817</v>
      </c>
      <c r="AD277" s="9" t="s">
        <v>818</v>
      </c>
      <c r="AE277" s="1" t="s">
        <v>819</v>
      </c>
      <c r="AF277" s="14" t="s">
        <v>820</v>
      </c>
      <c r="AG277" s="9" t="s">
        <v>835</v>
      </c>
      <c r="AH277" s="1" t="s">
        <v>17</v>
      </c>
      <c r="AI277" s="9" t="s">
        <v>10</v>
      </c>
      <c r="AJ277" s="1" t="s">
        <v>11</v>
      </c>
      <c r="AK277" s="1" t="s">
        <v>1777</v>
      </c>
      <c r="AL277" s="1" t="s">
        <v>1778</v>
      </c>
      <c r="AM277" s="9">
        <v>11780</v>
      </c>
      <c r="AN277" s="1" t="s">
        <v>293</v>
      </c>
      <c r="AO277" s="1" t="s">
        <v>436</v>
      </c>
      <c r="AP277" s="1" t="s">
        <v>1737</v>
      </c>
      <c r="AQ277" s="14">
        <v>45658</v>
      </c>
      <c r="AU277" s="14">
        <v>45799</v>
      </c>
      <c r="AV277" s="16">
        <v>0</v>
      </c>
      <c r="AW277" s="16">
        <v>0</v>
      </c>
      <c r="BA277" s="1" t="s">
        <v>911</v>
      </c>
      <c r="BB277" s="9">
        <v>1</v>
      </c>
      <c r="BC277" s="1" t="s">
        <v>862</v>
      </c>
      <c r="BD277" s="9" t="s">
        <v>807</v>
      </c>
      <c r="BE277" s="1" t="s">
        <v>1738</v>
      </c>
      <c r="BF277" s="1" t="s">
        <v>437</v>
      </c>
      <c r="BG277" s="1" t="s">
        <v>1739</v>
      </c>
      <c r="BH277" s="1" t="s">
        <v>1740</v>
      </c>
      <c r="BI277" s="20" t="s">
        <v>866</v>
      </c>
      <c r="BJ277" s="21" t="str">
        <f t="shared" si="4"/>
        <v>FIXO</v>
      </c>
    </row>
    <row r="278" spans="1:62" x14ac:dyDescent="0.25">
      <c r="A278" s="7">
        <v>6</v>
      </c>
      <c r="B278" s="1" t="s">
        <v>41</v>
      </c>
      <c r="C278" s="8">
        <v>6</v>
      </c>
      <c r="D278" s="9" t="s">
        <v>807</v>
      </c>
      <c r="E278" s="10">
        <v>11267</v>
      </c>
      <c r="F278" s="11" t="s">
        <v>1779</v>
      </c>
      <c r="G278" s="12" t="s">
        <v>271</v>
      </c>
      <c r="H278" s="13" t="str">
        <f>VLOOKUP(AP278,[1]Listas!A:B,2,0)</f>
        <v xml:space="preserve">FSTV </v>
      </c>
      <c r="I278" s="1" t="s">
        <v>440</v>
      </c>
      <c r="J278" s="12"/>
      <c r="K278" s="12"/>
      <c r="L278" s="12" t="s">
        <v>1744</v>
      </c>
      <c r="M278" s="1" t="s">
        <v>1780</v>
      </c>
      <c r="N278" s="14">
        <v>37812</v>
      </c>
      <c r="O278" s="1" t="s">
        <v>855</v>
      </c>
      <c r="P278" s="1" t="s">
        <v>856</v>
      </c>
      <c r="Q278" s="15" t="s">
        <v>807</v>
      </c>
      <c r="R278" s="1" t="s">
        <v>857</v>
      </c>
      <c r="S278" s="1" t="s">
        <v>1017</v>
      </c>
      <c r="U278" s="9" t="s">
        <v>814</v>
      </c>
      <c r="V278" s="1" t="s">
        <v>815</v>
      </c>
      <c r="W278" s="1" t="s">
        <v>871</v>
      </c>
      <c r="X278" s="1" t="s">
        <v>34</v>
      </c>
      <c r="Y278" s="14">
        <v>44903</v>
      </c>
      <c r="Z278" s="9" t="s">
        <v>817</v>
      </c>
      <c r="AB278" s="14">
        <v>44453</v>
      </c>
      <c r="AC278" s="9" t="s">
        <v>817</v>
      </c>
      <c r="AD278" s="9" t="s">
        <v>818</v>
      </c>
      <c r="AE278" s="1" t="s">
        <v>819</v>
      </c>
      <c r="AF278" s="14" t="s">
        <v>820</v>
      </c>
      <c r="AG278" s="9" t="s">
        <v>821</v>
      </c>
      <c r="AH278" s="1" t="s">
        <v>9</v>
      </c>
      <c r="AI278" s="9" t="s">
        <v>10</v>
      </c>
      <c r="AJ278" s="1" t="s">
        <v>11</v>
      </c>
      <c r="AK278" s="1" t="s">
        <v>1781</v>
      </c>
      <c r="AL278" s="1" t="s">
        <v>1782</v>
      </c>
      <c r="AM278" s="9">
        <v>11471</v>
      </c>
      <c r="AN278" s="1" t="s">
        <v>272</v>
      </c>
      <c r="AO278" s="1" t="s">
        <v>439</v>
      </c>
      <c r="AP278" s="1" t="s">
        <v>1748</v>
      </c>
      <c r="AQ278" s="14">
        <v>45658</v>
      </c>
      <c r="AU278" s="14">
        <v>45799</v>
      </c>
      <c r="AV278" s="16">
        <v>0</v>
      </c>
      <c r="AW278" s="16">
        <v>0</v>
      </c>
      <c r="BA278" s="1" t="s">
        <v>911</v>
      </c>
      <c r="BB278" s="9">
        <v>1</v>
      </c>
      <c r="BC278" s="1" t="s">
        <v>862</v>
      </c>
      <c r="BD278" s="9" t="s">
        <v>807</v>
      </c>
      <c r="BE278" s="1" t="s">
        <v>1017</v>
      </c>
      <c r="BI278" s="20" t="s">
        <v>878</v>
      </c>
      <c r="BJ278" s="21" t="str">
        <f t="shared" si="4"/>
        <v>FIXO</v>
      </c>
    </row>
    <row r="279" spans="1:62" x14ac:dyDescent="0.25">
      <c r="A279" s="7">
        <v>6</v>
      </c>
      <c r="B279" s="1" t="s">
        <v>41</v>
      </c>
      <c r="C279" s="8">
        <v>6</v>
      </c>
      <c r="D279" s="9" t="s">
        <v>807</v>
      </c>
      <c r="E279" s="10">
        <v>11986</v>
      </c>
      <c r="F279" s="11" t="s">
        <v>1783</v>
      </c>
      <c r="G279" s="12" t="s">
        <v>271</v>
      </c>
      <c r="H279" s="13" t="str">
        <f>VLOOKUP(AP279,[1]Listas!A:B,2,0)</f>
        <v xml:space="preserve">FSTV </v>
      </c>
      <c r="I279" s="1" t="s">
        <v>440</v>
      </c>
      <c r="J279" s="12"/>
      <c r="K279" s="1" t="s">
        <v>450</v>
      </c>
      <c r="L279" s="12"/>
      <c r="M279" s="1" t="s">
        <v>446</v>
      </c>
      <c r="N279" s="14">
        <v>32890</v>
      </c>
      <c r="O279" s="1" t="s">
        <v>855</v>
      </c>
      <c r="P279" s="1" t="s">
        <v>856</v>
      </c>
      <c r="Q279" s="15" t="s">
        <v>807</v>
      </c>
      <c r="R279" s="1" t="s">
        <v>857</v>
      </c>
      <c r="S279" s="1" t="s">
        <v>1017</v>
      </c>
      <c r="U279" s="9" t="s">
        <v>868</v>
      </c>
      <c r="V279" s="1" t="s">
        <v>913</v>
      </c>
      <c r="W279" s="1" t="s">
        <v>871</v>
      </c>
      <c r="X279" s="1" t="s">
        <v>34</v>
      </c>
      <c r="Y279" s="14">
        <v>44794</v>
      </c>
      <c r="Z279" s="9" t="s">
        <v>817</v>
      </c>
      <c r="AB279" s="14">
        <v>44154</v>
      </c>
      <c r="AC279" s="9" t="s">
        <v>817</v>
      </c>
      <c r="AD279" s="9" t="s">
        <v>818</v>
      </c>
      <c r="AE279" s="1" t="s">
        <v>819</v>
      </c>
      <c r="AF279" s="14" t="s">
        <v>820</v>
      </c>
      <c r="AG279" s="9" t="s">
        <v>821</v>
      </c>
      <c r="AH279" s="1" t="s">
        <v>9</v>
      </c>
      <c r="AI279" s="9" t="s">
        <v>10</v>
      </c>
      <c r="AJ279" s="1" t="s">
        <v>11</v>
      </c>
      <c r="AK279" s="1" t="s">
        <v>1784</v>
      </c>
      <c r="AL279" s="1" t="s">
        <v>1785</v>
      </c>
      <c r="AM279" s="9">
        <v>11472</v>
      </c>
      <c r="AN279" s="1" t="s">
        <v>276</v>
      </c>
      <c r="AO279" s="1" t="s">
        <v>439</v>
      </c>
      <c r="AP279" s="1" t="s">
        <v>1748</v>
      </c>
      <c r="AQ279" s="14">
        <v>45658</v>
      </c>
      <c r="AU279" s="14">
        <v>45799</v>
      </c>
      <c r="AV279" s="16">
        <v>0</v>
      </c>
      <c r="AW279" s="16">
        <v>0</v>
      </c>
      <c r="BA279" s="1" t="s">
        <v>911</v>
      </c>
      <c r="BB279" s="9">
        <v>1</v>
      </c>
      <c r="BC279" s="1" t="s">
        <v>862</v>
      </c>
      <c r="BD279" s="9" t="s">
        <v>807</v>
      </c>
      <c r="BE279" s="1" t="s">
        <v>1766</v>
      </c>
      <c r="BF279" s="1" t="s">
        <v>450</v>
      </c>
      <c r="BG279" s="1" t="s">
        <v>1767</v>
      </c>
      <c r="BH279" s="1" t="s">
        <v>1768</v>
      </c>
      <c r="BI279" s="20" t="s">
        <v>916</v>
      </c>
      <c r="BJ279" s="21" t="str">
        <f t="shared" si="4"/>
        <v>FIXO</v>
      </c>
    </row>
    <row r="280" spans="1:62" x14ac:dyDescent="0.25">
      <c r="A280" s="7">
        <v>6</v>
      </c>
      <c r="B280" s="1" t="s">
        <v>41</v>
      </c>
      <c r="C280" s="8">
        <v>9</v>
      </c>
      <c r="D280" s="9" t="s">
        <v>807</v>
      </c>
      <c r="E280" s="10">
        <v>12146</v>
      </c>
      <c r="F280" s="11" t="s">
        <v>1786</v>
      </c>
      <c r="G280" s="12" t="s">
        <v>41</v>
      </c>
      <c r="H280" s="13" t="str">
        <f>VLOOKUP(AP280,[1]Listas!A:B,2,0)</f>
        <v xml:space="preserve">FBLA </v>
      </c>
      <c r="I280" s="1" t="s">
        <v>444</v>
      </c>
      <c r="J280" s="12"/>
      <c r="K280" s="12"/>
      <c r="L280" s="1" t="s">
        <v>444</v>
      </c>
      <c r="M280" s="1" t="s">
        <v>451</v>
      </c>
      <c r="N280" s="14">
        <v>29936</v>
      </c>
      <c r="O280" s="1" t="s">
        <v>855</v>
      </c>
      <c r="P280" s="1" t="s">
        <v>856</v>
      </c>
      <c r="Q280" s="15" t="s">
        <v>811</v>
      </c>
      <c r="R280" s="1" t="s">
        <v>812</v>
      </c>
      <c r="S280" s="1" t="s">
        <v>868</v>
      </c>
      <c r="T280" s="1" t="s">
        <v>869</v>
      </c>
      <c r="U280" s="9" t="s">
        <v>868</v>
      </c>
      <c r="V280" s="1" t="s">
        <v>913</v>
      </c>
      <c r="W280" s="1" t="s">
        <v>1425</v>
      </c>
      <c r="X280" s="1" t="s">
        <v>301</v>
      </c>
      <c r="Y280" s="14">
        <v>44723</v>
      </c>
      <c r="Z280" s="9" t="s">
        <v>817</v>
      </c>
      <c r="AB280" s="14">
        <v>44211</v>
      </c>
      <c r="AC280" s="9" t="s">
        <v>817</v>
      </c>
      <c r="AD280" s="9" t="s">
        <v>818</v>
      </c>
      <c r="AE280" s="1" t="s">
        <v>819</v>
      </c>
      <c r="AF280" s="14" t="s">
        <v>820</v>
      </c>
      <c r="AG280" s="9" t="s">
        <v>835</v>
      </c>
      <c r="AH280" s="1" t="s">
        <v>17</v>
      </c>
      <c r="AI280" s="9" t="s">
        <v>10</v>
      </c>
      <c r="AJ280" s="1" t="s">
        <v>11</v>
      </c>
      <c r="AK280" s="1" t="s">
        <v>1735</v>
      </c>
      <c r="AL280" s="1" t="s">
        <v>1736</v>
      </c>
      <c r="AM280" s="9">
        <v>11743</v>
      </c>
      <c r="AN280" s="1" t="s">
        <v>114</v>
      </c>
      <c r="AO280" s="1" t="s">
        <v>436</v>
      </c>
      <c r="AP280" s="1" t="s">
        <v>1737</v>
      </c>
      <c r="AQ280" s="14">
        <v>45658</v>
      </c>
      <c r="AU280" s="14">
        <v>45799</v>
      </c>
      <c r="AV280" s="16">
        <v>0</v>
      </c>
      <c r="AW280" s="16">
        <v>0</v>
      </c>
      <c r="BA280" s="1" t="s">
        <v>911</v>
      </c>
      <c r="BB280" s="9">
        <v>1</v>
      </c>
      <c r="BC280" s="1" t="s">
        <v>862</v>
      </c>
      <c r="BD280" s="9" t="s">
        <v>807</v>
      </c>
      <c r="BE280" s="1" t="s">
        <v>1738</v>
      </c>
      <c r="BF280" s="1" t="s">
        <v>437</v>
      </c>
      <c r="BG280" s="1" t="s">
        <v>1739</v>
      </c>
      <c r="BH280" s="1" t="s">
        <v>1740</v>
      </c>
      <c r="BI280" s="20" t="s">
        <v>983</v>
      </c>
      <c r="BJ280" s="21" t="str">
        <f t="shared" si="4"/>
        <v>FIXO</v>
      </c>
    </row>
    <row r="281" spans="1:62" x14ac:dyDescent="0.25">
      <c r="A281" s="7">
        <v>6</v>
      </c>
      <c r="B281" s="1" t="s">
        <v>41</v>
      </c>
      <c r="C281" s="8">
        <v>5</v>
      </c>
      <c r="D281" s="9" t="s">
        <v>807</v>
      </c>
      <c r="E281" s="10">
        <v>12684</v>
      </c>
      <c r="F281" s="11" t="s">
        <v>1787</v>
      </c>
      <c r="G281" s="1" t="s">
        <v>41</v>
      </c>
      <c r="H281" s="13" t="str">
        <f>VLOOKUP(AP281,[1]Listas!A:B,2,0)</f>
        <v xml:space="preserve">FESP </v>
      </c>
      <c r="I281" s="1" t="s">
        <v>38</v>
      </c>
      <c r="J281" s="12"/>
      <c r="K281" s="1" t="s">
        <v>245</v>
      </c>
      <c r="L281" s="1" t="s">
        <v>455</v>
      </c>
      <c r="M281" s="1" t="s">
        <v>452</v>
      </c>
      <c r="N281" s="14">
        <v>32385</v>
      </c>
      <c r="O281" s="1" t="s">
        <v>855</v>
      </c>
      <c r="P281" s="1" t="s">
        <v>856</v>
      </c>
      <c r="Q281" s="15" t="s">
        <v>811</v>
      </c>
      <c r="R281" s="1" t="s">
        <v>812</v>
      </c>
      <c r="S281" s="1" t="s">
        <v>868</v>
      </c>
      <c r="T281" s="1" t="s">
        <v>869</v>
      </c>
      <c r="U281" s="9" t="s">
        <v>811</v>
      </c>
      <c r="V281" s="1" t="s">
        <v>870</v>
      </c>
      <c r="W281" s="1" t="s">
        <v>1430</v>
      </c>
      <c r="X281" s="1" t="s">
        <v>303</v>
      </c>
      <c r="Y281" s="14">
        <v>45778</v>
      </c>
      <c r="Z281" s="9" t="s">
        <v>817</v>
      </c>
      <c r="AB281" s="14">
        <v>45671</v>
      </c>
      <c r="AC281" s="9" t="s">
        <v>817</v>
      </c>
      <c r="AD281" s="9" t="s">
        <v>818</v>
      </c>
      <c r="AE281" s="1" t="s">
        <v>819</v>
      </c>
      <c r="AF281" s="14" t="s">
        <v>820</v>
      </c>
      <c r="AG281" s="9" t="s">
        <v>821</v>
      </c>
      <c r="AH281" s="1" t="s">
        <v>9</v>
      </c>
      <c r="AI281" s="9" t="s">
        <v>10</v>
      </c>
      <c r="AJ281" s="1" t="s">
        <v>11</v>
      </c>
      <c r="AK281" s="1" t="s">
        <v>1788</v>
      </c>
      <c r="AL281" s="1" t="s">
        <v>1789</v>
      </c>
      <c r="AM281" s="9">
        <v>11370</v>
      </c>
      <c r="AN281" s="1" t="s">
        <v>453</v>
      </c>
      <c r="AO281" s="1" t="s">
        <v>454</v>
      </c>
      <c r="AP281" s="1" t="s">
        <v>1790</v>
      </c>
      <c r="AQ281" s="14">
        <v>45778</v>
      </c>
      <c r="AU281" s="14">
        <v>45799</v>
      </c>
      <c r="AV281" s="16">
        <v>0</v>
      </c>
      <c r="AW281" s="16">
        <v>0</v>
      </c>
      <c r="BA281" s="1" t="s">
        <v>911</v>
      </c>
      <c r="BB281" s="9">
        <v>1</v>
      </c>
      <c r="BC281" s="1" t="s">
        <v>862</v>
      </c>
      <c r="BD281" s="9" t="s">
        <v>807</v>
      </c>
      <c r="BE281" s="1" t="s">
        <v>1791</v>
      </c>
      <c r="BF281" s="1" t="s">
        <v>455</v>
      </c>
      <c r="BG281" s="1" t="s">
        <v>1792</v>
      </c>
      <c r="BH281" s="1" t="s">
        <v>1793</v>
      </c>
      <c r="BI281" s="1" t="s">
        <v>1073</v>
      </c>
      <c r="BJ281" s="21" t="str">
        <f t="shared" si="4"/>
        <v>FIXO</v>
      </c>
    </row>
    <row r="282" spans="1:62" x14ac:dyDescent="0.25">
      <c r="A282" s="7">
        <v>6</v>
      </c>
      <c r="B282" s="1" t="s">
        <v>41</v>
      </c>
      <c r="C282" s="8">
        <v>5</v>
      </c>
      <c r="D282" s="9" t="s">
        <v>807</v>
      </c>
      <c r="E282" s="10">
        <v>12704</v>
      </c>
      <c r="F282" s="11" t="s">
        <v>1794</v>
      </c>
      <c r="G282" s="1" t="s">
        <v>41</v>
      </c>
      <c r="H282" s="13" t="str">
        <f>VLOOKUP(AP282,[1]Listas!A:B,2,0)</f>
        <v xml:space="preserve">FESP </v>
      </c>
      <c r="I282" s="1" t="s">
        <v>38</v>
      </c>
      <c r="J282" s="12"/>
      <c r="K282" s="1" t="s">
        <v>245</v>
      </c>
      <c r="L282" s="1" t="s">
        <v>136</v>
      </c>
      <c r="M282" s="1" t="s">
        <v>456</v>
      </c>
      <c r="N282" s="14">
        <v>34655</v>
      </c>
      <c r="O282" s="1" t="s">
        <v>855</v>
      </c>
      <c r="P282" s="1" t="s">
        <v>856</v>
      </c>
      <c r="Q282" s="15" t="s">
        <v>811</v>
      </c>
      <c r="R282" s="1" t="s">
        <v>812</v>
      </c>
      <c r="S282" s="1" t="s">
        <v>868</v>
      </c>
      <c r="T282" s="1" t="s">
        <v>869</v>
      </c>
      <c r="U282" s="9" t="s">
        <v>814</v>
      </c>
      <c r="V282" s="1" t="s">
        <v>815</v>
      </c>
      <c r="W282" s="1" t="s">
        <v>1430</v>
      </c>
      <c r="X282" s="1" t="s">
        <v>303</v>
      </c>
      <c r="Y282" s="14">
        <v>45811</v>
      </c>
      <c r="Z282" s="9" t="s">
        <v>817</v>
      </c>
      <c r="AB282" s="14">
        <v>45811</v>
      </c>
      <c r="AC282" s="9" t="s">
        <v>817</v>
      </c>
      <c r="AD282" s="9" t="s">
        <v>818</v>
      </c>
      <c r="AE282" s="1" t="s">
        <v>819</v>
      </c>
      <c r="AF282" s="14" t="s">
        <v>820</v>
      </c>
      <c r="AG282" s="9" t="s">
        <v>821</v>
      </c>
      <c r="AH282" s="1" t="s">
        <v>9</v>
      </c>
      <c r="AI282" s="9" t="s">
        <v>10</v>
      </c>
      <c r="AJ282" s="1" t="s">
        <v>11</v>
      </c>
      <c r="AK282" s="1" t="s">
        <v>1795</v>
      </c>
      <c r="AL282" s="1" t="s">
        <v>1796</v>
      </c>
      <c r="AM282" s="9">
        <v>11369</v>
      </c>
      <c r="AN282" s="1" t="s">
        <v>138</v>
      </c>
      <c r="AO282" s="1" t="s">
        <v>454</v>
      </c>
      <c r="AP282" s="1" t="s">
        <v>1790</v>
      </c>
      <c r="AQ282" s="14">
        <v>45811</v>
      </c>
      <c r="AU282" s="14">
        <v>45811</v>
      </c>
      <c r="AV282" s="16">
        <v>0</v>
      </c>
      <c r="AW282" s="16">
        <v>0</v>
      </c>
      <c r="BA282" s="1" t="s">
        <v>911</v>
      </c>
      <c r="BB282" s="9">
        <v>7</v>
      </c>
      <c r="BC282" s="1" t="s">
        <v>826</v>
      </c>
      <c r="BD282" s="9" t="s">
        <v>807</v>
      </c>
      <c r="BE282" s="1" t="s">
        <v>1797</v>
      </c>
      <c r="BF282" s="1" t="s">
        <v>136</v>
      </c>
      <c r="BG282" s="1" t="s">
        <v>1070</v>
      </c>
      <c r="BH282" s="1" t="s">
        <v>1071</v>
      </c>
      <c r="BI282" s="1" t="s">
        <v>1073</v>
      </c>
      <c r="BJ282" s="21" t="str">
        <f t="shared" si="4"/>
        <v>FIXO</v>
      </c>
    </row>
    <row r="283" spans="1:62" x14ac:dyDescent="0.25">
      <c r="A283" s="7">
        <v>6</v>
      </c>
      <c r="B283" s="1" t="s">
        <v>41</v>
      </c>
      <c r="C283" s="8">
        <v>5</v>
      </c>
      <c r="D283" s="9" t="s">
        <v>807</v>
      </c>
      <c r="E283" s="10">
        <v>12713</v>
      </c>
      <c r="F283" s="11" t="s">
        <v>1798</v>
      </c>
      <c r="G283" s="1" t="s">
        <v>41</v>
      </c>
      <c r="H283" s="13" t="str">
        <f>VLOOKUP(AP283,[1]Listas!A:B,2,0)</f>
        <v xml:space="preserve">FESP </v>
      </c>
      <c r="I283" s="1" t="s">
        <v>38</v>
      </c>
      <c r="J283" s="1" t="s">
        <v>37</v>
      </c>
      <c r="K283" s="12"/>
      <c r="L283" s="1" t="s">
        <v>259</v>
      </c>
      <c r="M283" s="1" t="s">
        <v>457</v>
      </c>
      <c r="N283" s="14">
        <v>36542</v>
      </c>
      <c r="O283" s="1" t="s">
        <v>855</v>
      </c>
      <c r="P283" s="1" t="s">
        <v>856</v>
      </c>
      <c r="Q283" s="15" t="s">
        <v>807</v>
      </c>
      <c r="R283" s="1" t="s">
        <v>857</v>
      </c>
      <c r="S283" s="1" t="s">
        <v>868</v>
      </c>
      <c r="T283" s="1" t="s">
        <v>869</v>
      </c>
      <c r="U283" s="9" t="s">
        <v>868</v>
      </c>
      <c r="V283" s="1" t="s">
        <v>913</v>
      </c>
      <c r="W283" s="1" t="s">
        <v>871</v>
      </c>
      <c r="X283" s="1" t="s">
        <v>34</v>
      </c>
      <c r="Y283" s="14">
        <v>45538</v>
      </c>
      <c r="Z283" s="9" t="s">
        <v>817</v>
      </c>
      <c r="AB283" s="14">
        <v>44349</v>
      </c>
      <c r="AC283" s="9" t="s">
        <v>817</v>
      </c>
      <c r="AD283" s="9" t="s">
        <v>818</v>
      </c>
      <c r="AE283" s="1" t="s">
        <v>819</v>
      </c>
      <c r="AF283" s="14" t="s">
        <v>820</v>
      </c>
      <c r="AG283" s="9" t="s">
        <v>999</v>
      </c>
      <c r="AH283" s="1" t="s">
        <v>105</v>
      </c>
      <c r="AI283" s="9" t="s">
        <v>10</v>
      </c>
      <c r="AJ283" s="1" t="s">
        <v>11</v>
      </c>
      <c r="AK283" s="1" t="s">
        <v>1799</v>
      </c>
      <c r="AL283" s="1" t="s">
        <v>873</v>
      </c>
      <c r="AM283" s="9">
        <v>11383</v>
      </c>
      <c r="AN283" s="1" t="s">
        <v>35</v>
      </c>
      <c r="AO283" s="1" t="s">
        <v>36</v>
      </c>
      <c r="AP283" s="1" t="s">
        <v>874</v>
      </c>
      <c r="AQ283" s="14">
        <v>45658</v>
      </c>
      <c r="AU283" s="14">
        <v>45799</v>
      </c>
      <c r="AV283" s="16">
        <v>0</v>
      </c>
      <c r="AW283" s="16">
        <v>0</v>
      </c>
      <c r="BA283" s="1" t="s">
        <v>911</v>
      </c>
      <c r="BB283" s="9">
        <v>7</v>
      </c>
      <c r="BC283" s="1" t="s">
        <v>826</v>
      </c>
      <c r="BD283" s="9" t="s">
        <v>807</v>
      </c>
      <c r="BE283" s="1" t="s">
        <v>875</v>
      </c>
      <c r="BF283" s="1" t="s">
        <v>37</v>
      </c>
      <c r="BG283" s="1" t="s">
        <v>876</v>
      </c>
      <c r="BH283" s="1" t="s">
        <v>877</v>
      </c>
      <c r="BI283" s="1" t="s">
        <v>1118</v>
      </c>
      <c r="BJ283" s="21" t="str">
        <f t="shared" si="4"/>
        <v>FIXO</v>
      </c>
    </row>
    <row r="284" spans="1:62" x14ac:dyDescent="0.25">
      <c r="A284" s="7">
        <v>6</v>
      </c>
      <c r="B284" s="1" t="s">
        <v>41</v>
      </c>
      <c r="C284" s="8">
        <v>5</v>
      </c>
      <c r="D284" s="9" t="s">
        <v>807</v>
      </c>
      <c r="E284" s="10">
        <v>12892</v>
      </c>
      <c r="F284" s="11" t="s">
        <v>1800</v>
      </c>
      <c r="G284" s="12" t="s">
        <v>41</v>
      </c>
      <c r="H284" s="22" t="s">
        <v>670</v>
      </c>
      <c r="I284" s="1" t="s">
        <v>444</v>
      </c>
      <c r="J284" s="12"/>
      <c r="K284" s="12"/>
      <c r="L284" s="1"/>
      <c r="M284" s="1" t="s">
        <v>458</v>
      </c>
      <c r="N284" s="14">
        <v>36851</v>
      </c>
      <c r="O284" s="1" t="s">
        <v>855</v>
      </c>
      <c r="P284" s="1" t="s">
        <v>856</v>
      </c>
      <c r="Q284" s="15" t="s">
        <v>807</v>
      </c>
      <c r="R284" s="1" t="s">
        <v>857</v>
      </c>
      <c r="S284" s="1" t="s">
        <v>807</v>
      </c>
      <c r="T284" s="1" t="s">
        <v>813</v>
      </c>
      <c r="U284" s="9" t="s">
        <v>832</v>
      </c>
      <c r="V284" s="1" t="s">
        <v>833</v>
      </c>
      <c r="W284" s="1" t="s">
        <v>890</v>
      </c>
      <c r="X284" s="1" t="s">
        <v>43</v>
      </c>
      <c r="Y284" s="14">
        <v>45538</v>
      </c>
      <c r="Z284" s="9" t="s">
        <v>817</v>
      </c>
      <c r="AB284" s="14">
        <v>44400</v>
      </c>
      <c r="AC284" s="9" t="s">
        <v>817</v>
      </c>
      <c r="AD284" s="9" t="s">
        <v>818</v>
      </c>
      <c r="AE284" s="1" t="s">
        <v>819</v>
      </c>
      <c r="AF284" s="14" t="s">
        <v>820</v>
      </c>
      <c r="AG284" s="9" t="s">
        <v>821</v>
      </c>
      <c r="AH284" s="1" t="s">
        <v>9</v>
      </c>
      <c r="AI284" s="9" t="s">
        <v>10</v>
      </c>
      <c r="AJ284" s="1" t="s">
        <v>11</v>
      </c>
      <c r="AK284" s="1" t="s">
        <v>1801</v>
      </c>
      <c r="AL284" s="1" t="s">
        <v>1802</v>
      </c>
      <c r="AM284" s="9">
        <v>11379</v>
      </c>
      <c r="AN284" s="1" t="s">
        <v>459</v>
      </c>
      <c r="AO284" s="1" t="s">
        <v>31</v>
      </c>
      <c r="AP284" s="1" t="s">
        <v>861</v>
      </c>
      <c r="AQ284" s="14">
        <v>45658</v>
      </c>
      <c r="AU284" s="14">
        <v>45799</v>
      </c>
      <c r="AV284" s="16">
        <v>0</v>
      </c>
      <c r="AW284" s="16">
        <v>0</v>
      </c>
      <c r="BA284" s="1" t="s">
        <v>911</v>
      </c>
      <c r="BB284" s="9">
        <v>1</v>
      </c>
      <c r="BC284" s="1" t="s">
        <v>862</v>
      </c>
      <c r="BD284" s="9" t="s">
        <v>807</v>
      </c>
      <c r="BE284" s="1" t="s">
        <v>875</v>
      </c>
      <c r="BF284" s="23" t="s">
        <v>37</v>
      </c>
      <c r="BG284" s="1" t="s">
        <v>876</v>
      </c>
      <c r="BH284" s="1" t="s">
        <v>877</v>
      </c>
      <c r="BI284" s="1" t="s">
        <v>1044</v>
      </c>
      <c r="BJ284" s="21" t="str">
        <f t="shared" si="4"/>
        <v>FIXO</v>
      </c>
    </row>
    <row r="285" spans="1:62" x14ac:dyDescent="0.25">
      <c r="A285" s="7">
        <v>6</v>
      </c>
      <c r="B285" s="1" t="s">
        <v>41</v>
      </c>
      <c r="C285" s="8">
        <v>6</v>
      </c>
      <c r="D285" s="9" t="s">
        <v>807</v>
      </c>
      <c r="E285" s="10">
        <v>12961</v>
      </c>
      <c r="F285" s="11" t="s">
        <v>1803</v>
      </c>
      <c r="G285" s="12" t="s">
        <v>271</v>
      </c>
      <c r="H285" s="13" t="str">
        <f>VLOOKUP(AP285,[1]Listas!A:B,2,0)</f>
        <v xml:space="preserve">FSTV </v>
      </c>
      <c r="I285" s="1" t="s">
        <v>440</v>
      </c>
      <c r="J285" s="12"/>
      <c r="K285" s="12"/>
      <c r="L285" s="1" t="s">
        <v>440</v>
      </c>
      <c r="M285" s="1" t="s">
        <v>460</v>
      </c>
      <c r="N285" s="14">
        <v>30490</v>
      </c>
      <c r="O285" s="1" t="s">
        <v>855</v>
      </c>
      <c r="P285" s="1" t="s">
        <v>856</v>
      </c>
      <c r="Q285" s="15" t="s">
        <v>811</v>
      </c>
      <c r="R285" s="1" t="s">
        <v>812</v>
      </c>
      <c r="S285" s="1" t="s">
        <v>1017</v>
      </c>
      <c r="U285" s="9" t="s">
        <v>868</v>
      </c>
      <c r="V285" s="1" t="s">
        <v>913</v>
      </c>
      <c r="W285" s="1" t="s">
        <v>1101</v>
      </c>
      <c r="X285" s="1" t="s">
        <v>153</v>
      </c>
      <c r="Y285" s="14">
        <v>44671</v>
      </c>
      <c r="Z285" s="9" t="s">
        <v>817</v>
      </c>
      <c r="AB285" s="14">
        <v>44418</v>
      </c>
      <c r="AC285" s="9" t="s">
        <v>817</v>
      </c>
      <c r="AD285" s="9" t="s">
        <v>818</v>
      </c>
      <c r="AE285" s="1" t="s">
        <v>819</v>
      </c>
      <c r="AF285" s="14" t="s">
        <v>820</v>
      </c>
      <c r="AG285" s="9" t="s">
        <v>821</v>
      </c>
      <c r="AH285" s="1" t="s">
        <v>9</v>
      </c>
      <c r="AI285" s="9" t="s">
        <v>10</v>
      </c>
      <c r="AJ285" s="1" t="s">
        <v>11</v>
      </c>
      <c r="AK285" s="1" t="s">
        <v>1804</v>
      </c>
      <c r="AL285" s="1" t="s">
        <v>1805</v>
      </c>
      <c r="AM285" s="9">
        <v>11440</v>
      </c>
      <c r="AN285" s="1" t="s">
        <v>154</v>
      </c>
      <c r="AO285" s="1" t="s">
        <v>461</v>
      </c>
      <c r="AP285" s="1" t="s">
        <v>1806</v>
      </c>
      <c r="AQ285" s="14">
        <v>45658</v>
      </c>
      <c r="AU285" s="14">
        <v>45679</v>
      </c>
      <c r="AV285" s="16">
        <v>30</v>
      </c>
      <c r="AW285" s="16">
        <v>0</v>
      </c>
      <c r="BA285" s="1" t="s">
        <v>911</v>
      </c>
      <c r="BB285" s="9">
        <v>1</v>
      </c>
      <c r="BC285" s="1" t="s">
        <v>862</v>
      </c>
      <c r="BD285" s="9" t="s">
        <v>807</v>
      </c>
      <c r="BE285" s="1" t="s">
        <v>1766</v>
      </c>
      <c r="BF285" s="1" t="s">
        <v>450</v>
      </c>
      <c r="BG285" s="1" t="s">
        <v>1767</v>
      </c>
      <c r="BH285" s="1" t="s">
        <v>1768</v>
      </c>
      <c r="BI285" s="20" t="s">
        <v>983</v>
      </c>
      <c r="BJ285" s="21" t="str">
        <f t="shared" si="4"/>
        <v>FIXO</v>
      </c>
    </row>
    <row r="286" spans="1:62" x14ac:dyDescent="0.25">
      <c r="A286" s="7">
        <v>6</v>
      </c>
      <c r="B286" s="1" t="s">
        <v>41</v>
      </c>
      <c r="C286" s="8">
        <v>5</v>
      </c>
      <c r="D286" s="9" t="s">
        <v>807</v>
      </c>
      <c r="E286" s="10">
        <v>12996</v>
      </c>
      <c r="F286" s="11" t="s">
        <v>1807</v>
      </c>
      <c r="G286" s="1" t="s">
        <v>41</v>
      </c>
      <c r="H286" s="13" t="str">
        <f>VLOOKUP(AP286,[1]Listas!A:B,2,0)</f>
        <v xml:space="preserve">FESP </v>
      </c>
      <c r="I286" s="1" t="s">
        <v>38</v>
      </c>
      <c r="J286" s="1" t="s">
        <v>37</v>
      </c>
      <c r="K286" s="12"/>
      <c r="L286" s="1" t="s">
        <v>490</v>
      </c>
      <c r="M286" s="1" t="s">
        <v>462</v>
      </c>
      <c r="N286" s="14">
        <v>35913</v>
      </c>
      <c r="O286" s="1" t="s">
        <v>855</v>
      </c>
      <c r="P286" s="1" t="s">
        <v>856</v>
      </c>
      <c r="Q286" s="15" t="s">
        <v>807</v>
      </c>
      <c r="R286" s="1" t="s">
        <v>857</v>
      </c>
      <c r="S286" s="1" t="s">
        <v>1017</v>
      </c>
      <c r="U286" s="9" t="s">
        <v>814</v>
      </c>
      <c r="V286" s="1" t="s">
        <v>815</v>
      </c>
      <c r="W286" s="1" t="s">
        <v>871</v>
      </c>
      <c r="X286" s="1" t="s">
        <v>34</v>
      </c>
      <c r="Y286" s="14">
        <v>44645</v>
      </c>
      <c r="Z286" s="9" t="s">
        <v>817</v>
      </c>
      <c r="AB286" s="14">
        <v>44440</v>
      </c>
      <c r="AC286" s="9" t="s">
        <v>817</v>
      </c>
      <c r="AD286" s="9" t="s">
        <v>818</v>
      </c>
      <c r="AE286" s="1" t="s">
        <v>819</v>
      </c>
      <c r="AF286" s="14" t="s">
        <v>820</v>
      </c>
      <c r="AG286" s="9" t="s">
        <v>821</v>
      </c>
      <c r="AH286" s="1" t="s">
        <v>9</v>
      </c>
      <c r="AI286" s="9" t="s">
        <v>10</v>
      </c>
      <c r="AJ286" s="1" t="s">
        <v>11</v>
      </c>
      <c r="AK286" s="1" t="s">
        <v>1799</v>
      </c>
      <c r="AL286" s="1" t="s">
        <v>873</v>
      </c>
      <c r="AM286" s="9">
        <v>11383</v>
      </c>
      <c r="AN286" s="1" t="s">
        <v>35</v>
      </c>
      <c r="AO286" s="1" t="s">
        <v>36</v>
      </c>
      <c r="AP286" s="1" t="s">
        <v>874</v>
      </c>
      <c r="AQ286" s="14">
        <v>45658</v>
      </c>
      <c r="AU286" s="14">
        <v>45799</v>
      </c>
      <c r="AV286" s="16">
        <v>0</v>
      </c>
      <c r="AW286" s="16">
        <v>0</v>
      </c>
      <c r="BA286" s="1" t="s">
        <v>911</v>
      </c>
      <c r="BB286" s="9">
        <v>1</v>
      </c>
      <c r="BC286" s="1" t="s">
        <v>862</v>
      </c>
      <c r="BD286" s="9" t="s">
        <v>807</v>
      </c>
      <c r="BE286" s="1" t="s">
        <v>875</v>
      </c>
      <c r="BF286" s="1" t="s">
        <v>37</v>
      </c>
      <c r="BG286" s="1" t="s">
        <v>876</v>
      </c>
      <c r="BH286" s="1" t="s">
        <v>877</v>
      </c>
      <c r="BI286" s="1" t="s">
        <v>878</v>
      </c>
      <c r="BJ286" s="21" t="str">
        <f t="shared" si="4"/>
        <v>FIXO</v>
      </c>
    </row>
    <row r="287" spans="1:62" x14ac:dyDescent="0.25">
      <c r="A287" s="7">
        <v>6</v>
      </c>
      <c r="B287" s="1" t="s">
        <v>41</v>
      </c>
      <c r="C287" s="8">
        <v>9</v>
      </c>
      <c r="D287" s="9" t="s">
        <v>807</v>
      </c>
      <c r="E287" s="10">
        <v>13023</v>
      </c>
      <c r="F287" s="11" t="s">
        <v>1808</v>
      </c>
      <c r="G287" s="12" t="s">
        <v>41</v>
      </c>
      <c r="H287" s="13" t="str">
        <f>VLOOKUP(AP287,[1]Listas!A:B,2,0)</f>
        <v xml:space="preserve">FBLA </v>
      </c>
      <c r="I287" s="1" t="s">
        <v>444</v>
      </c>
      <c r="J287" s="12"/>
      <c r="K287" s="12"/>
      <c r="L287" s="1" t="s">
        <v>458</v>
      </c>
      <c r="M287" s="1" t="s">
        <v>1809</v>
      </c>
      <c r="N287" s="14">
        <v>36190</v>
      </c>
      <c r="O287" s="1" t="s">
        <v>855</v>
      </c>
      <c r="P287" s="1" t="s">
        <v>856</v>
      </c>
      <c r="Q287" s="15" t="s">
        <v>807</v>
      </c>
      <c r="R287" s="1" t="s">
        <v>857</v>
      </c>
      <c r="S287" s="1" t="s">
        <v>868</v>
      </c>
      <c r="T287" s="1" t="s">
        <v>869</v>
      </c>
      <c r="U287" s="9" t="s">
        <v>814</v>
      </c>
      <c r="V287" s="1" t="s">
        <v>815</v>
      </c>
      <c r="W287" s="1" t="s">
        <v>871</v>
      </c>
      <c r="X287" s="1" t="s">
        <v>34</v>
      </c>
      <c r="Y287" s="14">
        <v>45325</v>
      </c>
      <c r="Z287" s="9" t="s">
        <v>817</v>
      </c>
      <c r="AB287" s="14">
        <v>45324</v>
      </c>
      <c r="AC287" s="9" t="s">
        <v>817</v>
      </c>
      <c r="AD287" s="9" t="s">
        <v>818</v>
      </c>
      <c r="AE287" s="1" t="s">
        <v>819</v>
      </c>
      <c r="AF287" s="14" t="s">
        <v>820</v>
      </c>
      <c r="AG287" s="9" t="s">
        <v>835</v>
      </c>
      <c r="AH287" s="1" t="s">
        <v>17</v>
      </c>
      <c r="AI287" s="9" t="s">
        <v>10</v>
      </c>
      <c r="AJ287" s="1" t="s">
        <v>11</v>
      </c>
      <c r="AK287" s="1" t="s">
        <v>1810</v>
      </c>
      <c r="AL287" s="1" t="s">
        <v>1811</v>
      </c>
      <c r="AM287" s="9">
        <v>11778</v>
      </c>
      <c r="AN287" s="1" t="s">
        <v>272</v>
      </c>
      <c r="AO287" s="1" t="s">
        <v>436</v>
      </c>
      <c r="AP287" s="1" t="s">
        <v>1737</v>
      </c>
      <c r="AQ287" s="14">
        <v>45658</v>
      </c>
      <c r="AU287" s="14">
        <v>45799</v>
      </c>
      <c r="AV287" s="16">
        <v>0</v>
      </c>
      <c r="AW287" s="16">
        <v>0</v>
      </c>
      <c r="BA287" s="1" t="s">
        <v>911</v>
      </c>
      <c r="BB287" s="9">
        <v>1</v>
      </c>
      <c r="BC287" s="1" t="s">
        <v>862</v>
      </c>
      <c r="BD287" s="9" t="s">
        <v>807</v>
      </c>
      <c r="BE287" s="1" t="s">
        <v>1017</v>
      </c>
      <c r="BI287" s="25" t="s">
        <v>878</v>
      </c>
      <c r="BJ287" s="21" t="str">
        <f t="shared" si="4"/>
        <v>FIXO</v>
      </c>
    </row>
    <row r="288" spans="1:62" x14ac:dyDescent="0.25">
      <c r="A288" s="7">
        <v>6</v>
      </c>
      <c r="B288" s="1" t="s">
        <v>41</v>
      </c>
      <c r="C288" s="8">
        <v>5</v>
      </c>
      <c r="D288" s="9" t="s">
        <v>807</v>
      </c>
      <c r="E288" s="10">
        <v>13045</v>
      </c>
      <c r="F288" s="11" t="s">
        <v>1812</v>
      </c>
      <c r="G288" s="1" t="s">
        <v>41</v>
      </c>
      <c r="H288" s="13" t="str">
        <f>VLOOKUP(AP288,[1]Listas!A:B,2,0)</f>
        <v xml:space="preserve">FESP </v>
      </c>
      <c r="I288" s="1" t="s">
        <v>38</v>
      </c>
      <c r="J288" s="12"/>
      <c r="K288" s="12"/>
      <c r="L288" s="1" t="s">
        <v>38</v>
      </c>
      <c r="M288" s="1" t="s">
        <v>463</v>
      </c>
      <c r="N288" s="14">
        <v>30918</v>
      </c>
      <c r="O288" s="1" t="s">
        <v>855</v>
      </c>
      <c r="P288" s="1" t="s">
        <v>856</v>
      </c>
      <c r="Q288" s="15" t="s">
        <v>807</v>
      </c>
      <c r="R288" s="1" t="s">
        <v>857</v>
      </c>
      <c r="S288" s="1" t="s">
        <v>868</v>
      </c>
      <c r="T288" s="1" t="s">
        <v>869</v>
      </c>
      <c r="U288" s="9" t="s">
        <v>811</v>
      </c>
      <c r="V288" s="1" t="s">
        <v>870</v>
      </c>
      <c r="W288" s="1" t="s">
        <v>1123</v>
      </c>
      <c r="X288" s="1" t="s">
        <v>168</v>
      </c>
      <c r="Y288" s="14">
        <v>45037</v>
      </c>
      <c r="Z288" s="9" t="s">
        <v>817</v>
      </c>
      <c r="AB288" s="14">
        <v>44457</v>
      </c>
      <c r="AC288" s="9" t="s">
        <v>817</v>
      </c>
      <c r="AD288" s="9" t="s">
        <v>818</v>
      </c>
      <c r="AE288" s="1" t="s">
        <v>819</v>
      </c>
      <c r="AF288" s="14" t="s">
        <v>820</v>
      </c>
      <c r="AG288" s="9" t="s">
        <v>821</v>
      </c>
      <c r="AH288" s="1" t="s">
        <v>9</v>
      </c>
      <c r="AI288" s="9" t="s">
        <v>10</v>
      </c>
      <c r="AJ288" s="1" t="s">
        <v>11</v>
      </c>
      <c r="AK288" s="1" t="s">
        <v>1813</v>
      </c>
      <c r="AL288" s="1" t="s">
        <v>1125</v>
      </c>
      <c r="AM288" s="9">
        <v>11358</v>
      </c>
      <c r="AN288" s="1" t="s">
        <v>169</v>
      </c>
      <c r="AO288" s="1" t="s">
        <v>170</v>
      </c>
      <c r="AP288" s="1" t="s">
        <v>1126</v>
      </c>
      <c r="AQ288" s="14">
        <v>45658</v>
      </c>
      <c r="AU288" s="14">
        <v>45799</v>
      </c>
      <c r="AV288" s="16">
        <v>0</v>
      </c>
      <c r="AW288" s="16">
        <v>0</v>
      </c>
      <c r="BA288" s="1" t="s">
        <v>911</v>
      </c>
      <c r="BB288" s="9">
        <v>1</v>
      </c>
      <c r="BC288" s="1" t="s">
        <v>862</v>
      </c>
      <c r="BD288" s="9" t="s">
        <v>807</v>
      </c>
      <c r="BE288" s="1" t="s">
        <v>893</v>
      </c>
      <c r="BF288" s="1" t="s">
        <v>38</v>
      </c>
      <c r="BG288" s="1" t="s">
        <v>883</v>
      </c>
      <c r="BH288" s="1" t="s">
        <v>884</v>
      </c>
      <c r="BI288" s="20" t="s">
        <v>983</v>
      </c>
      <c r="BJ288" s="21" t="str">
        <f t="shared" si="4"/>
        <v>FIXO</v>
      </c>
    </row>
    <row r="289" spans="1:62" x14ac:dyDescent="0.25">
      <c r="A289" s="7">
        <v>6</v>
      </c>
      <c r="B289" s="1" t="s">
        <v>41</v>
      </c>
      <c r="C289" s="8">
        <v>6</v>
      </c>
      <c r="D289" s="9" t="s">
        <v>807</v>
      </c>
      <c r="E289" s="10">
        <v>13074</v>
      </c>
      <c r="F289" s="11" t="s">
        <v>1814</v>
      </c>
      <c r="G289" s="12" t="s">
        <v>271</v>
      </c>
      <c r="H289" s="13" t="str">
        <f>VLOOKUP(AP289,[1]Listas!A:B,2,0)</f>
        <v xml:space="preserve">FSTV </v>
      </c>
      <c r="I289" s="1" t="s">
        <v>440</v>
      </c>
      <c r="J289" s="12"/>
      <c r="K289" s="12"/>
      <c r="L289" s="12" t="s">
        <v>1744</v>
      </c>
      <c r="M289" s="1" t="s">
        <v>1815</v>
      </c>
      <c r="N289" s="14">
        <v>33998</v>
      </c>
      <c r="O289" s="1" t="s">
        <v>855</v>
      </c>
      <c r="P289" s="1" t="s">
        <v>856</v>
      </c>
      <c r="Q289" s="15" t="s">
        <v>807</v>
      </c>
      <c r="R289" s="1" t="s">
        <v>857</v>
      </c>
      <c r="S289" s="1" t="s">
        <v>1017</v>
      </c>
      <c r="U289" s="9" t="s">
        <v>814</v>
      </c>
      <c r="V289" s="1" t="s">
        <v>815</v>
      </c>
      <c r="W289" s="1" t="s">
        <v>871</v>
      </c>
      <c r="X289" s="1" t="s">
        <v>34</v>
      </c>
      <c r="Y289" s="14">
        <v>44671</v>
      </c>
      <c r="Z289" s="9" t="s">
        <v>817</v>
      </c>
      <c r="AB289" s="14">
        <v>44466</v>
      </c>
      <c r="AC289" s="9" t="s">
        <v>817</v>
      </c>
      <c r="AD289" s="9" t="s">
        <v>818</v>
      </c>
      <c r="AE289" s="1" t="s">
        <v>819</v>
      </c>
      <c r="AF289" s="14" t="s">
        <v>820</v>
      </c>
      <c r="AG289" s="9" t="s">
        <v>821</v>
      </c>
      <c r="AH289" s="1" t="s">
        <v>9</v>
      </c>
      <c r="AI289" s="9" t="s">
        <v>10</v>
      </c>
      <c r="AJ289" s="1" t="s">
        <v>11</v>
      </c>
      <c r="AK289" s="1" t="s">
        <v>1816</v>
      </c>
      <c r="AL289" s="1" t="s">
        <v>1817</v>
      </c>
      <c r="AM289" s="9">
        <v>11473</v>
      </c>
      <c r="AN289" s="1" t="s">
        <v>293</v>
      </c>
      <c r="AO289" s="1" t="s">
        <v>439</v>
      </c>
      <c r="AP289" s="1" t="s">
        <v>1748</v>
      </c>
      <c r="AQ289" s="14">
        <v>45658</v>
      </c>
      <c r="AU289" s="14">
        <v>45799</v>
      </c>
      <c r="AV289" s="16">
        <v>0</v>
      </c>
      <c r="AW289" s="16">
        <v>0</v>
      </c>
      <c r="BA289" s="1" t="s">
        <v>911</v>
      </c>
      <c r="BB289" s="9">
        <v>1</v>
      </c>
      <c r="BC289" s="1" t="s">
        <v>862</v>
      </c>
      <c r="BD289" s="9" t="s">
        <v>807</v>
      </c>
      <c r="BE289" s="1" t="s">
        <v>1017</v>
      </c>
      <c r="BI289" s="20" t="s">
        <v>1118</v>
      </c>
      <c r="BJ289" s="21" t="str">
        <f t="shared" si="4"/>
        <v>FIXO</v>
      </c>
    </row>
    <row r="290" spans="1:62" x14ac:dyDescent="0.25">
      <c r="A290" s="7">
        <v>6</v>
      </c>
      <c r="B290" s="1" t="s">
        <v>41</v>
      </c>
      <c r="C290" s="8">
        <v>6</v>
      </c>
      <c r="D290" s="9" t="s">
        <v>807</v>
      </c>
      <c r="E290" s="10">
        <v>13266</v>
      </c>
      <c r="F290" s="11" t="s">
        <v>1818</v>
      </c>
      <c r="G290" s="12" t="s">
        <v>271</v>
      </c>
      <c r="H290" s="13" t="str">
        <f>VLOOKUP(AP290,[1]Listas!A:B,2,0)</f>
        <v xml:space="preserve">FSTV </v>
      </c>
      <c r="I290" s="1" t="s">
        <v>440</v>
      </c>
      <c r="J290" s="12"/>
      <c r="K290" s="1" t="s">
        <v>450</v>
      </c>
      <c r="L290" s="12"/>
      <c r="M290" s="1" t="s">
        <v>464</v>
      </c>
      <c r="N290" s="14">
        <v>30999</v>
      </c>
      <c r="O290" s="1" t="s">
        <v>855</v>
      </c>
      <c r="P290" s="1" t="s">
        <v>856</v>
      </c>
      <c r="Q290" s="15" t="s">
        <v>807</v>
      </c>
      <c r="R290" s="1" t="s">
        <v>857</v>
      </c>
      <c r="S290" s="1" t="s">
        <v>1017</v>
      </c>
      <c r="U290" s="9" t="s">
        <v>811</v>
      </c>
      <c r="V290" s="1" t="s">
        <v>870</v>
      </c>
      <c r="W290" s="1" t="s">
        <v>871</v>
      </c>
      <c r="X290" s="1" t="s">
        <v>34</v>
      </c>
      <c r="Y290" s="14">
        <v>45037</v>
      </c>
      <c r="Z290" s="9" t="s">
        <v>817</v>
      </c>
      <c r="AB290" s="14">
        <v>44537</v>
      </c>
      <c r="AC290" s="9" t="s">
        <v>817</v>
      </c>
      <c r="AD290" s="9" t="s">
        <v>818</v>
      </c>
      <c r="AE290" s="1" t="s">
        <v>819</v>
      </c>
      <c r="AF290" s="14" t="s">
        <v>820</v>
      </c>
      <c r="AG290" s="9" t="s">
        <v>821</v>
      </c>
      <c r="AH290" s="1" t="s">
        <v>9</v>
      </c>
      <c r="AI290" s="9" t="s">
        <v>10</v>
      </c>
      <c r="AJ290" s="1" t="s">
        <v>11</v>
      </c>
      <c r="AK290" s="1" t="s">
        <v>1784</v>
      </c>
      <c r="AL290" s="1" t="s">
        <v>1785</v>
      </c>
      <c r="AM290" s="9">
        <v>11472</v>
      </c>
      <c r="AN290" s="1" t="s">
        <v>276</v>
      </c>
      <c r="AO290" s="1" t="s">
        <v>439</v>
      </c>
      <c r="AP290" s="1" t="s">
        <v>1748</v>
      </c>
      <c r="AQ290" s="14">
        <v>45658</v>
      </c>
      <c r="AU290" s="14">
        <v>45799</v>
      </c>
      <c r="AV290" s="16">
        <v>0</v>
      </c>
      <c r="AW290" s="16">
        <v>0</v>
      </c>
      <c r="BA290" s="1" t="s">
        <v>911</v>
      </c>
      <c r="BB290" s="9">
        <v>1</v>
      </c>
      <c r="BC290" s="1" t="s">
        <v>862</v>
      </c>
      <c r="BD290" s="9" t="s">
        <v>807</v>
      </c>
      <c r="BE290" s="1" t="s">
        <v>1766</v>
      </c>
      <c r="BF290" s="1" t="s">
        <v>450</v>
      </c>
      <c r="BG290" s="1" t="s">
        <v>1767</v>
      </c>
      <c r="BH290" s="1" t="s">
        <v>1768</v>
      </c>
      <c r="BI290" s="20" t="s">
        <v>916</v>
      </c>
      <c r="BJ290" s="21" t="str">
        <f t="shared" si="4"/>
        <v>FIXO</v>
      </c>
    </row>
    <row r="291" spans="1:62" x14ac:dyDescent="0.25">
      <c r="A291" s="7">
        <v>6</v>
      </c>
      <c r="B291" s="1" t="s">
        <v>41</v>
      </c>
      <c r="C291" s="8">
        <v>6</v>
      </c>
      <c r="D291" s="9" t="s">
        <v>807</v>
      </c>
      <c r="E291" s="10">
        <v>13279</v>
      </c>
      <c r="F291" s="11" t="s">
        <v>1819</v>
      </c>
      <c r="G291" s="12" t="s">
        <v>271</v>
      </c>
      <c r="H291" s="13" t="str">
        <f>VLOOKUP(AP291,[1]Listas!A:B,2,0)</f>
        <v xml:space="preserve">FSTV </v>
      </c>
      <c r="I291" s="1" t="s">
        <v>440</v>
      </c>
      <c r="J291" s="12"/>
      <c r="K291" s="1" t="s">
        <v>450</v>
      </c>
      <c r="L291" s="12"/>
      <c r="M291" s="1" t="s">
        <v>465</v>
      </c>
      <c r="N291" s="14">
        <v>32752</v>
      </c>
      <c r="O291" s="1" t="s">
        <v>855</v>
      </c>
      <c r="P291" s="1" t="s">
        <v>856</v>
      </c>
      <c r="Q291" s="15" t="s">
        <v>807</v>
      </c>
      <c r="R291" s="1" t="s">
        <v>857</v>
      </c>
      <c r="S291" s="1" t="s">
        <v>1017</v>
      </c>
      <c r="U291" s="9" t="s">
        <v>951</v>
      </c>
      <c r="V291" s="1" t="s">
        <v>952</v>
      </c>
      <c r="W291" s="1" t="s">
        <v>871</v>
      </c>
      <c r="X291" s="1" t="s">
        <v>34</v>
      </c>
      <c r="Y291" s="14">
        <v>45037</v>
      </c>
      <c r="Z291" s="9" t="s">
        <v>817</v>
      </c>
      <c r="AB291" s="14">
        <v>44541</v>
      </c>
      <c r="AC291" s="9" t="s">
        <v>817</v>
      </c>
      <c r="AD291" s="9" t="s">
        <v>818</v>
      </c>
      <c r="AE291" s="1" t="s">
        <v>819</v>
      </c>
      <c r="AF291" s="14" t="s">
        <v>820</v>
      </c>
      <c r="AG291" s="9" t="s">
        <v>821</v>
      </c>
      <c r="AH291" s="1" t="s">
        <v>9</v>
      </c>
      <c r="AI291" s="9" t="s">
        <v>10</v>
      </c>
      <c r="AJ291" s="1" t="s">
        <v>11</v>
      </c>
      <c r="AK291" s="1" t="s">
        <v>1784</v>
      </c>
      <c r="AL291" s="1" t="s">
        <v>1785</v>
      </c>
      <c r="AM291" s="9">
        <v>11472</v>
      </c>
      <c r="AN291" s="1" t="s">
        <v>276</v>
      </c>
      <c r="AO291" s="1" t="s">
        <v>439</v>
      </c>
      <c r="AP291" s="1" t="s">
        <v>1748</v>
      </c>
      <c r="AQ291" s="14">
        <v>45658</v>
      </c>
      <c r="AU291" s="14">
        <v>45799</v>
      </c>
      <c r="AV291" s="16">
        <v>0</v>
      </c>
      <c r="AW291" s="16">
        <v>0</v>
      </c>
      <c r="BA291" s="1" t="s">
        <v>911</v>
      </c>
      <c r="BB291" s="9">
        <v>1</v>
      </c>
      <c r="BC291" s="1" t="s">
        <v>862</v>
      </c>
      <c r="BD291" s="9" t="s">
        <v>807</v>
      </c>
      <c r="BE291" s="1" t="s">
        <v>1766</v>
      </c>
      <c r="BF291" s="1" t="s">
        <v>450</v>
      </c>
      <c r="BG291" s="1" t="s">
        <v>1767</v>
      </c>
      <c r="BH291" s="1" t="s">
        <v>1768</v>
      </c>
      <c r="BI291" s="20" t="s">
        <v>916</v>
      </c>
      <c r="BJ291" s="21" t="str">
        <f t="shared" si="4"/>
        <v>FIXO</v>
      </c>
    </row>
    <row r="292" spans="1:62" x14ac:dyDescent="0.25">
      <c r="A292" s="7">
        <v>6</v>
      </c>
      <c r="B292" s="1" t="s">
        <v>41</v>
      </c>
      <c r="C292" s="8">
        <v>6</v>
      </c>
      <c r="D292" s="9" t="s">
        <v>807</v>
      </c>
      <c r="E292" s="10">
        <v>13336</v>
      </c>
      <c r="F292" s="11" t="s">
        <v>1820</v>
      </c>
      <c r="G292" s="12" t="s">
        <v>271</v>
      </c>
      <c r="H292" s="13" t="str">
        <f>VLOOKUP(AP292,[1]Listas!A:B,2,0)</f>
        <v xml:space="preserve">FSTV </v>
      </c>
      <c r="I292" s="1" t="s">
        <v>440</v>
      </c>
      <c r="J292" s="12"/>
      <c r="K292" s="1" t="s">
        <v>450</v>
      </c>
      <c r="L292" s="12"/>
      <c r="M292" s="1" t="s">
        <v>466</v>
      </c>
      <c r="N292" s="14">
        <v>30943</v>
      </c>
      <c r="O292" s="1" t="s">
        <v>855</v>
      </c>
      <c r="P292" s="1" t="s">
        <v>856</v>
      </c>
      <c r="Q292" s="15" t="s">
        <v>811</v>
      </c>
      <c r="R292" s="1" t="s">
        <v>812</v>
      </c>
      <c r="S292" s="1" t="s">
        <v>1017</v>
      </c>
      <c r="U292" s="9" t="s">
        <v>868</v>
      </c>
      <c r="V292" s="1" t="s">
        <v>913</v>
      </c>
      <c r="W292" s="1" t="s">
        <v>1317</v>
      </c>
      <c r="X292" s="1" t="s">
        <v>265</v>
      </c>
      <c r="Y292" s="14">
        <v>45037</v>
      </c>
      <c r="Z292" s="9" t="s">
        <v>817</v>
      </c>
      <c r="AB292" s="14">
        <v>44565</v>
      </c>
      <c r="AC292" s="9" t="s">
        <v>817</v>
      </c>
      <c r="AD292" s="9" t="s">
        <v>818</v>
      </c>
      <c r="AE292" s="1" t="s">
        <v>819</v>
      </c>
      <c r="AF292" s="14" t="s">
        <v>820</v>
      </c>
      <c r="AG292" s="9" t="s">
        <v>821</v>
      </c>
      <c r="AH292" s="1" t="s">
        <v>9</v>
      </c>
      <c r="AI292" s="9" t="s">
        <v>10</v>
      </c>
      <c r="AJ292" s="1" t="s">
        <v>11</v>
      </c>
      <c r="AK292" s="1" t="s">
        <v>1764</v>
      </c>
      <c r="AL292" s="1" t="s">
        <v>1765</v>
      </c>
      <c r="AM292" s="9">
        <v>11472</v>
      </c>
      <c r="AN292" s="1" t="s">
        <v>276</v>
      </c>
      <c r="AO292" s="1" t="s">
        <v>439</v>
      </c>
      <c r="AP292" s="1" t="s">
        <v>1748</v>
      </c>
      <c r="AQ292" s="14">
        <v>45658</v>
      </c>
      <c r="AU292" s="14">
        <v>45901</v>
      </c>
      <c r="AV292" s="16">
        <v>0</v>
      </c>
      <c r="AW292" s="16">
        <v>0</v>
      </c>
      <c r="BA292" s="1" t="s">
        <v>911</v>
      </c>
      <c r="BB292" s="9">
        <v>1</v>
      </c>
      <c r="BC292" s="1" t="s">
        <v>862</v>
      </c>
      <c r="BD292" s="9" t="s">
        <v>807</v>
      </c>
      <c r="BE292" s="1" t="s">
        <v>1766</v>
      </c>
      <c r="BF292" s="1" t="s">
        <v>450</v>
      </c>
      <c r="BG292" s="1" t="s">
        <v>1767</v>
      </c>
      <c r="BH292" s="1" t="s">
        <v>1768</v>
      </c>
      <c r="BI292" s="20" t="s">
        <v>916</v>
      </c>
      <c r="BJ292" s="21" t="str">
        <f t="shared" si="4"/>
        <v>FIXO</v>
      </c>
    </row>
    <row r="293" spans="1:62" x14ac:dyDescent="0.25">
      <c r="A293" s="7">
        <v>6</v>
      </c>
      <c r="B293" s="1" t="s">
        <v>41</v>
      </c>
      <c r="C293" s="8">
        <v>6</v>
      </c>
      <c r="D293" s="9" t="s">
        <v>807</v>
      </c>
      <c r="E293" s="10">
        <v>13339</v>
      </c>
      <c r="F293" s="11" t="s">
        <v>1821</v>
      </c>
      <c r="G293" s="12" t="s">
        <v>271</v>
      </c>
      <c r="H293" s="13" t="str">
        <f>VLOOKUP(AP293,[1]Listas!A:B,2,0)</f>
        <v xml:space="preserve">FSTV </v>
      </c>
      <c r="I293" s="1" t="s">
        <v>440</v>
      </c>
      <c r="J293" s="12"/>
      <c r="K293" s="12"/>
      <c r="L293" s="1" t="s">
        <v>440</v>
      </c>
      <c r="M293" s="1" t="s">
        <v>467</v>
      </c>
      <c r="N293" s="14">
        <v>33988</v>
      </c>
      <c r="O293" s="1" t="s">
        <v>809</v>
      </c>
      <c r="P293" s="1" t="s">
        <v>810</v>
      </c>
      <c r="Q293" s="15" t="s">
        <v>807</v>
      </c>
      <c r="R293" s="1" t="s">
        <v>857</v>
      </c>
      <c r="S293" s="1" t="s">
        <v>1017</v>
      </c>
      <c r="U293" s="9" t="s">
        <v>868</v>
      </c>
      <c r="V293" s="1" t="s">
        <v>913</v>
      </c>
      <c r="W293" s="1" t="s">
        <v>1518</v>
      </c>
      <c r="X293" s="1" t="s">
        <v>339</v>
      </c>
      <c r="Y293" s="14">
        <v>44794</v>
      </c>
      <c r="Z293" s="9" t="s">
        <v>817</v>
      </c>
      <c r="AB293" s="14">
        <v>44567</v>
      </c>
      <c r="AC293" s="9" t="s">
        <v>817</v>
      </c>
      <c r="AD293" s="9" t="s">
        <v>818</v>
      </c>
      <c r="AE293" s="1" t="s">
        <v>819</v>
      </c>
      <c r="AF293" s="14" t="s">
        <v>820</v>
      </c>
      <c r="AG293" s="9" t="s">
        <v>821</v>
      </c>
      <c r="AH293" s="1" t="s">
        <v>9</v>
      </c>
      <c r="AI293" s="9" t="s">
        <v>10</v>
      </c>
      <c r="AJ293" s="1" t="s">
        <v>11</v>
      </c>
      <c r="AK293" s="1" t="s">
        <v>1822</v>
      </c>
      <c r="AL293" s="1" t="s">
        <v>1823</v>
      </c>
      <c r="AM293" s="9">
        <v>11455</v>
      </c>
      <c r="AN293" s="1" t="s">
        <v>127</v>
      </c>
      <c r="AO293" s="1" t="s">
        <v>468</v>
      </c>
      <c r="AP293" s="1" t="s">
        <v>1824</v>
      </c>
      <c r="AQ293" s="14">
        <v>45658</v>
      </c>
      <c r="AU293" s="14">
        <v>45799</v>
      </c>
      <c r="AV293" s="16">
        <v>0</v>
      </c>
      <c r="AW293" s="16">
        <v>0</v>
      </c>
      <c r="BA293" s="1" t="s">
        <v>911</v>
      </c>
      <c r="BB293" s="9">
        <v>33</v>
      </c>
      <c r="BC293" s="1" t="s">
        <v>1825</v>
      </c>
      <c r="BD293" s="9" t="s">
        <v>807</v>
      </c>
      <c r="BE293" s="1" t="s">
        <v>850</v>
      </c>
      <c r="BF293" s="1" t="s">
        <v>27</v>
      </c>
      <c r="BG293" s="1" t="s">
        <v>851</v>
      </c>
      <c r="BH293" s="1" t="s">
        <v>852</v>
      </c>
      <c r="BI293" s="20" t="s">
        <v>1055</v>
      </c>
      <c r="BJ293" s="21" t="str">
        <f t="shared" si="4"/>
        <v>FIXO</v>
      </c>
    </row>
    <row r="294" spans="1:62" x14ac:dyDescent="0.25">
      <c r="A294" s="7">
        <v>6</v>
      </c>
      <c r="B294" s="1" t="s">
        <v>41</v>
      </c>
      <c r="C294" s="8">
        <v>5</v>
      </c>
      <c r="D294" s="9" t="s">
        <v>807</v>
      </c>
      <c r="E294" s="10">
        <v>13349</v>
      </c>
      <c r="F294" s="11" t="s">
        <v>1826</v>
      </c>
      <c r="G294" s="1" t="s">
        <v>41</v>
      </c>
      <c r="H294" s="13" t="str">
        <f>VLOOKUP(AP294,[1]Listas!A:B,2,0)</f>
        <v xml:space="preserve">FESP </v>
      </c>
      <c r="I294" s="1" t="s">
        <v>38</v>
      </c>
      <c r="J294" s="12"/>
      <c r="K294" s="1" t="s">
        <v>245</v>
      </c>
      <c r="L294" s="1" t="s">
        <v>136</v>
      </c>
      <c r="M294" s="1" t="s">
        <v>469</v>
      </c>
      <c r="N294" s="14">
        <v>37767</v>
      </c>
      <c r="O294" s="1" t="s">
        <v>855</v>
      </c>
      <c r="P294" s="1" t="s">
        <v>856</v>
      </c>
      <c r="Q294" s="15" t="s">
        <v>807</v>
      </c>
      <c r="R294" s="1" t="s">
        <v>857</v>
      </c>
      <c r="S294" s="1" t="s">
        <v>868</v>
      </c>
      <c r="T294" s="1" t="s">
        <v>869</v>
      </c>
      <c r="U294" s="9" t="s">
        <v>814</v>
      </c>
      <c r="V294" s="1" t="s">
        <v>815</v>
      </c>
      <c r="W294" s="1" t="s">
        <v>1430</v>
      </c>
      <c r="X294" s="1" t="s">
        <v>303</v>
      </c>
      <c r="Y294" s="14">
        <v>45811</v>
      </c>
      <c r="Z294" s="9" t="s">
        <v>817</v>
      </c>
      <c r="AB294" s="14">
        <v>45811</v>
      </c>
      <c r="AC294" s="9" t="s">
        <v>817</v>
      </c>
      <c r="AD294" s="9" t="s">
        <v>818</v>
      </c>
      <c r="AE294" s="1" t="s">
        <v>819</v>
      </c>
      <c r="AF294" s="14" t="s">
        <v>820</v>
      </c>
      <c r="AG294" s="9" t="s">
        <v>821</v>
      </c>
      <c r="AH294" s="1" t="s">
        <v>9</v>
      </c>
      <c r="AI294" s="9" t="s">
        <v>10</v>
      </c>
      <c r="AJ294" s="1" t="s">
        <v>11</v>
      </c>
      <c r="AK294" s="1" t="s">
        <v>1795</v>
      </c>
      <c r="AL294" s="1" t="s">
        <v>1796</v>
      </c>
      <c r="AM294" s="9">
        <v>11369</v>
      </c>
      <c r="AN294" s="1" t="s">
        <v>138</v>
      </c>
      <c r="AO294" s="1" t="s">
        <v>454</v>
      </c>
      <c r="AP294" s="1" t="s">
        <v>1790</v>
      </c>
      <c r="AQ294" s="14">
        <v>45811</v>
      </c>
      <c r="AU294" s="14">
        <v>45811</v>
      </c>
      <c r="AV294" s="16">
        <v>0</v>
      </c>
      <c r="AW294" s="16">
        <v>0</v>
      </c>
      <c r="BA294" s="1" t="s">
        <v>911</v>
      </c>
      <c r="BB294" s="9">
        <v>7</v>
      </c>
      <c r="BC294" s="1" t="s">
        <v>826</v>
      </c>
      <c r="BD294" s="9" t="s">
        <v>807</v>
      </c>
      <c r="BE294" s="1" t="s">
        <v>1797</v>
      </c>
      <c r="BF294" s="1" t="s">
        <v>136</v>
      </c>
      <c r="BG294" s="1" t="s">
        <v>1070</v>
      </c>
      <c r="BH294" s="1" t="s">
        <v>1071</v>
      </c>
      <c r="BI294" s="1" t="s">
        <v>1073</v>
      </c>
      <c r="BJ294" s="21" t="str">
        <f t="shared" si="4"/>
        <v>FIXO</v>
      </c>
    </row>
    <row r="295" spans="1:62" x14ac:dyDescent="0.25">
      <c r="A295" s="7">
        <v>6</v>
      </c>
      <c r="B295" s="1" t="s">
        <v>41</v>
      </c>
      <c r="C295" s="8">
        <v>5</v>
      </c>
      <c r="D295" s="9" t="s">
        <v>807</v>
      </c>
      <c r="E295" s="10">
        <v>13351</v>
      </c>
      <c r="F295" s="11" t="s">
        <v>1827</v>
      </c>
      <c r="G295" s="1" t="s">
        <v>41</v>
      </c>
      <c r="H295" s="13" t="str">
        <f>VLOOKUP(AP295,[1]Listas!A:B,2,0)</f>
        <v xml:space="preserve">FESP </v>
      </c>
      <c r="I295" s="1" t="s">
        <v>38</v>
      </c>
      <c r="J295" s="12"/>
      <c r="K295" s="1" t="s">
        <v>245</v>
      </c>
      <c r="L295" s="1" t="s">
        <v>136</v>
      </c>
      <c r="M295" s="1" t="s">
        <v>470</v>
      </c>
      <c r="N295" s="14">
        <v>36662</v>
      </c>
      <c r="O295" s="1" t="s">
        <v>855</v>
      </c>
      <c r="P295" s="1" t="s">
        <v>856</v>
      </c>
      <c r="Q295" s="15" t="s">
        <v>807</v>
      </c>
      <c r="R295" s="1" t="s">
        <v>857</v>
      </c>
      <c r="S295" s="1" t="s">
        <v>811</v>
      </c>
      <c r="T295" s="1" t="s">
        <v>906</v>
      </c>
      <c r="U295" s="9" t="s">
        <v>880</v>
      </c>
      <c r="V295" s="1" t="s">
        <v>881</v>
      </c>
      <c r="W295" s="1" t="s">
        <v>1430</v>
      </c>
      <c r="X295" s="1" t="s">
        <v>303</v>
      </c>
      <c r="Y295" s="14">
        <v>45811</v>
      </c>
      <c r="Z295" s="9" t="s">
        <v>817</v>
      </c>
      <c r="AB295" s="14">
        <v>45811</v>
      </c>
      <c r="AC295" s="9" t="s">
        <v>817</v>
      </c>
      <c r="AD295" s="9" t="s">
        <v>818</v>
      </c>
      <c r="AE295" s="1" t="s">
        <v>819</v>
      </c>
      <c r="AF295" s="14" t="s">
        <v>820</v>
      </c>
      <c r="AG295" s="9" t="s">
        <v>821</v>
      </c>
      <c r="AH295" s="1" t="s">
        <v>9</v>
      </c>
      <c r="AI295" s="9" t="s">
        <v>10</v>
      </c>
      <c r="AJ295" s="1" t="s">
        <v>11</v>
      </c>
      <c r="AK295" s="1" t="s">
        <v>1795</v>
      </c>
      <c r="AL295" s="1" t="s">
        <v>1796</v>
      </c>
      <c r="AM295" s="9">
        <v>11369</v>
      </c>
      <c r="AN295" s="1" t="s">
        <v>138</v>
      </c>
      <c r="AO295" s="1" t="s">
        <v>454</v>
      </c>
      <c r="AP295" s="1" t="s">
        <v>1790</v>
      </c>
      <c r="AQ295" s="14">
        <v>45811</v>
      </c>
      <c r="AU295" s="14">
        <v>45811</v>
      </c>
      <c r="AV295" s="16">
        <v>0</v>
      </c>
      <c r="AW295" s="16">
        <v>0</v>
      </c>
      <c r="BA295" s="1" t="s">
        <v>911</v>
      </c>
      <c r="BB295" s="9">
        <v>7</v>
      </c>
      <c r="BC295" s="1" t="s">
        <v>826</v>
      </c>
      <c r="BD295" s="9" t="s">
        <v>807</v>
      </c>
      <c r="BE295" s="1" t="s">
        <v>1797</v>
      </c>
      <c r="BF295" s="1" t="s">
        <v>136</v>
      </c>
      <c r="BG295" s="1" t="s">
        <v>1070</v>
      </c>
      <c r="BH295" s="1" t="s">
        <v>1071</v>
      </c>
      <c r="BI295" s="1" t="s">
        <v>1073</v>
      </c>
      <c r="BJ295" s="21" t="str">
        <f t="shared" si="4"/>
        <v>FIXO</v>
      </c>
    </row>
    <row r="296" spans="1:62" x14ac:dyDescent="0.25">
      <c r="A296" s="7">
        <v>6</v>
      </c>
      <c r="B296" s="1" t="s">
        <v>41</v>
      </c>
      <c r="C296" s="8">
        <v>5</v>
      </c>
      <c r="D296" s="9" t="s">
        <v>807</v>
      </c>
      <c r="E296" s="10">
        <v>13426</v>
      </c>
      <c r="F296" s="11" t="s">
        <v>1828</v>
      </c>
      <c r="G296" s="1" t="s">
        <v>41</v>
      </c>
      <c r="H296" s="13" t="str">
        <f>VLOOKUP(AP296,[1]Listas!A:B,2,0)</f>
        <v xml:space="preserve">FESP </v>
      </c>
      <c r="I296" s="1" t="s">
        <v>38</v>
      </c>
      <c r="J296" s="12"/>
      <c r="K296" s="1" t="s">
        <v>245</v>
      </c>
      <c r="L296" s="1" t="s">
        <v>136</v>
      </c>
      <c r="M296" s="1" t="s">
        <v>471</v>
      </c>
      <c r="N296" s="14">
        <v>35084</v>
      </c>
      <c r="O296" s="1" t="s">
        <v>855</v>
      </c>
      <c r="P296" s="1" t="s">
        <v>856</v>
      </c>
      <c r="Q296" s="15" t="s">
        <v>807</v>
      </c>
      <c r="R296" s="1" t="s">
        <v>857</v>
      </c>
      <c r="S296" s="1" t="s">
        <v>868</v>
      </c>
      <c r="T296" s="1" t="s">
        <v>869</v>
      </c>
      <c r="U296" s="9" t="s">
        <v>814</v>
      </c>
      <c r="V296" s="1" t="s">
        <v>815</v>
      </c>
      <c r="W296" s="1" t="s">
        <v>1406</v>
      </c>
      <c r="X296" s="1" t="s">
        <v>294</v>
      </c>
      <c r="Y296" s="14">
        <v>45679</v>
      </c>
      <c r="Z296" s="9" t="s">
        <v>817</v>
      </c>
      <c r="AB296" s="14">
        <v>44575</v>
      </c>
      <c r="AC296" s="9" t="s">
        <v>817</v>
      </c>
      <c r="AD296" s="9" t="s">
        <v>818</v>
      </c>
      <c r="AE296" s="1" t="s">
        <v>819</v>
      </c>
      <c r="AF296" s="14" t="s">
        <v>820</v>
      </c>
      <c r="AG296" s="9" t="s">
        <v>821</v>
      </c>
      <c r="AH296" s="1" t="s">
        <v>9</v>
      </c>
      <c r="AI296" s="9" t="s">
        <v>10</v>
      </c>
      <c r="AJ296" s="1" t="s">
        <v>11</v>
      </c>
      <c r="AK296" s="1" t="s">
        <v>1829</v>
      </c>
      <c r="AL296" s="1" t="s">
        <v>1830</v>
      </c>
      <c r="AM296" s="9">
        <v>11369</v>
      </c>
      <c r="AN296" s="1" t="s">
        <v>138</v>
      </c>
      <c r="AO296" s="1" t="s">
        <v>472</v>
      </c>
      <c r="AP296" s="1" t="s">
        <v>1831</v>
      </c>
      <c r="AQ296" s="14">
        <v>45679</v>
      </c>
      <c r="AU296" s="14">
        <v>45799</v>
      </c>
      <c r="AV296" s="16">
        <v>0</v>
      </c>
      <c r="AW296" s="16">
        <v>0</v>
      </c>
      <c r="BA296" s="1" t="s">
        <v>911</v>
      </c>
      <c r="BB296" s="9">
        <v>1</v>
      </c>
      <c r="BC296" s="1" t="s">
        <v>862</v>
      </c>
      <c r="BD296" s="9" t="s">
        <v>807</v>
      </c>
      <c r="BE296" s="1" t="s">
        <v>1797</v>
      </c>
      <c r="BF296" s="1" t="s">
        <v>136</v>
      </c>
      <c r="BG296" s="1" t="s">
        <v>1070</v>
      </c>
      <c r="BH296" s="1" t="s">
        <v>1071</v>
      </c>
      <c r="BI296" s="1" t="s">
        <v>1073</v>
      </c>
      <c r="BJ296" s="21" t="str">
        <f t="shared" si="4"/>
        <v>FIXO</v>
      </c>
    </row>
    <row r="297" spans="1:62" x14ac:dyDescent="0.25">
      <c r="A297" s="7">
        <v>6</v>
      </c>
      <c r="B297" s="1" t="s">
        <v>41</v>
      </c>
      <c r="C297" s="8">
        <v>6</v>
      </c>
      <c r="D297" s="9" t="s">
        <v>807</v>
      </c>
      <c r="E297" s="10">
        <v>13621</v>
      </c>
      <c r="F297" s="11" t="s">
        <v>1832</v>
      </c>
      <c r="G297" s="12" t="s">
        <v>271</v>
      </c>
      <c r="H297" s="13" t="str">
        <f>VLOOKUP(AP297,[1]Listas!A:B,2,0)</f>
        <v xml:space="preserve">FSTV </v>
      </c>
      <c r="I297" s="1" t="s">
        <v>440</v>
      </c>
      <c r="J297" s="12"/>
      <c r="K297" s="12"/>
      <c r="L297" s="1" t="s">
        <v>440</v>
      </c>
      <c r="M297" s="1" t="s">
        <v>473</v>
      </c>
      <c r="N297" s="14">
        <v>32563</v>
      </c>
      <c r="O297" s="1" t="s">
        <v>809</v>
      </c>
      <c r="P297" s="1" t="s">
        <v>810</v>
      </c>
      <c r="Q297" s="15" t="s">
        <v>807</v>
      </c>
      <c r="R297" s="1" t="s">
        <v>857</v>
      </c>
      <c r="S297" s="1" t="s">
        <v>1017</v>
      </c>
      <c r="U297" s="9" t="s">
        <v>814</v>
      </c>
      <c r="V297" s="1" t="s">
        <v>815</v>
      </c>
      <c r="W297" s="1" t="s">
        <v>1220</v>
      </c>
      <c r="X297" s="1" t="s">
        <v>220</v>
      </c>
      <c r="Y297" s="14">
        <v>44695</v>
      </c>
      <c r="Z297" s="9" t="s">
        <v>817</v>
      </c>
      <c r="AB297" s="14">
        <v>44694</v>
      </c>
      <c r="AC297" s="9" t="s">
        <v>817</v>
      </c>
      <c r="AD297" s="9" t="s">
        <v>818</v>
      </c>
      <c r="AE297" s="1" t="s">
        <v>819</v>
      </c>
      <c r="AF297" s="14" t="s">
        <v>820</v>
      </c>
      <c r="AG297" s="9" t="s">
        <v>821</v>
      </c>
      <c r="AH297" s="1" t="s">
        <v>9</v>
      </c>
      <c r="AI297" s="9" t="s">
        <v>10</v>
      </c>
      <c r="AJ297" s="1" t="s">
        <v>11</v>
      </c>
      <c r="AK297" s="1" t="s">
        <v>1833</v>
      </c>
      <c r="AL297" s="1" t="s">
        <v>1834</v>
      </c>
      <c r="AM297" s="9">
        <v>11418</v>
      </c>
      <c r="AN297" s="1" t="s">
        <v>122</v>
      </c>
      <c r="AO297" s="1" t="s">
        <v>474</v>
      </c>
      <c r="AP297" s="1" t="s">
        <v>1835</v>
      </c>
      <c r="AQ297" s="14">
        <v>45658</v>
      </c>
      <c r="AU297" s="14">
        <v>45799</v>
      </c>
      <c r="AV297" s="16">
        <v>0</v>
      </c>
      <c r="AW297" s="16">
        <v>0</v>
      </c>
      <c r="BA297" s="1" t="s">
        <v>911</v>
      </c>
      <c r="BB297" s="9">
        <v>1</v>
      </c>
      <c r="BC297" s="1" t="s">
        <v>862</v>
      </c>
      <c r="BD297" s="9" t="s">
        <v>807</v>
      </c>
      <c r="BE297" s="1" t="s">
        <v>850</v>
      </c>
      <c r="BF297" s="1" t="s">
        <v>27</v>
      </c>
      <c r="BG297" s="1" t="s">
        <v>851</v>
      </c>
      <c r="BH297" s="1" t="s">
        <v>852</v>
      </c>
      <c r="BI297" s="20" t="s">
        <v>1055</v>
      </c>
      <c r="BJ297" s="21" t="str">
        <f t="shared" si="4"/>
        <v>FIXO</v>
      </c>
    </row>
    <row r="298" spans="1:62" x14ac:dyDescent="0.25">
      <c r="A298" s="7">
        <v>6</v>
      </c>
      <c r="B298" s="1" t="s">
        <v>41</v>
      </c>
      <c r="C298" s="8">
        <v>9</v>
      </c>
      <c r="D298" s="9" t="s">
        <v>807</v>
      </c>
      <c r="E298" s="10">
        <v>13770</v>
      </c>
      <c r="F298" s="11" t="s">
        <v>1836</v>
      </c>
      <c r="G298" s="12" t="s">
        <v>41</v>
      </c>
      <c r="H298" s="13" t="str">
        <f>VLOOKUP(AP298,[1]Listas!A:B,2,0)</f>
        <v xml:space="preserve">FBLA </v>
      </c>
      <c r="I298" s="1" t="s">
        <v>444</v>
      </c>
      <c r="J298" s="12"/>
      <c r="K298" s="12"/>
      <c r="L298" s="1" t="s">
        <v>444</v>
      </c>
      <c r="M298" s="1" t="s">
        <v>475</v>
      </c>
      <c r="N298" s="14">
        <v>34899</v>
      </c>
      <c r="O298" s="1" t="s">
        <v>855</v>
      </c>
      <c r="P298" s="1" t="s">
        <v>856</v>
      </c>
      <c r="Q298" s="15" t="s">
        <v>811</v>
      </c>
      <c r="R298" s="1" t="s">
        <v>812</v>
      </c>
      <c r="S298" s="1" t="s">
        <v>868</v>
      </c>
      <c r="T298" s="1" t="s">
        <v>869</v>
      </c>
      <c r="U298" s="9" t="s">
        <v>814</v>
      </c>
      <c r="V298" s="1" t="s">
        <v>815</v>
      </c>
      <c r="W298" s="1" t="s">
        <v>871</v>
      </c>
      <c r="X298" s="1" t="s">
        <v>34</v>
      </c>
      <c r="Y298" s="14">
        <v>45608</v>
      </c>
      <c r="Z298" s="9" t="s">
        <v>817</v>
      </c>
      <c r="AB298" s="14">
        <v>45607</v>
      </c>
      <c r="AC298" s="9" t="s">
        <v>817</v>
      </c>
      <c r="AD298" s="9" t="s">
        <v>818</v>
      </c>
      <c r="AE298" s="1" t="s">
        <v>819</v>
      </c>
      <c r="AF298" s="14" t="s">
        <v>820</v>
      </c>
      <c r="AG298" s="9" t="s">
        <v>821</v>
      </c>
      <c r="AH298" s="1" t="s">
        <v>9</v>
      </c>
      <c r="AI298" s="9" t="s">
        <v>10</v>
      </c>
      <c r="AJ298" s="1" t="s">
        <v>11</v>
      </c>
      <c r="AK298" s="1" t="s">
        <v>1837</v>
      </c>
      <c r="AL298" s="1" t="s">
        <v>1838</v>
      </c>
      <c r="AM298" s="9">
        <v>11743</v>
      </c>
      <c r="AN298" s="1" t="s">
        <v>114</v>
      </c>
      <c r="AO298" s="1" t="s">
        <v>436</v>
      </c>
      <c r="AP298" s="1" t="s">
        <v>1737</v>
      </c>
      <c r="AQ298" s="14">
        <v>45658</v>
      </c>
      <c r="AU298" s="14">
        <v>45799</v>
      </c>
      <c r="AV298" s="16">
        <v>0</v>
      </c>
      <c r="AW298" s="16">
        <v>0</v>
      </c>
      <c r="BA298" s="1" t="s">
        <v>911</v>
      </c>
      <c r="BB298" s="9">
        <v>1</v>
      </c>
      <c r="BC298" s="1" t="s">
        <v>862</v>
      </c>
      <c r="BD298" s="9" t="s">
        <v>807</v>
      </c>
      <c r="BE298" s="1" t="s">
        <v>1775</v>
      </c>
      <c r="BF298" s="1" t="s">
        <v>444</v>
      </c>
      <c r="BG298" s="1" t="s">
        <v>1770</v>
      </c>
      <c r="BH298" s="1" t="s">
        <v>1771</v>
      </c>
      <c r="BI298" s="25" t="s">
        <v>916</v>
      </c>
      <c r="BJ298" s="21" t="str">
        <f t="shared" si="4"/>
        <v>FIXO</v>
      </c>
    </row>
    <row r="299" spans="1:62" x14ac:dyDescent="0.25">
      <c r="A299" s="7">
        <v>6</v>
      </c>
      <c r="B299" s="1" t="s">
        <v>41</v>
      </c>
      <c r="C299" s="8">
        <v>5</v>
      </c>
      <c r="D299" s="9" t="s">
        <v>807</v>
      </c>
      <c r="E299" s="10">
        <v>13945</v>
      </c>
      <c r="F299" s="11" t="s">
        <v>1839</v>
      </c>
      <c r="G299" s="1" t="s">
        <v>41</v>
      </c>
      <c r="H299" s="13" t="str">
        <f>VLOOKUP(AP299,[1]Listas!A:B,2,0)</f>
        <v xml:space="preserve">FESP </v>
      </c>
      <c r="I299" s="12" t="s">
        <v>38</v>
      </c>
      <c r="J299" s="12"/>
      <c r="K299" s="1" t="s">
        <v>32</v>
      </c>
      <c r="L299" s="1" t="s">
        <v>79</v>
      </c>
      <c r="M299" s="1" t="s">
        <v>476</v>
      </c>
      <c r="N299" s="14">
        <v>29279</v>
      </c>
      <c r="O299" s="1" t="s">
        <v>855</v>
      </c>
      <c r="P299" s="1" t="s">
        <v>856</v>
      </c>
      <c r="Q299" s="15" t="s">
        <v>807</v>
      </c>
      <c r="R299" s="1" t="s">
        <v>857</v>
      </c>
      <c r="S299" s="1" t="s">
        <v>807</v>
      </c>
      <c r="T299" s="1" t="s">
        <v>813</v>
      </c>
      <c r="U299" s="9" t="s">
        <v>811</v>
      </c>
      <c r="V299" s="1" t="s">
        <v>870</v>
      </c>
      <c r="W299" s="1" t="s">
        <v>871</v>
      </c>
      <c r="X299" s="1" t="s">
        <v>34</v>
      </c>
      <c r="Y299" s="14">
        <v>45582</v>
      </c>
      <c r="Z299" s="9" t="s">
        <v>817</v>
      </c>
      <c r="AB299" s="14">
        <v>44715</v>
      </c>
      <c r="AC299" s="9" t="s">
        <v>817</v>
      </c>
      <c r="AD299" s="9" t="s">
        <v>818</v>
      </c>
      <c r="AE299" s="1" t="s">
        <v>819</v>
      </c>
      <c r="AF299" s="14" t="s">
        <v>820</v>
      </c>
      <c r="AG299" s="9" t="s">
        <v>821</v>
      </c>
      <c r="AH299" s="1" t="s">
        <v>9</v>
      </c>
      <c r="AI299" s="9" t="s">
        <v>10</v>
      </c>
      <c r="AJ299" s="1" t="s">
        <v>11</v>
      </c>
      <c r="AK299" s="1" t="s">
        <v>1756</v>
      </c>
      <c r="AL299" s="1" t="s">
        <v>919</v>
      </c>
      <c r="AM299" s="9">
        <v>11377</v>
      </c>
      <c r="AN299" s="1" t="s">
        <v>56</v>
      </c>
      <c r="AO299" s="1" t="s">
        <v>36</v>
      </c>
      <c r="AP299" s="1" t="s">
        <v>874</v>
      </c>
      <c r="AQ299" s="14">
        <v>45658</v>
      </c>
      <c r="AU299" s="14">
        <v>45799</v>
      </c>
      <c r="AV299" s="16">
        <v>0</v>
      </c>
      <c r="AW299" s="16">
        <v>0</v>
      </c>
      <c r="BA299" s="1" t="s">
        <v>911</v>
      </c>
      <c r="BB299" s="9">
        <v>1</v>
      </c>
      <c r="BC299" s="1" t="s">
        <v>862</v>
      </c>
      <c r="BD299" s="9" t="s">
        <v>807</v>
      </c>
      <c r="BE299" s="1" t="s">
        <v>863</v>
      </c>
      <c r="BF299" s="1" t="s">
        <v>32</v>
      </c>
      <c r="BG299" s="1" t="s">
        <v>864</v>
      </c>
      <c r="BH299" s="1" t="s">
        <v>865</v>
      </c>
      <c r="BI299" s="1" t="s">
        <v>916</v>
      </c>
      <c r="BJ299" s="21" t="str">
        <f t="shared" si="4"/>
        <v>FIXO</v>
      </c>
    </row>
    <row r="300" spans="1:62" x14ac:dyDescent="0.25">
      <c r="A300" s="7">
        <v>6</v>
      </c>
      <c r="B300" s="1" t="s">
        <v>41</v>
      </c>
      <c r="C300" s="8">
        <v>6</v>
      </c>
      <c r="D300" s="9" t="s">
        <v>807</v>
      </c>
      <c r="E300" s="10">
        <v>14466</v>
      </c>
      <c r="F300" s="11" t="s">
        <v>1840</v>
      </c>
      <c r="G300" s="12" t="s">
        <v>271</v>
      </c>
      <c r="H300" s="13" t="str">
        <f>VLOOKUP(AP300,[1]Listas!A:B,2,0)</f>
        <v xml:space="preserve">FSTV </v>
      </c>
      <c r="I300" s="1" t="s">
        <v>440</v>
      </c>
      <c r="J300" s="12"/>
      <c r="K300" s="12"/>
      <c r="L300" s="1" t="s">
        <v>488</v>
      </c>
      <c r="M300" s="1" t="s">
        <v>1841</v>
      </c>
      <c r="N300" s="14">
        <v>35498</v>
      </c>
      <c r="O300" s="1" t="s">
        <v>855</v>
      </c>
      <c r="P300" s="1" t="s">
        <v>856</v>
      </c>
      <c r="Q300" s="15" t="s">
        <v>807</v>
      </c>
      <c r="R300" s="1" t="s">
        <v>857</v>
      </c>
      <c r="S300" s="1" t="s">
        <v>868</v>
      </c>
      <c r="T300" s="1" t="s">
        <v>869</v>
      </c>
      <c r="U300" s="9" t="s">
        <v>814</v>
      </c>
      <c r="V300" s="1" t="s">
        <v>815</v>
      </c>
      <c r="W300" s="1" t="s">
        <v>871</v>
      </c>
      <c r="X300" s="1" t="s">
        <v>34</v>
      </c>
      <c r="Y300" s="14">
        <v>45665</v>
      </c>
      <c r="Z300" s="9" t="s">
        <v>817</v>
      </c>
      <c r="AB300" s="14">
        <v>45664</v>
      </c>
      <c r="AC300" s="9" t="s">
        <v>817</v>
      </c>
      <c r="AD300" s="9" t="s">
        <v>818</v>
      </c>
      <c r="AE300" s="1" t="s">
        <v>819</v>
      </c>
      <c r="AF300" s="14" t="s">
        <v>820</v>
      </c>
      <c r="AG300" s="9" t="s">
        <v>821</v>
      </c>
      <c r="AH300" s="1" t="s">
        <v>9</v>
      </c>
      <c r="AI300" s="9" t="s">
        <v>10</v>
      </c>
      <c r="AJ300" s="1" t="s">
        <v>11</v>
      </c>
      <c r="AK300" s="1" t="s">
        <v>1781</v>
      </c>
      <c r="AL300" s="1" t="s">
        <v>1782</v>
      </c>
      <c r="AM300" s="9">
        <v>11471</v>
      </c>
      <c r="AN300" s="1" t="s">
        <v>272</v>
      </c>
      <c r="AO300" s="1" t="s">
        <v>439</v>
      </c>
      <c r="AP300" s="1" t="s">
        <v>1748</v>
      </c>
      <c r="AQ300" s="14">
        <v>45666</v>
      </c>
      <c r="AU300" s="14">
        <v>45799</v>
      </c>
      <c r="AV300" s="16">
        <v>0</v>
      </c>
      <c r="AW300" s="16">
        <v>0</v>
      </c>
      <c r="BA300" s="1" t="s">
        <v>911</v>
      </c>
      <c r="BB300" s="9">
        <v>7</v>
      </c>
      <c r="BC300" s="1" t="s">
        <v>826</v>
      </c>
      <c r="BD300" s="9" t="s">
        <v>807</v>
      </c>
      <c r="BE300" s="1" t="s">
        <v>1017</v>
      </c>
      <c r="BI300" s="20" t="s">
        <v>866</v>
      </c>
      <c r="BJ300" s="21" t="str">
        <f t="shared" si="4"/>
        <v>FIXO</v>
      </c>
    </row>
    <row r="301" spans="1:62" x14ac:dyDescent="0.25">
      <c r="A301" s="7">
        <v>6</v>
      </c>
      <c r="B301" s="1" t="s">
        <v>41</v>
      </c>
      <c r="C301" s="8">
        <v>6</v>
      </c>
      <c r="D301" s="9" t="s">
        <v>807</v>
      </c>
      <c r="E301" s="10">
        <v>14526</v>
      </c>
      <c r="F301" s="11" t="s">
        <v>1842</v>
      </c>
      <c r="G301" s="12" t="s">
        <v>271</v>
      </c>
      <c r="H301" s="13" t="str">
        <f>VLOOKUP(AP301,[1]Listas!A:B,2,0)</f>
        <v xml:space="preserve">FSTV </v>
      </c>
      <c r="I301" s="1" t="s">
        <v>440</v>
      </c>
      <c r="J301" s="12"/>
      <c r="K301" s="1" t="s">
        <v>450</v>
      </c>
      <c r="L301" s="12"/>
      <c r="M301" s="1" t="s">
        <v>477</v>
      </c>
      <c r="N301" s="14">
        <v>37528</v>
      </c>
      <c r="O301" s="1" t="s">
        <v>855</v>
      </c>
      <c r="P301" s="1" t="s">
        <v>856</v>
      </c>
      <c r="Q301" s="15" t="s">
        <v>807</v>
      </c>
      <c r="R301" s="1" t="s">
        <v>857</v>
      </c>
      <c r="S301" s="1" t="s">
        <v>1017</v>
      </c>
      <c r="U301" s="9" t="s">
        <v>814</v>
      </c>
      <c r="V301" s="1" t="s">
        <v>815</v>
      </c>
      <c r="W301" s="1" t="s">
        <v>871</v>
      </c>
      <c r="X301" s="1" t="s">
        <v>34</v>
      </c>
      <c r="Y301" s="14">
        <v>45353</v>
      </c>
      <c r="Z301" s="9" t="s">
        <v>817</v>
      </c>
      <c r="AB301" s="14">
        <v>44869</v>
      </c>
      <c r="AC301" s="9" t="s">
        <v>817</v>
      </c>
      <c r="AD301" s="9" t="s">
        <v>818</v>
      </c>
      <c r="AE301" s="1" t="s">
        <v>819</v>
      </c>
      <c r="AF301" s="14" t="s">
        <v>820</v>
      </c>
      <c r="AG301" s="9" t="s">
        <v>821</v>
      </c>
      <c r="AH301" s="1" t="s">
        <v>9</v>
      </c>
      <c r="AI301" s="9" t="s">
        <v>10</v>
      </c>
      <c r="AJ301" s="1" t="s">
        <v>11</v>
      </c>
      <c r="AK301" s="1" t="s">
        <v>1784</v>
      </c>
      <c r="AL301" s="1" t="s">
        <v>1785</v>
      </c>
      <c r="AM301" s="9">
        <v>11472</v>
      </c>
      <c r="AN301" s="1" t="s">
        <v>276</v>
      </c>
      <c r="AO301" s="1" t="s">
        <v>439</v>
      </c>
      <c r="AP301" s="1" t="s">
        <v>1748</v>
      </c>
      <c r="AQ301" s="14">
        <v>45658</v>
      </c>
      <c r="AU301" s="14">
        <v>45799</v>
      </c>
      <c r="AV301" s="16">
        <v>0</v>
      </c>
      <c r="AW301" s="16">
        <v>0</v>
      </c>
      <c r="BA301" s="1" t="s">
        <v>911</v>
      </c>
      <c r="BB301" s="9">
        <v>1</v>
      </c>
      <c r="BC301" s="1" t="s">
        <v>862</v>
      </c>
      <c r="BD301" s="9" t="s">
        <v>807</v>
      </c>
      <c r="BE301" s="1" t="s">
        <v>1766</v>
      </c>
      <c r="BF301" s="1" t="s">
        <v>450</v>
      </c>
      <c r="BG301" s="1" t="s">
        <v>1767</v>
      </c>
      <c r="BH301" s="1" t="s">
        <v>1768</v>
      </c>
      <c r="BI301" s="20" t="s">
        <v>916</v>
      </c>
      <c r="BJ301" s="21" t="str">
        <f t="shared" si="4"/>
        <v>FIXO</v>
      </c>
    </row>
    <row r="302" spans="1:62" x14ac:dyDescent="0.25">
      <c r="A302" s="7">
        <v>6</v>
      </c>
      <c r="B302" s="1" t="s">
        <v>41</v>
      </c>
      <c r="C302" s="8">
        <v>6</v>
      </c>
      <c r="D302" s="9" t="s">
        <v>807</v>
      </c>
      <c r="E302" s="10">
        <v>14617</v>
      </c>
      <c r="F302" s="11" t="s">
        <v>1843</v>
      </c>
      <c r="G302" s="12" t="s">
        <v>271</v>
      </c>
      <c r="H302" s="13" t="str">
        <f>VLOOKUP(AP302,[1]Listas!A:B,2,0)</f>
        <v xml:space="preserve">FSTV </v>
      </c>
      <c r="I302" s="1" t="s">
        <v>440</v>
      </c>
      <c r="J302" s="12"/>
      <c r="K302" s="1" t="s">
        <v>450</v>
      </c>
      <c r="L302" s="12"/>
      <c r="M302" s="1" t="s">
        <v>478</v>
      </c>
      <c r="N302" s="14">
        <v>32130</v>
      </c>
      <c r="O302" s="1" t="s">
        <v>855</v>
      </c>
      <c r="P302" s="1" t="s">
        <v>856</v>
      </c>
      <c r="Q302" s="15" t="s">
        <v>807</v>
      </c>
      <c r="R302" s="1" t="s">
        <v>857</v>
      </c>
      <c r="S302" s="1" t="s">
        <v>1017</v>
      </c>
      <c r="U302" s="9" t="s">
        <v>951</v>
      </c>
      <c r="V302" s="1" t="s">
        <v>952</v>
      </c>
      <c r="W302" s="1" t="s">
        <v>871</v>
      </c>
      <c r="X302" s="1" t="s">
        <v>34</v>
      </c>
      <c r="Y302" s="14">
        <v>45353</v>
      </c>
      <c r="Z302" s="9" t="s">
        <v>817</v>
      </c>
      <c r="AB302" s="14">
        <v>44902</v>
      </c>
      <c r="AC302" s="9" t="s">
        <v>817</v>
      </c>
      <c r="AD302" s="9" t="s">
        <v>818</v>
      </c>
      <c r="AE302" s="1" t="s">
        <v>819</v>
      </c>
      <c r="AF302" s="14" t="s">
        <v>820</v>
      </c>
      <c r="AG302" s="9" t="s">
        <v>835</v>
      </c>
      <c r="AH302" s="1" t="s">
        <v>17</v>
      </c>
      <c r="AI302" s="9" t="s">
        <v>10</v>
      </c>
      <c r="AJ302" s="1" t="s">
        <v>11</v>
      </c>
      <c r="AK302" s="1" t="s">
        <v>1784</v>
      </c>
      <c r="AL302" s="1" t="s">
        <v>1785</v>
      </c>
      <c r="AM302" s="9">
        <v>11472</v>
      </c>
      <c r="AN302" s="1" t="s">
        <v>276</v>
      </c>
      <c r="AO302" s="1" t="s">
        <v>439</v>
      </c>
      <c r="AP302" s="1" t="s">
        <v>1748</v>
      </c>
      <c r="AQ302" s="14">
        <v>45658</v>
      </c>
      <c r="AU302" s="14">
        <v>45799</v>
      </c>
      <c r="AV302" s="16">
        <v>0</v>
      </c>
      <c r="AW302" s="16">
        <v>0</v>
      </c>
      <c r="BA302" s="1" t="s">
        <v>911</v>
      </c>
      <c r="BB302" s="9">
        <v>1</v>
      </c>
      <c r="BC302" s="1" t="s">
        <v>862</v>
      </c>
      <c r="BD302" s="9" t="s">
        <v>807</v>
      </c>
      <c r="BE302" s="1" t="s">
        <v>1766</v>
      </c>
      <c r="BF302" s="1" t="s">
        <v>450</v>
      </c>
      <c r="BG302" s="1" t="s">
        <v>1767</v>
      </c>
      <c r="BH302" s="1" t="s">
        <v>1768</v>
      </c>
      <c r="BI302" s="20" t="s">
        <v>916</v>
      </c>
      <c r="BJ302" s="21" t="str">
        <f t="shared" si="4"/>
        <v>FIXO</v>
      </c>
    </row>
    <row r="303" spans="1:62" x14ac:dyDescent="0.25">
      <c r="A303" s="7">
        <v>6</v>
      </c>
      <c r="B303" s="1" t="s">
        <v>41</v>
      </c>
      <c r="C303" s="8">
        <v>6</v>
      </c>
      <c r="D303" s="9" t="s">
        <v>807</v>
      </c>
      <c r="E303" s="10">
        <v>14627</v>
      </c>
      <c r="F303" s="11" t="s">
        <v>1844</v>
      </c>
      <c r="G303" s="12" t="s">
        <v>271</v>
      </c>
      <c r="H303" s="13" t="str">
        <f>VLOOKUP(AP303,[1]Listas!A:B,2,0)</f>
        <v xml:space="preserve">FSTV </v>
      </c>
      <c r="I303" s="1" t="s">
        <v>440</v>
      </c>
      <c r="J303" s="12"/>
      <c r="K303" s="12"/>
      <c r="L303" s="1" t="s">
        <v>440</v>
      </c>
      <c r="M303" s="1" t="s">
        <v>479</v>
      </c>
      <c r="N303" s="14">
        <v>34661</v>
      </c>
      <c r="O303" s="1" t="s">
        <v>855</v>
      </c>
      <c r="P303" s="1" t="s">
        <v>856</v>
      </c>
      <c r="Q303" s="15" t="s">
        <v>807</v>
      </c>
      <c r="R303" s="1" t="s">
        <v>857</v>
      </c>
      <c r="S303" s="1" t="s">
        <v>868</v>
      </c>
      <c r="T303" s="1" t="s">
        <v>869</v>
      </c>
      <c r="U303" s="9" t="s">
        <v>868</v>
      </c>
      <c r="V303" s="1" t="s">
        <v>913</v>
      </c>
      <c r="W303" s="1" t="s">
        <v>1123</v>
      </c>
      <c r="X303" s="1" t="s">
        <v>168</v>
      </c>
      <c r="Y303" s="14">
        <v>45555</v>
      </c>
      <c r="Z303" s="9" t="s">
        <v>817</v>
      </c>
      <c r="AB303" s="14">
        <v>45554</v>
      </c>
      <c r="AC303" s="9" t="s">
        <v>817</v>
      </c>
      <c r="AD303" s="9" t="s">
        <v>818</v>
      </c>
      <c r="AE303" s="1" t="s">
        <v>819</v>
      </c>
      <c r="AF303" s="14" t="s">
        <v>820</v>
      </c>
      <c r="AG303" s="9" t="s">
        <v>821</v>
      </c>
      <c r="AH303" s="1" t="s">
        <v>9</v>
      </c>
      <c r="AI303" s="9" t="s">
        <v>10</v>
      </c>
      <c r="AJ303" s="1" t="s">
        <v>11</v>
      </c>
      <c r="AK303" s="1" t="s">
        <v>1845</v>
      </c>
      <c r="AL303" s="1" t="s">
        <v>1846</v>
      </c>
      <c r="AM303" s="9">
        <v>11458</v>
      </c>
      <c r="AN303" s="1" t="s">
        <v>169</v>
      </c>
      <c r="AO303" s="1" t="s">
        <v>480</v>
      </c>
      <c r="AP303" s="1" t="s">
        <v>1847</v>
      </c>
      <c r="AQ303" s="14">
        <v>45658</v>
      </c>
      <c r="AU303" s="14">
        <v>45799</v>
      </c>
      <c r="AV303" s="16">
        <v>0</v>
      </c>
      <c r="AW303" s="16">
        <v>0</v>
      </c>
      <c r="BA303" s="1" t="s">
        <v>911</v>
      </c>
      <c r="BB303" s="9">
        <v>1</v>
      </c>
      <c r="BC303" s="1" t="s">
        <v>862</v>
      </c>
      <c r="BD303" s="9" t="s">
        <v>807</v>
      </c>
      <c r="BE303" s="1" t="s">
        <v>1848</v>
      </c>
      <c r="BF303" s="1" t="s">
        <v>481</v>
      </c>
      <c r="BG303" s="1" t="s">
        <v>1849</v>
      </c>
      <c r="BH303" s="1" t="s">
        <v>1850</v>
      </c>
      <c r="BI303" s="20" t="s">
        <v>983</v>
      </c>
      <c r="BJ303" s="21" t="str">
        <f t="shared" si="4"/>
        <v>FIXO</v>
      </c>
    </row>
    <row r="304" spans="1:62" x14ac:dyDescent="0.25">
      <c r="A304" s="7">
        <v>6</v>
      </c>
      <c r="B304" s="1" t="s">
        <v>41</v>
      </c>
      <c r="C304" s="8">
        <v>6</v>
      </c>
      <c r="D304" s="9" t="s">
        <v>807</v>
      </c>
      <c r="E304" s="10">
        <v>14636</v>
      </c>
      <c r="F304" s="11" t="s">
        <v>1851</v>
      </c>
      <c r="G304" s="12" t="s">
        <v>271</v>
      </c>
      <c r="H304" s="13" t="str">
        <f>VLOOKUP(AP304,[1]Listas!A:B,2,0)</f>
        <v xml:space="preserve">FSTV </v>
      </c>
      <c r="I304" s="1" t="s">
        <v>440</v>
      </c>
      <c r="J304" s="12"/>
      <c r="K304" s="12"/>
      <c r="L304" s="1" t="s">
        <v>440</v>
      </c>
      <c r="M304" s="1" t="s">
        <v>482</v>
      </c>
      <c r="N304" s="14">
        <v>37313</v>
      </c>
      <c r="O304" s="1" t="s">
        <v>855</v>
      </c>
      <c r="P304" s="1" t="s">
        <v>856</v>
      </c>
      <c r="Q304" s="15" t="s">
        <v>807</v>
      </c>
      <c r="R304" s="1" t="s">
        <v>857</v>
      </c>
      <c r="S304" s="1" t="s">
        <v>868</v>
      </c>
      <c r="T304" s="1" t="s">
        <v>869</v>
      </c>
      <c r="U304" s="9" t="s">
        <v>880</v>
      </c>
      <c r="V304" s="1" t="s">
        <v>881</v>
      </c>
      <c r="W304" s="1" t="s">
        <v>1123</v>
      </c>
      <c r="X304" s="1" t="s">
        <v>168</v>
      </c>
      <c r="Y304" s="14">
        <v>45779</v>
      </c>
      <c r="Z304" s="9" t="s">
        <v>817</v>
      </c>
      <c r="AB304" s="14">
        <v>45659</v>
      </c>
      <c r="AC304" s="9" t="s">
        <v>817</v>
      </c>
      <c r="AD304" s="9" t="s">
        <v>818</v>
      </c>
      <c r="AE304" s="1" t="s">
        <v>819</v>
      </c>
      <c r="AF304" s="14" t="s">
        <v>820</v>
      </c>
      <c r="AG304" s="9" t="s">
        <v>821</v>
      </c>
      <c r="AH304" s="1" t="s">
        <v>9</v>
      </c>
      <c r="AI304" s="9" t="s">
        <v>10</v>
      </c>
      <c r="AJ304" s="1" t="s">
        <v>11</v>
      </c>
      <c r="AK304" s="1" t="s">
        <v>1852</v>
      </c>
      <c r="AL304" s="1" t="s">
        <v>1853</v>
      </c>
      <c r="AM304" s="9">
        <v>11443</v>
      </c>
      <c r="AN304" s="1" t="s">
        <v>114</v>
      </c>
      <c r="AO304" s="1" t="s">
        <v>480</v>
      </c>
      <c r="AP304" s="1" t="s">
        <v>1847</v>
      </c>
      <c r="AQ304" s="14">
        <v>45779</v>
      </c>
      <c r="AU304" s="14">
        <v>45799</v>
      </c>
      <c r="AV304" s="16">
        <v>0</v>
      </c>
      <c r="AW304" s="16">
        <v>0</v>
      </c>
      <c r="BA304" s="1" t="s">
        <v>911</v>
      </c>
      <c r="BB304" s="9">
        <v>1</v>
      </c>
      <c r="BC304" s="1" t="s">
        <v>862</v>
      </c>
      <c r="BD304" s="9" t="s">
        <v>807</v>
      </c>
      <c r="BE304" s="1" t="s">
        <v>1766</v>
      </c>
      <c r="BF304" s="1" t="s">
        <v>450</v>
      </c>
      <c r="BG304" s="1" t="s">
        <v>1767</v>
      </c>
      <c r="BH304" s="1" t="s">
        <v>1768</v>
      </c>
      <c r="BI304" s="20" t="s">
        <v>983</v>
      </c>
      <c r="BJ304" s="21" t="str">
        <f t="shared" si="4"/>
        <v>FIXO</v>
      </c>
    </row>
    <row r="305" spans="1:62" x14ac:dyDescent="0.25">
      <c r="A305" s="7">
        <v>6</v>
      </c>
      <c r="B305" s="1" t="s">
        <v>41</v>
      </c>
      <c r="C305" s="8">
        <v>5</v>
      </c>
      <c r="D305" s="9" t="s">
        <v>807</v>
      </c>
      <c r="E305" s="10">
        <v>14654</v>
      </c>
      <c r="F305" s="11" t="s">
        <v>1854</v>
      </c>
      <c r="G305" s="1" t="s">
        <v>41</v>
      </c>
      <c r="H305" s="13" t="str">
        <f>VLOOKUP(AP305,[1]Listas!A:B,2,0)</f>
        <v xml:space="preserve">FESP </v>
      </c>
      <c r="I305" s="12" t="s">
        <v>38</v>
      </c>
      <c r="J305" s="12"/>
      <c r="K305" s="1" t="s">
        <v>32</v>
      </c>
      <c r="L305" s="1" t="s">
        <v>79</v>
      </c>
      <c r="M305" s="1" t="s">
        <v>483</v>
      </c>
      <c r="N305" s="14">
        <v>37123</v>
      </c>
      <c r="O305" s="1" t="s">
        <v>855</v>
      </c>
      <c r="P305" s="1" t="s">
        <v>856</v>
      </c>
      <c r="Q305" s="15" t="s">
        <v>807</v>
      </c>
      <c r="R305" s="1" t="s">
        <v>857</v>
      </c>
      <c r="S305" s="1" t="s">
        <v>868</v>
      </c>
      <c r="T305" s="1" t="s">
        <v>869</v>
      </c>
      <c r="U305" s="9" t="s">
        <v>951</v>
      </c>
      <c r="V305" s="1" t="s">
        <v>952</v>
      </c>
      <c r="W305" s="1" t="s">
        <v>871</v>
      </c>
      <c r="X305" s="1" t="s">
        <v>34</v>
      </c>
      <c r="Y305" s="14">
        <v>45537</v>
      </c>
      <c r="Z305" s="9" t="s">
        <v>817</v>
      </c>
      <c r="AB305" s="14">
        <v>44908</v>
      </c>
      <c r="AC305" s="9" t="s">
        <v>817</v>
      </c>
      <c r="AD305" s="9" t="s">
        <v>818</v>
      </c>
      <c r="AE305" s="1" t="s">
        <v>819</v>
      </c>
      <c r="AF305" s="14" t="s">
        <v>820</v>
      </c>
      <c r="AG305" s="9" t="s">
        <v>821</v>
      </c>
      <c r="AH305" s="1" t="s">
        <v>9</v>
      </c>
      <c r="AI305" s="9" t="s">
        <v>10</v>
      </c>
      <c r="AJ305" s="1" t="s">
        <v>11</v>
      </c>
      <c r="AK305" s="1" t="s">
        <v>1756</v>
      </c>
      <c r="AL305" s="1" t="s">
        <v>919</v>
      </c>
      <c r="AM305" s="9">
        <v>11377</v>
      </c>
      <c r="AN305" s="1" t="s">
        <v>56</v>
      </c>
      <c r="AO305" s="1" t="s">
        <v>36</v>
      </c>
      <c r="AP305" s="1" t="s">
        <v>874</v>
      </c>
      <c r="AQ305" s="14">
        <v>45658</v>
      </c>
      <c r="AU305" s="14">
        <v>45799</v>
      </c>
      <c r="AV305" s="16">
        <v>0</v>
      </c>
      <c r="AW305" s="16">
        <v>0</v>
      </c>
      <c r="BA305" s="1" t="s">
        <v>911</v>
      </c>
      <c r="BB305" s="9">
        <v>1</v>
      </c>
      <c r="BC305" s="1" t="s">
        <v>862</v>
      </c>
      <c r="BD305" s="9" t="s">
        <v>807</v>
      </c>
      <c r="BE305" s="1" t="s">
        <v>863</v>
      </c>
      <c r="BF305" s="1" t="s">
        <v>32</v>
      </c>
      <c r="BG305" s="1" t="s">
        <v>864</v>
      </c>
      <c r="BH305" s="1" t="s">
        <v>865</v>
      </c>
      <c r="BI305" s="1" t="s">
        <v>916</v>
      </c>
      <c r="BJ305" s="21" t="str">
        <f t="shared" si="4"/>
        <v>FIXO</v>
      </c>
    </row>
    <row r="306" spans="1:62" x14ac:dyDescent="0.25">
      <c r="A306" s="7">
        <v>6</v>
      </c>
      <c r="B306" s="1" t="s">
        <v>41</v>
      </c>
      <c r="C306" s="8">
        <v>6</v>
      </c>
      <c r="D306" s="9" t="s">
        <v>807</v>
      </c>
      <c r="E306" s="10">
        <v>14719</v>
      </c>
      <c r="F306" s="11" t="s">
        <v>1855</v>
      </c>
      <c r="G306" s="12" t="s">
        <v>271</v>
      </c>
      <c r="H306" s="13" t="str">
        <f>VLOOKUP(AP306,[1]Listas!A:B,2,0)</f>
        <v xml:space="preserve">FSTV </v>
      </c>
      <c r="I306" s="1" t="s">
        <v>440</v>
      </c>
      <c r="J306" s="12"/>
      <c r="K306" s="12"/>
      <c r="L306" s="1" t="s">
        <v>440</v>
      </c>
      <c r="M306" s="1" t="s">
        <v>484</v>
      </c>
      <c r="N306" s="14">
        <v>36157</v>
      </c>
      <c r="O306" s="1" t="s">
        <v>855</v>
      </c>
      <c r="P306" s="1" t="s">
        <v>856</v>
      </c>
      <c r="Q306" s="15" t="s">
        <v>807</v>
      </c>
      <c r="R306" s="1" t="s">
        <v>857</v>
      </c>
      <c r="S306" s="1" t="s">
        <v>1017</v>
      </c>
      <c r="U306" s="9" t="s">
        <v>868</v>
      </c>
      <c r="V306" s="1" t="s">
        <v>913</v>
      </c>
      <c r="W306" s="1" t="s">
        <v>1425</v>
      </c>
      <c r="X306" s="1" t="s">
        <v>301</v>
      </c>
      <c r="Y306" s="14">
        <v>45799</v>
      </c>
      <c r="Z306" s="9" t="s">
        <v>817</v>
      </c>
      <c r="AB306" s="14">
        <v>44931</v>
      </c>
      <c r="AC306" s="9" t="s">
        <v>817</v>
      </c>
      <c r="AD306" s="9" t="s">
        <v>818</v>
      </c>
      <c r="AE306" s="1" t="s">
        <v>819</v>
      </c>
      <c r="AF306" s="14" t="s">
        <v>820</v>
      </c>
      <c r="AG306" s="9" t="s">
        <v>821</v>
      </c>
      <c r="AH306" s="1" t="s">
        <v>9</v>
      </c>
      <c r="AI306" s="9" t="s">
        <v>10</v>
      </c>
      <c r="AJ306" s="1" t="s">
        <v>11</v>
      </c>
      <c r="AK306" s="1" t="s">
        <v>1856</v>
      </c>
      <c r="AL306" s="1" t="s">
        <v>1857</v>
      </c>
      <c r="AM306" s="9">
        <v>11443</v>
      </c>
      <c r="AN306" s="1" t="s">
        <v>114</v>
      </c>
      <c r="AO306" s="1" t="s">
        <v>439</v>
      </c>
      <c r="AP306" s="1" t="s">
        <v>1748</v>
      </c>
      <c r="AQ306" s="14">
        <v>45799</v>
      </c>
      <c r="AU306" s="14">
        <v>45799</v>
      </c>
      <c r="AV306" s="16">
        <v>0</v>
      </c>
      <c r="AW306" s="16">
        <v>0</v>
      </c>
      <c r="BA306" s="1" t="s">
        <v>911</v>
      </c>
      <c r="BB306" s="9">
        <v>7</v>
      </c>
      <c r="BC306" s="1" t="s">
        <v>826</v>
      </c>
      <c r="BD306" s="9" t="s">
        <v>807</v>
      </c>
      <c r="BE306" s="1" t="s">
        <v>1766</v>
      </c>
      <c r="BF306" s="1" t="s">
        <v>450</v>
      </c>
      <c r="BG306" s="1" t="s">
        <v>1767</v>
      </c>
      <c r="BH306" s="1" t="s">
        <v>1768</v>
      </c>
      <c r="BI306" s="20" t="s">
        <v>983</v>
      </c>
      <c r="BJ306" s="21" t="str">
        <f t="shared" si="4"/>
        <v>FIXO</v>
      </c>
    </row>
    <row r="307" spans="1:62" x14ac:dyDescent="0.25">
      <c r="A307" s="7">
        <v>6</v>
      </c>
      <c r="B307" s="1" t="s">
        <v>41</v>
      </c>
      <c r="C307" s="8">
        <v>6</v>
      </c>
      <c r="D307" s="9" t="s">
        <v>807</v>
      </c>
      <c r="E307" s="10">
        <v>15368</v>
      </c>
      <c r="F307" s="11" t="s">
        <v>1858</v>
      </c>
      <c r="G307" s="12" t="s">
        <v>271</v>
      </c>
      <c r="H307" s="13" t="str">
        <f>VLOOKUP(AP307,[1]Listas!A:B,2,0)</f>
        <v xml:space="preserve">FSTV </v>
      </c>
      <c r="I307" s="1" t="s">
        <v>440</v>
      </c>
      <c r="J307" s="12"/>
      <c r="K307" s="12"/>
      <c r="L307" s="12" t="s">
        <v>1744</v>
      </c>
      <c r="M307" s="1" t="s">
        <v>1859</v>
      </c>
      <c r="N307" s="14">
        <v>32459</v>
      </c>
      <c r="O307" s="1" t="s">
        <v>855</v>
      </c>
      <c r="P307" s="1" t="s">
        <v>856</v>
      </c>
      <c r="Q307" s="15" t="s">
        <v>814</v>
      </c>
      <c r="R307" s="1" t="s">
        <v>1075</v>
      </c>
      <c r="S307" s="1" t="s">
        <v>1017</v>
      </c>
      <c r="U307" s="9" t="s">
        <v>811</v>
      </c>
      <c r="V307" s="1" t="s">
        <v>870</v>
      </c>
      <c r="W307" s="1" t="s">
        <v>1334</v>
      </c>
      <c r="X307" s="1" t="s">
        <v>274</v>
      </c>
      <c r="Y307" s="14">
        <v>45093</v>
      </c>
      <c r="Z307" s="9" t="s">
        <v>817</v>
      </c>
      <c r="AB307" s="14">
        <v>45092</v>
      </c>
      <c r="AC307" s="9" t="s">
        <v>817</v>
      </c>
      <c r="AD307" s="9" t="s">
        <v>818</v>
      </c>
      <c r="AE307" s="1" t="s">
        <v>819</v>
      </c>
      <c r="AF307" s="14" t="s">
        <v>820</v>
      </c>
      <c r="AG307" s="9" t="s">
        <v>821</v>
      </c>
      <c r="AH307" s="1" t="s">
        <v>9</v>
      </c>
      <c r="AI307" s="9" t="s">
        <v>10</v>
      </c>
      <c r="AJ307" s="1" t="s">
        <v>11</v>
      </c>
      <c r="AK307" s="1" t="s">
        <v>1860</v>
      </c>
      <c r="AL307" s="1" t="s">
        <v>1861</v>
      </c>
      <c r="AM307" s="9">
        <v>11479</v>
      </c>
      <c r="AN307" s="1" t="s">
        <v>1862</v>
      </c>
      <c r="AO307" s="1" t="s">
        <v>461</v>
      </c>
      <c r="AP307" s="1" t="s">
        <v>1806</v>
      </c>
      <c r="AQ307" s="14">
        <v>45658</v>
      </c>
      <c r="AU307" s="14">
        <v>45799</v>
      </c>
      <c r="AV307" s="16">
        <v>0</v>
      </c>
      <c r="AW307" s="16">
        <v>0</v>
      </c>
      <c r="BA307" s="1" t="s">
        <v>911</v>
      </c>
      <c r="BB307" s="9">
        <v>1</v>
      </c>
      <c r="BC307" s="1" t="s">
        <v>862</v>
      </c>
      <c r="BD307" s="9" t="s">
        <v>807</v>
      </c>
      <c r="BE307" s="1" t="s">
        <v>1017</v>
      </c>
      <c r="BI307" s="20" t="s">
        <v>878</v>
      </c>
      <c r="BJ307" s="21" t="str">
        <f t="shared" si="4"/>
        <v>FIXO</v>
      </c>
    </row>
    <row r="308" spans="1:62" x14ac:dyDescent="0.25">
      <c r="A308" s="7">
        <v>6</v>
      </c>
      <c r="B308" s="1" t="s">
        <v>41</v>
      </c>
      <c r="C308" s="8">
        <v>6</v>
      </c>
      <c r="D308" s="9" t="s">
        <v>807</v>
      </c>
      <c r="E308" s="10">
        <v>15399</v>
      </c>
      <c r="F308" s="11" t="s">
        <v>1863</v>
      </c>
      <c r="G308" s="12" t="s">
        <v>271</v>
      </c>
      <c r="H308" s="13" t="str">
        <f>VLOOKUP(AP308,[1]Listas!A:B,2,0)</f>
        <v xml:space="preserve">FSTV </v>
      </c>
      <c r="I308" s="1" t="s">
        <v>440</v>
      </c>
      <c r="J308" s="12"/>
      <c r="K308" s="12"/>
      <c r="L308" s="1" t="s">
        <v>440</v>
      </c>
      <c r="M308" s="1" t="s">
        <v>485</v>
      </c>
      <c r="N308" s="14">
        <v>34367</v>
      </c>
      <c r="O308" s="1" t="s">
        <v>809</v>
      </c>
      <c r="P308" s="1" t="s">
        <v>810</v>
      </c>
      <c r="Q308" s="15" t="s">
        <v>814</v>
      </c>
      <c r="R308" s="1" t="s">
        <v>1075</v>
      </c>
      <c r="S308" s="1" t="s">
        <v>1017</v>
      </c>
      <c r="U308" s="9" t="s">
        <v>868</v>
      </c>
      <c r="V308" s="1" t="s">
        <v>913</v>
      </c>
      <c r="W308" s="1" t="s">
        <v>1051</v>
      </c>
      <c r="X308" s="1" t="s">
        <v>126</v>
      </c>
      <c r="Y308" s="14">
        <v>45254</v>
      </c>
      <c r="Z308" s="9" t="s">
        <v>817</v>
      </c>
      <c r="AB308" s="14">
        <v>45097</v>
      </c>
      <c r="AC308" s="9" t="s">
        <v>817</v>
      </c>
      <c r="AD308" s="9" t="s">
        <v>818</v>
      </c>
      <c r="AE308" s="1" t="s">
        <v>819</v>
      </c>
      <c r="AF308" s="14" t="s">
        <v>820</v>
      </c>
      <c r="AG308" s="9" t="s">
        <v>821</v>
      </c>
      <c r="AH308" s="1" t="s">
        <v>9</v>
      </c>
      <c r="AI308" s="9" t="s">
        <v>10</v>
      </c>
      <c r="AJ308" s="1" t="s">
        <v>11</v>
      </c>
      <c r="AK308" s="1" t="s">
        <v>1864</v>
      </c>
      <c r="AL308" s="1" t="s">
        <v>1865</v>
      </c>
      <c r="AM308" s="9">
        <v>11455</v>
      </c>
      <c r="AN308" s="1" t="s">
        <v>127</v>
      </c>
      <c r="AO308" s="1" t="s">
        <v>468</v>
      </c>
      <c r="AP308" s="1" t="s">
        <v>1824</v>
      </c>
      <c r="AQ308" s="14">
        <v>45658</v>
      </c>
      <c r="AU308" s="14">
        <v>45799</v>
      </c>
      <c r="AV308" s="16">
        <v>0</v>
      </c>
      <c r="AW308" s="16">
        <v>0</v>
      </c>
      <c r="BA308" s="1" t="s">
        <v>911</v>
      </c>
      <c r="BB308" s="9">
        <v>33</v>
      </c>
      <c r="BC308" s="1" t="s">
        <v>1825</v>
      </c>
      <c r="BD308" s="9" t="s">
        <v>807</v>
      </c>
      <c r="BE308" s="1" t="s">
        <v>850</v>
      </c>
      <c r="BF308" s="1" t="s">
        <v>27</v>
      </c>
      <c r="BG308" s="1" t="s">
        <v>851</v>
      </c>
      <c r="BH308" s="1" t="s">
        <v>852</v>
      </c>
      <c r="BI308" s="20" t="s">
        <v>1055</v>
      </c>
      <c r="BJ308" s="21" t="str">
        <f t="shared" si="4"/>
        <v>FIXO</v>
      </c>
    </row>
    <row r="309" spans="1:62" x14ac:dyDescent="0.25">
      <c r="A309" s="7">
        <v>6</v>
      </c>
      <c r="B309" s="1" t="s">
        <v>41</v>
      </c>
      <c r="C309" s="8">
        <v>6</v>
      </c>
      <c r="D309" s="9" t="s">
        <v>807</v>
      </c>
      <c r="E309" s="10">
        <v>15949</v>
      </c>
      <c r="F309" s="11" t="s">
        <v>1866</v>
      </c>
      <c r="G309" s="12" t="s">
        <v>271</v>
      </c>
      <c r="H309" s="13" t="str">
        <f>VLOOKUP(AP309,[1]Listas!A:B,2,0)</f>
        <v xml:space="preserve">FSTV </v>
      </c>
      <c r="I309" s="1" t="s">
        <v>440</v>
      </c>
      <c r="J309" s="12"/>
      <c r="K309" s="1"/>
      <c r="L309" s="12"/>
      <c r="M309" s="1" t="s">
        <v>450</v>
      </c>
      <c r="N309" s="14">
        <v>31073</v>
      </c>
      <c r="O309" s="1" t="s">
        <v>855</v>
      </c>
      <c r="P309" s="1" t="s">
        <v>856</v>
      </c>
      <c r="Q309" s="15" t="s">
        <v>811</v>
      </c>
      <c r="R309" s="1" t="s">
        <v>812</v>
      </c>
      <c r="S309" s="1" t="s">
        <v>868</v>
      </c>
      <c r="T309" s="1" t="s">
        <v>869</v>
      </c>
      <c r="U309" s="9" t="s">
        <v>880</v>
      </c>
      <c r="V309" s="1" t="s">
        <v>881</v>
      </c>
      <c r="W309" s="1" t="s">
        <v>1867</v>
      </c>
      <c r="X309" s="1" t="s">
        <v>486</v>
      </c>
      <c r="Y309" s="14">
        <v>45175</v>
      </c>
      <c r="Z309" s="9" t="s">
        <v>817</v>
      </c>
      <c r="AB309" s="14">
        <v>45174</v>
      </c>
      <c r="AC309" s="9" t="s">
        <v>817</v>
      </c>
      <c r="AD309" s="9" t="s">
        <v>818</v>
      </c>
      <c r="AE309" s="1" t="s">
        <v>819</v>
      </c>
      <c r="AF309" s="14" t="s">
        <v>820</v>
      </c>
      <c r="AG309" s="9" t="s">
        <v>821</v>
      </c>
      <c r="AH309" s="1" t="s">
        <v>9</v>
      </c>
      <c r="AI309" s="9" t="s">
        <v>10</v>
      </c>
      <c r="AJ309" s="1" t="s">
        <v>11</v>
      </c>
      <c r="AK309" s="1" t="s">
        <v>1767</v>
      </c>
      <c r="AL309" s="1" t="s">
        <v>1768</v>
      </c>
      <c r="AM309" s="9">
        <v>11436</v>
      </c>
      <c r="AN309" s="1" t="s">
        <v>62</v>
      </c>
      <c r="AO309" s="1" t="s">
        <v>487</v>
      </c>
      <c r="AP309" s="1" t="s">
        <v>1868</v>
      </c>
      <c r="AQ309" s="14">
        <v>45658</v>
      </c>
      <c r="AU309" s="14">
        <v>45799</v>
      </c>
      <c r="AV309" s="16">
        <v>0</v>
      </c>
      <c r="AW309" s="16">
        <v>0</v>
      </c>
      <c r="BA309" s="1" t="s">
        <v>911</v>
      </c>
      <c r="BB309" s="9">
        <v>1</v>
      </c>
      <c r="BC309" s="1" t="s">
        <v>862</v>
      </c>
      <c r="BD309" s="9" t="s">
        <v>807</v>
      </c>
      <c r="BE309" s="1" t="s">
        <v>1869</v>
      </c>
      <c r="BF309" s="1" t="s">
        <v>440</v>
      </c>
      <c r="BG309" s="1" t="s">
        <v>1752</v>
      </c>
      <c r="BH309" s="1" t="s">
        <v>1753</v>
      </c>
      <c r="BI309" s="20" t="s">
        <v>916</v>
      </c>
      <c r="BJ309" s="21" t="str">
        <f t="shared" si="4"/>
        <v>FIXO</v>
      </c>
    </row>
    <row r="310" spans="1:62" x14ac:dyDescent="0.25">
      <c r="A310" s="7">
        <v>6</v>
      </c>
      <c r="B310" s="1" t="s">
        <v>41</v>
      </c>
      <c r="C310" s="8">
        <v>6</v>
      </c>
      <c r="D310" s="9" t="s">
        <v>807</v>
      </c>
      <c r="E310" s="10">
        <v>16012</v>
      </c>
      <c r="F310" s="11" t="s">
        <v>1870</v>
      </c>
      <c r="G310" s="12" t="s">
        <v>271</v>
      </c>
      <c r="H310" s="13" t="str">
        <f>VLOOKUP(AP310,[1]Listas!A:B,2,0)</f>
        <v xml:space="preserve">FSTV </v>
      </c>
      <c r="I310" s="1" t="s">
        <v>440</v>
      </c>
      <c r="J310" s="12"/>
      <c r="K310" s="12"/>
      <c r="L310" s="1"/>
      <c r="M310" s="1" t="s">
        <v>488</v>
      </c>
      <c r="N310" s="14">
        <v>36198</v>
      </c>
      <c r="O310" s="1" t="s">
        <v>855</v>
      </c>
      <c r="P310" s="1" t="s">
        <v>856</v>
      </c>
      <c r="Q310" s="15" t="s">
        <v>807</v>
      </c>
      <c r="R310" s="1" t="s">
        <v>857</v>
      </c>
      <c r="S310" s="1" t="s">
        <v>868</v>
      </c>
      <c r="T310" s="1" t="s">
        <v>869</v>
      </c>
      <c r="U310" s="9" t="s">
        <v>1046</v>
      </c>
      <c r="V310" s="1" t="s">
        <v>1047</v>
      </c>
      <c r="W310" s="1" t="s">
        <v>858</v>
      </c>
      <c r="X310" s="1" t="s">
        <v>29</v>
      </c>
      <c r="Y310" s="14">
        <v>45799</v>
      </c>
      <c r="Z310" s="9" t="s">
        <v>817</v>
      </c>
      <c r="AB310" s="14">
        <v>45184</v>
      </c>
      <c r="AC310" s="9" t="s">
        <v>817</v>
      </c>
      <c r="AD310" s="9" t="s">
        <v>818</v>
      </c>
      <c r="AE310" s="1" t="s">
        <v>819</v>
      </c>
      <c r="AF310" s="14" t="s">
        <v>820</v>
      </c>
      <c r="AG310" s="9" t="s">
        <v>835</v>
      </c>
      <c r="AH310" s="1" t="s">
        <v>17</v>
      </c>
      <c r="AI310" s="9" t="s">
        <v>10</v>
      </c>
      <c r="AJ310" s="1" t="s">
        <v>11</v>
      </c>
      <c r="AK310" s="1" t="s">
        <v>1871</v>
      </c>
      <c r="AL310" s="1" t="s">
        <v>1872</v>
      </c>
      <c r="AM310" s="9">
        <v>11424</v>
      </c>
      <c r="AN310" s="1" t="s">
        <v>40</v>
      </c>
      <c r="AO310" s="1" t="s">
        <v>442</v>
      </c>
      <c r="AP310" s="1" t="s">
        <v>1754</v>
      </c>
      <c r="AQ310" s="14">
        <v>45901</v>
      </c>
      <c r="AU310" s="14">
        <v>45799</v>
      </c>
      <c r="AV310" s="16">
        <v>0</v>
      </c>
      <c r="AW310" s="16">
        <v>0</v>
      </c>
      <c r="BA310" s="1" t="s">
        <v>911</v>
      </c>
      <c r="BB310" s="9">
        <v>7</v>
      </c>
      <c r="BC310" s="1" t="s">
        <v>826</v>
      </c>
      <c r="BD310" s="9" t="s">
        <v>807</v>
      </c>
      <c r="BE310" s="1" t="s">
        <v>1869</v>
      </c>
      <c r="BF310" s="1" t="s">
        <v>440</v>
      </c>
      <c r="BG310" s="1" t="s">
        <v>1752</v>
      </c>
      <c r="BH310" s="1" t="s">
        <v>1753</v>
      </c>
      <c r="BI310" s="20" t="s">
        <v>866</v>
      </c>
      <c r="BJ310" s="21" t="str">
        <f t="shared" si="4"/>
        <v>FIXO</v>
      </c>
    </row>
    <row r="311" spans="1:62" x14ac:dyDescent="0.25">
      <c r="A311" s="7">
        <v>6</v>
      </c>
      <c r="B311" s="1" t="s">
        <v>41</v>
      </c>
      <c r="C311" s="8">
        <v>6</v>
      </c>
      <c r="D311" s="9" t="s">
        <v>807</v>
      </c>
      <c r="E311" s="10">
        <v>16097</v>
      </c>
      <c r="F311" s="11" t="s">
        <v>1873</v>
      </c>
      <c r="G311" s="12" t="s">
        <v>271</v>
      </c>
      <c r="H311" s="13" t="str">
        <f>VLOOKUP(AP311,[1]Listas!A:B,2,0)</f>
        <v xml:space="preserve">FSTV </v>
      </c>
      <c r="I311" s="1" t="s">
        <v>440</v>
      </c>
      <c r="J311" s="12"/>
      <c r="K311" s="12"/>
      <c r="L311" s="12" t="s">
        <v>1744</v>
      </c>
      <c r="M311" s="1" t="s">
        <v>1874</v>
      </c>
      <c r="N311" s="14">
        <v>34143</v>
      </c>
      <c r="O311" s="1" t="s">
        <v>855</v>
      </c>
      <c r="P311" s="1" t="s">
        <v>856</v>
      </c>
      <c r="Q311" s="15" t="s">
        <v>807</v>
      </c>
      <c r="R311" s="1" t="s">
        <v>857</v>
      </c>
      <c r="S311" s="1" t="s">
        <v>1017</v>
      </c>
      <c r="U311" s="9" t="s">
        <v>814</v>
      </c>
      <c r="V311" s="1" t="s">
        <v>815</v>
      </c>
      <c r="W311" s="1" t="s">
        <v>871</v>
      </c>
      <c r="X311" s="1" t="s">
        <v>34</v>
      </c>
      <c r="Y311" s="14">
        <v>45353</v>
      </c>
      <c r="Z311" s="9" t="s">
        <v>817</v>
      </c>
      <c r="AB311" s="14">
        <v>45203</v>
      </c>
      <c r="AC311" s="9" t="s">
        <v>817</v>
      </c>
      <c r="AD311" s="9" t="s">
        <v>818</v>
      </c>
      <c r="AE311" s="1" t="s">
        <v>819</v>
      </c>
      <c r="AF311" s="14" t="s">
        <v>820</v>
      </c>
      <c r="AG311" s="9" t="s">
        <v>821</v>
      </c>
      <c r="AH311" s="1" t="s">
        <v>9</v>
      </c>
      <c r="AI311" s="9" t="s">
        <v>10</v>
      </c>
      <c r="AJ311" s="1" t="s">
        <v>11</v>
      </c>
      <c r="AK311" s="1" t="s">
        <v>1816</v>
      </c>
      <c r="AL311" s="1" t="s">
        <v>1817</v>
      </c>
      <c r="AM311" s="9">
        <v>11473</v>
      </c>
      <c r="AN311" s="1" t="s">
        <v>293</v>
      </c>
      <c r="AO311" s="1" t="s">
        <v>439</v>
      </c>
      <c r="AP311" s="1" t="s">
        <v>1748</v>
      </c>
      <c r="AQ311" s="14">
        <v>45658</v>
      </c>
      <c r="AU311" s="14">
        <v>45799</v>
      </c>
      <c r="AV311" s="16">
        <v>0</v>
      </c>
      <c r="AW311" s="16">
        <v>0</v>
      </c>
      <c r="BA311" s="1" t="s">
        <v>911</v>
      </c>
      <c r="BB311" s="9">
        <v>7</v>
      </c>
      <c r="BC311" s="1" t="s">
        <v>826</v>
      </c>
      <c r="BD311" s="9" t="s">
        <v>807</v>
      </c>
      <c r="BE311" s="1" t="s">
        <v>1017</v>
      </c>
      <c r="BI311" s="20" t="s">
        <v>1118</v>
      </c>
      <c r="BJ311" s="21" t="str">
        <f t="shared" si="4"/>
        <v>FIXO</v>
      </c>
    </row>
    <row r="312" spans="1:62" x14ac:dyDescent="0.25">
      <c r="A312" s="7">
        <v>6</v>
      </c>
      <c r="B312" s="1" t="s">
        <v>41</v>
      </c>
      <c r="C312" s="8">
        <v>5</v>
      </c>
      <c r="D312" s="9" t="s">
        <v>807</v>
      </c>
      <c r="E312" s="10">
        <v>16447</v>
      </c>
      <c r="F312" s="11" t="s">
        <v>1875</v>
      </c>
      <c r="G312" s="1" t="s">
        <v>41</v>
      </c>
      <c r="H312" s="13" t="str">
        <f>VLOOKUP(AP312,[1]Listas!A:B,2,0)</f>
        <v xml:space="preserve">FESP </v>
      </c>
      <c r="I312" s="1" t="s">
        <v>38</v>
      </c>
      <c r="J312" s="12"/>
      <c r="K312" s="1" t="s">
        <v>245</v>
      </c>
      <c r="L312" s="1" t="s">
        <v>136</v>
      </c>
      <c r="M312" s="1" t="s">
        <v>489</v>
      </c>
      <c r="N312" s="14">
        <v>27917</v>
      </c>
      <c r="O312" s="1" t="s">
        <v>855</v>
      </c>
      <c r="P312" s="1" t="s">
        <v>856</v>
      </c>
      <c r="Q312" s="15" t="s">
        <v>811</v>
      </c>
      <c r="R312" s="1" t="s">
        <v>812</v>
      </c>
      <c r="S312" s="1" t="s">
        <v>868</v>
      </c>
      <c r="T312" s="1" t="s">
        <v>869</v>
      </c>
      <c r="U312" s="9" t="s">
        <v>1031</v>
      </c>
      <c r="V312" s="1" t="s">
        <v>1100</v>
      </c>
      <c r="W312" s="1" t="s">
        <v>1430</v>
      </c>
      <c r="X312" s="1" t="s">
        <v>303</v>
      </c>
      <c r="Y312" s="14">
        <v>45240</v>
      </c>
      <c r="Z312" s="9" t="s">
        <v>817</v>
      </c>
      <c r="AB312" s="14">
        <v>45239</v>
      </c>
      <c r="AC312" s="9" t="s">
        <v>817</v>
      </c>
      <c r="AD312" s="9" t="s">
        <v>818</v>
      </c>
      <c r="AE312" s="1" t="s">
        <v>819</v>
      </c>
      <c r="AF312" s="14" t="s">
        <v>820</v>
      </c>
      <c r="AG312" s="9" t="s">
        <v>821</v>
      </c>
      <c r="AH312" s="1" t="s">
        <v>9</v>
      </c>
      <c r="AI312" s="9" t="s">
        <v>10</v>
      </c>
      <c r="AJ312" s="1" t="s">
        <v>11</v>
      </c>
      <c r="AK312" s="1" t="s">
        <v>1795</v>
      </c>
      <c r="AL312" s="1" t="s">
        <v>1796</v>
      </c>
      <c r="AM312" s="9">
        <v>11369</v>
      </c>
      <c r="AN312" s="1" t="s">
        <v>138</v>
      </c>
      <c r="AO312" s="1" t="s">
        <v>454</v>
      </c>
      <c r="AP312" s="1" t="s">
        <v>1790</v>
      </c>
      <c r="AQ312" s="14">
        <v>45658</v>
      </c>
      <c r="AU312" s="14">
        <v>45689</v>
      </c>
      <c r="AV312" s="16">
        <v>0</v>
      </c>
      <c r="AW312" s="16">
        <v>0</v>
      </c>
      <c r="BA312" s="1" t="s">
        <v>911</v>
      </c>
      <c r="BB312" s="9">
        <v>1</v>
      </c>
      <c r="BC312" s="1" t="s">
        <v>862</v>
      </c>
      <c r="BD312" s="9" t="s">
        <v>807</v>
      </c>
      <c r="BE312" s="1" t="s">
        <v>1797</v>
      </c>
      <c r="BF312" s="1" t="s">
        <v>136</v>
      </c>
      <c r="BG312" s="1" t="s">
        <v>1070</v>
      </c>
      <c r="BH312" s="1" t="s">
        <v>1071</v>
      </c>
      <c r="BI312" s="1" t="s">
        <v>1073</v>
      </c>
      <c r="BJ312" s="21" t="str">
        <f t="shared" si="4"/>
        <v>FIXO</v>
      </c>
    </row>
    <row r="313" spans="1:62" x14ac:dyDescent="0.25">
      <c r="A313" s="7">
        <v>6</v>
      </c>
      <c r="B313" s="1" t="s">
        <v>41</v>
      </c>
      <c r="C313" s="8">
        <v>9</v>
      </c>
      <c r="D313" s="9" t="s">
        <v>807</v>
      </c>
      <c r="E313" s="10">
        <v>16935</v>
      </c>
      <c r="F313" s="11" t="s">
        <v>1876</v>
      </c>
      <c r="G313" s="12" t="s">
        <v>41</v>
      </c>
      <c r="H313" s="13" t="str">
        <f>VLOOKUP(AP313,[1]Listas!A:B,2,0)</f>
        <v xml:space="preserve">FBLA </v>
      </c>
      <c r="I313" s="1" t="s">
        <v>444</v>
      </c>
      <c r="J313" s="12"/>
      <c r="K313" s="12"/>
      <c r="L313" s="1" t="s">
        <v>458</v>
      </c>
      <c r="M313" s="1" t="s">
        <v>1744</v>
      </c>
      <c r="N313" s="14">
        <v>38757</v>
      </c>
      <c r="O313" s="1" t="s">
        <v>855</v>
      </c>
      <c r="P313" s="1" t="s">
        <v>856</v>
      </c>
      <c r="Q313" s="15" t="s">
        <v>807</v>
      </c>
      <c r="R313" s="1" t="s">
        <v>857</v>
      </c>
      <c r="S313" s="1" t="s">
        <v>807</v>
      </c>
      <c r="T313" s="1" t="s">
        <v>813</v>
      </c>
      <c r="U313" s="9" t="s">
        <v>951</v>
      </c>
      <c r="V313" s="1" t="s">
        <v>952</v>
      </c>
      <c r="W313" s="1" t="s">
        <v>1196</v>
      </c>
      <c r="X313" s="1" t="s">
        <v>211</v>
      </c>
      <c r="Y313" s="14">
        <v>45538</v>
      </c>
      <c r="Z313" s="9" t="s">
        <v>817</v>
      </c>
      <c r="AB313" s="14">
        <v>45299</v>
      </c>
      <c r="AC313" s="9" t="s">
        <v>817</v>
      </c>
      <c r="AD313" s="9" t="s">
        <v>818</v>
      </c>
      <c r="AE313" s="1" t="s">
        <v>819</v>
      </c>
      <c r="AF313" s="14" t="s">
        <v>820</v>
      </c>
      <c r="AG313" s="9" t="s">
        <v>835</v>
      </c>
      <c r="AH313" s="1" t="s">
        <v>17</v>
      </c>
      <c r="AI313" s="9" t="s">
        <v>10</v>
      </c>
      <c r="AJ313" s="1" t="s">
        <v>11</v>
      </c>
      <c r="AK313" s="1" t="s">
        <v>1877</v>
      </c>
      <c r="AL313" s="1" t="s">
        <v>1878</v>
      </c>
      <c r="AM313" s="9">
        <v>11737</v>
      </c>
      <c r="AN313" s="1" t="s">
        <v>185</v>
      </c>
      <c r="AO313" s="1" t="s">
        <v>1879</v>
      </c>
      <c r="AP313" s="1" t="s">
        <v>1880</v>
      </c>
      <c r="AQ313" s="14">
        <v>45658</v>
      </c>
      <c r="AU313" s="14">
        <v>45799</v>
      </c>
      <c r="AV313" s="16">
        <v>0</v>
      </c>
      <c r="AW313" s="16">
        <v>0</v>
      </c>
      <c r="BA313" s="1" t="s">
        <v>911</v>
      </c>
      <c r="BB313" s="9">
        <v>1</v>
      </c>
      <c r="BC313" s="1" t="s">
        <v>862</v>
      </c>
      <c r="BD313" s="9" t="s">
        <v>807</v>
      </c>
      <c r="BE313" s="1" t="s">
        <v>1017</v>
      </c>
      <c r="BI313" s="20" t="s">
        <v>1044</v>
      </c>
      <c r="BJ313" s="21" t="str">
        <f t="shared" si="4"/>
        <v>FIXO</v>
      </c>
    </row>
    <row r="314" spans="1:62" x14ac:dyDescent="0.25">
      <c r="A314" s="7">
        <v>6</v>
      </c>
      <c r="B314" s="1" t="s">
        <v>41</v>
      </c>
      <c r="C314" s="8">
        <v>5</v>
      </c>
      <c r="D314" s="9" t="s">
        <v>807</v>
      </c>
      <c r="E314" s="10">
        <v>16938</v>
      </c>
      <c r="F314" s="11" t="s">
        <v>1881</v>
      </c>
      <c r="G314" s="1" t="s">
        <v>41</v>
      </c>
      <c r="H314" s="13" t="str">
        <f>VLOOKUP(AP314,[1]Listas!A:B,2,0)</f>
        <v xml:space="preserve">FESP </v>
      </c>
      <c r="I314" s="1" t="s">
        <v>38</v>
      </c>
      <c r="J314" s="1" t="s">
        <v>37</v>
      </c>
      <c r="K314" s="12"/>
      <c r="L314" s="12"/>
      <c r="M314" s="1" t="s">
        <v>490</v>
      </c>
      <c r="N314" s="14">
        <v>37182</v>
      </c>
      <c r="O314" s="1" t="s">
        <v>855</v>
      </c>
      <c r="P314" s="1" t="s">
        <v>856</v>
      </c>
      <c r="Q314" s="15" t="s">
        <v>807</v>
      </c>
      <c r="R314" s="1" t="s">
        <v>857</v>
      </c>
      <c r="S314" s="1" t="s">
        <v>868</v>
      </c>
      <c r="T314" s="1" t="s">
        <v>869</v>
      </c>
      <c r="U314" s="9" t="s">
        <v>814</v>
      </c>
      <c r="V314" s="1" t="s">
        <v>815</v>
      </c>
      <c r="W314" s="1" t="s">
        <v>858</v>
      </c>
      <c r="X314" s="1" t="s">
        <v>29</v>
      </c>
      <c r="Y314" s="14">
        <v>45778</v>
      </c>
      <c r="Z314" s="9" t="s">
        <v>817</v>
      </c>
      <c r="AB314" s="14">
        <v>45300</v>
      </c>
      <c r="AC314" s="9" t="s">
        <v>817</v>
      </c>
      <c r="AD314" s="9" t="s">
        <v>818</v>
      </c>
      <c r="AE314" s="1" t="s">
        <v>819</v>
      </c>
      <c r="AF314" s="14" t="s">
        <v>820</v>
      </c>
      <c r="AG314" s="9" t="s">
        <v>821</v>
      </c>
      <c r="AH314" s="1" t="s">
        <v>9</v>
      </c>
      <c r="AI314" s="9" t="s">
        <v>10</v>
      </c>
      <c r="AJ314" s="1" t="s">
        <v>11</v>
      </c>
      <c r="AK314" s="1" t="s">
        <v>1882</v>
      </c>
      <c r="AL314" s="1" t="s">
        <v>1883</v>
      </c>
      <c r="AM314" s="9">
        <v>11372</v>
      </c>
      <c r="AN314" s="1" t="s">
        <v>491</v>
      </c>
      <c r="AO314" s="1" t="s">
        <v>31</v>
      </c>
      <c r="AP314" s="1" t="s">
        <v>861</v>
      </c>
      <c r="AQ314" s="14">
        <v>45778</v>
      </c>
      <c r="AU314" s="14">
        <v>45778</v>
      </c>
      <c r="AV314" s="16">
        <v>0</v>
      </c>
      <c r="AW314" s="16">
        <v>0</v>
      </c>
      <c r="BA314" s="1" t="s">
        <v>911</v>
      </c>
      <c r="BB314" s="9">
        <v>1</v>
      </c>
      <c r="BC314" s="1" t="s">
        <v>862</v>
      </c>
      <c r="BD314" s="9" t="s">
        <v>807</v>
      </c>
      <c r="BE314" s="1" t="s">
        <v>875</v>
      </c>
      <c r="BF314" s="1" t="s">
        <v>37</v>
      </c>
      <c r="BG314" s="1" t="s">
        <v>876</v>
      </c>
      <c r="BH314" s="1" t="s">
        <v>877</v>
      </c>
      <c r="BI314" s="1" t="s">
        <v>1044</v>
      </c>
      <c r="BJ314" s="21" t="str">
        <f t="shared" si="4"/>
        <v>FIXO</v>
      </c>
    </row>
    <row r="315" spans="1:62" x14ac:dyDescent="0.25">
      <c r="A315" s="7">
        <v>6</v>
      </c>
      <c r="B315" s="1" t="s">
        <v>41</v>
      </c>
      <c r="C315" s="8">
        <v>5</v>
      </c>
      <c r="D315" s="9" t="s">
        <v>807</v>
      </c>
      <c r="E315" s="10">
        <v>16982</v>
      </c>
      <c r="F315" s="11" t="s">
        <v>1884</v>
      </c>
      <c r="G315" s="1" t="s">
        <v>41</v>
      </c>
      <c r="H315" s="13" t="str">
        <f>VLOOKUP(AP315,[1]Listas!A:B,2,0)</f>
        <v xml:space="preserve">FESP </v>
      </c>
      <c r="I315" s="1" t="s">
        <v>38</v>
      </c>
      <c r="J315" s="12"/>
      <c r="K315" s="1" t="s">
        <v>245</v>
      </c>
      <c r="L315" s="1" t="s">
        <v>136</v>
      </c>
      <c r="M315" s="1" t="s">
        <v>492</v>
      </c>
      <c r="N315" s="14">
        <v>36265</v>
      </c>
      <c r="O315" s="1" t="s">
        <v>855</v>
      </c>
      <c r="P315" s="1" t="s">
        <v>856</v>
      </c>
      <c r="Q315" s="15" t="s">
        <v>807</v>
      </c>
      <c r="R315" s="1" t="s">
        <v>857</v>
      </c>
      <c r="S315" s="1" t="s">
        <v>868</v>
      </c>
      <c r="T315" s="1" t="s">
        <v>869</v>
      </c>
      <c r="U315" s="9" t="s">
        <v>814</v>
      </c>
      <c r="V315" s="1" t="s">
        <v>815</v>
      </c>
      <c r="W315" s="1" t="s">
        <v>1430</v>
      </c>
      <c r="X315" s="1" t="s">
        <v>303</v>
      </c>
      <c r="Y315" s="14">
        <v>45405</v>
      </c>
      <c r="Z315" s="9" t="s">
        <v>817</v>
      </c>
      <c r="AB315" s="14">
        <v>45296</v>
      </c>
      <c r="AC315" s="9" t="s">
        <v>817</v>
      </c>
      <c r="AD315" s="9" t="s">
        <v>818</v>
      </c>
      <c r="AE315" s="1" t="s">
        <v>819</v>
      </c>
      <c r="AF315" s="14" t="s">
        <v>820</v>
      </c>
      <c r="AG315" s="9" t="s">
        <v>821</v>
      </c>
      <c r="AH315" s="1" t="s">
        <v>9</v>
      </c>
      <c r="AI315" s="9" t="s">
        <v>10</v>
      </c>
      <c r="AJ315" s="1" t="s">
        <v>11</v>
      </c>
      <c r="AK315" s="1" t="s">
        <v>1795</v>
      </c>
      <c r="AL315" s="1" t="s">
        <v>1796</v>
      </c>
      <c r="AM315" s="9">
        <v>11369</v>
      </c>
      <c r="AN315" s="1" t="s">
        <v>138</v>
      </c>
      <c r="AO315" s="1" t="s">
        <v>454</v>
      </c>
      <c r="AP315" s="1" t="s">
        <v>1790</v>
      </c>
      <c r="AQ315" s="14">
        <v>45658</v>
      </c>
      <c r="AU315" s="14">
        <v>45799</v>
      </c>
      <c r="AV315" s="16">
        <v>0</v>
      </c>
      <c r="AW315" s="16">
        <v>0</v>
      </c>
      <c r="BA315" s="1" t="s">
        <v>911</v>
      </c>
      <c r="BB315" s="9">
        <v>1</v>
      </c>
      <c r="BC315" s="1" t="s">
        <v>862</v>
      </c>
      <c r="BD315" s="9" t="s">
        <v>807</v>
      </c>
      <c r="BE315" s="1" t="s">
        <v>1797</v>
      </c>
      <c r="BF315" s="1" t="s">
        <v>136</v>
      </c>
      <c r="BG315" s="1" t="s">
        <v>1070</v>
      </c>
      <c r="BH315" s="1" t="s">
        <v>1071</v>
      </c>
      <c r="BI315" s="1" t="s">
        <v>1073</v>
      </c>
      <c r="BJ315" s="21" t="str">
        <f t="shared" si="4"/>
        <v>FIXO</v>
      </c>
    </row>
    <row r="316" spans="1:62" x14ac:dyDescent="0.25">
      <c r="A316" s="7">
        <v>6</v>
      </c>
      <c r="B316" s="1" t="s">
        <v>41</v>
      </c>
      <c r="C316" s="8">
        <v>5</v>
      </c>
      <c r="D316" s="9" t="s">
        <v>807</v>
      </c>
      <c r="E316" s="10">
        <v>16984</v>
      </c>
      <c r="F316" s="11" t="s">
        <v>1885</v>
      </c>
      <c r="G316" s="1" t="s">
        <v>41</v>
      </c>
      <c r="H316" s="13" t="str">
        <f>VLOOKUP(AP316,[1]Listas!A:B,2,0)</f>
        <v xml:space="preserve">FESP </v>
      </c>
      <c r="I316" s="1" t="s">
        <v>38</v>
      </c>
      <c r="J316" s="12"/>
      <c r="K316" s="1" t="s">
        <v>245</v>
      </c>
      <c r="L316" s="1" t="s">
        <v>455</v>
      </c>
      <c r="M316" s="1" t="s">
        <v>493</v>
      </c>
      <c r="N316" s="14">
        <v>34174</v>
      </c>
      <c r="O316" s="1" t="s">
        <v>855</v>
      </c>
      <c r="P316" s="1" t="s">
        <v>856</v>
      </c>
      <c r="Q316" s="15" t="s">
        <v>807</v>
      </c>
      <c r="R316" s="1" t="s">
        <v>857</v>
      </c>
      <c r="S316" s="1" t="s">
        <v>868</v>
      </c>
      <c r="T316" s="1" t="s">
        <v>869</v>
      </c>
      <c r="U316" s="9" t="s">
        <v>814</v>
      </c>
      <c r="V316" s="1" t="s">
        <v>815</v>
      </c>
      <c r="W316" s="1" t="s">
        <v>1430</v>
      </c>
      <c r="X316" s="1" t="s">
        <v>303</v>
      </c>
      <c r="Y316" s="14">
        <v>45405</v>
      </c>
      <c r="Z316" s="9" t="s">
        <v>817</v>
      </c>
      <c r="AB316" s="14">
        <v>45296</v>
      </c>
      <c r="AC316" s="9" t="s">
        <v>817</v>
      </c>
      <c r="AD316" s="9" t="s">
        <v>818</v>
      </c>
      <c r="AE316" s="1" t="s">
        <v>819</v>
      </c>
      <c r="AF316" s="14" t="s">
        <v>820</v>
      </c>
      <c r="AG316" s="9" t="s">
        <v>821</v>
      </c>
      <c r="AH316" s="1" t="s">
        <v>9</v>
      </c>
      <c r="AI316" s="9" t="s">
        <v>10</v>
      </c>
      <c r="AJ316" s="1" t="s">
        <v>11</v>
      </c>
      <c r="AK316" s="1" t="s">
        <v>1788</v>
      </c>
      <c r="AL316" s="1" t="s">
        <v>1789</v>
      </c>
      <c r="AM316" s="9">
        <v>11370</v>
      </c>
      <c r="AN316" s="1" t="s">
        <v>453</v>
      </c>
      <c r="AO316" s="1" t="s">
        <v>454</v>
      </c>
      <c r="AP316" s="1" t="s">
        <v>1790</v>
      </c>
      <c r="AQ316" s="14">
        <v>45658</v>
      </c>
      <c r="AU316" s="14">
        <v>45799</v>
      </c>
      <c r="AV316" s="16">
        <v>0</v>
      </c>
      <c r="AW316" s="16">
        <v>0</v>
      </c>
      <c r="BA316" s="1" t="s">
        <v>911</v>
      </c>
      <c r="BB316" s="9">
        <v>7</v>
      </c>
      <c r="BC316" s="1" t="s">
        <v>826</v>
      </c>
      <c r="BD316" s="9" t="s">
        <v>807</v>
      </c>
      <c r="BE316" s="1" t="s">
        <v>1791</v>
      </c>
      <c r="BF316" s="1" t="s">
        <v>455</v>
      </c>
      <c r="BG316" s="1" t="s">
        <v>1792</v>
      </c>
      <c r="BH316" s="1" t="s">
        <v>1793</v>
      </c>
      <c r="BI316" s="1" t="s">
        <v>1073</v>
      </c>
      <c r="BJ316" s="21" t="str">
        <f t="shared" si="4"/>
        <v>FIXO</v>
      </c>
    </row>
    <row r="317" spans="1:62" x14ac:dyDescent="0.25">
      <c r="A317" s="7">
        <v>6</v>
      </c>
      <c r="B317" s="1" t="s">
        <v>41</v>
      </c>
      <c r="C317" s="8">
        <v>6</v>
      </c>
      <c r="D317" s="9" t="s">
        <v>807</v>
      </c>
      <c r="E317" s="10">
        <v>16990</v>
      </c>
      <c r="F317" s="11" t="s">
        <v>1886</v>
      </c>
      <c r="G317" s="12" t="s">
        <v>271</v>
      </c>
      <c r="H317" s="13" t="str">
        <f>VLOOKUP(AP317,[1]Listas!A:B,2,0)</f>
        <v xml:space="preserve">FSTV </v>
      </c>
      <c r="I317" s="1" t="s">
        <v>440</v>
      </c>
      <c r="J317" s="12"/>
      <c r="K317" s="12"/>
      <c r="L317" s="1" t="s">
        <v>488</v>
      </c>
      <c r="M317" s="1" t="s">
        <v>494</v>
      </c>
      <c r="N317" s="14">
        <v>35230</v>
      </c>
      <c r="O317" s="1" t="s">
        <v>855</v>
      </c>
      <c r="P317" s="1" t="s">
        <v>856</v>
      </c>
      <c r="Q317" s="15" t="s">
        <v>807</v>
      </c>
      <c r="R317" s="1" t="s">
        <v>857</v>
      </c>
      <c r="S317" s="1" t="s">
        <v>868</v>
      </c>
      <c r="T317" s="1" t="s">
        <v>869</v>
      </c>
      <c r="U317" s="9" t="s">
        <v>868</v>
      </c>
      <c r="V317" s="1" t="s">
        <v>913</v>
      </c>
      <c r="W317" s="1" t="s">
        <v>871</v>
      </c>
      <c r="X317" s="1" t="s">
        <v>34</v>
      </c>
      <c r="Y317" s="14">
        <v>45297</v>
      </c>
      <c r="Z317" s="9" t="s">
        <v>817</v>
      </c>
      <c r="AB317" s="14">
        <v>45296</v>
      </c>
      <c r="AC317" s="9" t="s">
        <v>817</v>
      </c>
      <c r="AD317" s="9" t="s">
        <v>818</v>
      </c>
      <c r="AE317" s="1" t="s">
        <v>819</v>
      </c>
      <c r="AF317" s="14" t="s">
        <v>820</v>
      </c>
      <c r="AG317" s="9" t="s">
        <v>821</v>
      </c>
      <c r="AH317" s="1" t="s">
        <v>9</v>
      </c>
      <c r="AI317" s="9" t="s">
        <v>10</v>
      </c>
      <c r="AJ317" s="1" t="s">
        <v>11</v>
      </c>
      <c r="AK317" s="1" t="s">
        <v>1887</v>
      </c>
      <c r="AL317" s="1" t="s">
        <v>1888</v>
      </c>
      <c r="AM317" s="9">
        <v>11474</v>
      </c>
      <c r="AN317" s="1" t="s">
        <v>495</v>
      </c>
      <c r="AO317" s="1" t="s">
        <v>439</v>
      </c>
      <c r="AP317" s="1" t="s">
        <v>1748</v>
      </c>
      <c r="AQ317" s="14">
        <v>45658</v>
      </c>
      <c r="AU317" s="14">
        <v>45799</v>
      </c>
      <c r="AV317" s="16">
        <v>0</v>
      </c>
      <c r="AW317" s="16">
        <v>0</v>
      </c>
      <c r="BA317" s="1" t="s">
        <v>911</v>
      </c>
      <c r="BB317" s="9">
        <v>1</v>
      </c>
      <c r="BC317" s="1" t="s">
        <v>862</v>
      </c>
      <c r="BD317" s="9" t="s">
        <v>807</v>
      </c>
      <c r="BE317" s="1" t="s">
        <v>1848</v>
      </c>
      <c r="BF317" s="1" t="s">
        <v>481</v>
      </c>
      <c r="BG317" s="1" t="s">
        <v>1849</v>
      </c>
      <c r="BH317" s="1" t="s">
        <v>1850</v>
      </c>
      <c r="BI317" s="20" t="s">
        <v>866</v>
      </c>
      <c r="BJ317" s="21" t="str">
        <f t="shared" si="4"/>
        <v>FIXO</v>
      </c>
    </row>
    <row r="318" spans="1:62" x14ac:dyDescent="0.25">
      <c r="A318" s="7">
        <v>6</v>
      </c>
      <c r="B318" s="1" t="s">
        <v>41</v>
      </c>
      <c r="C318" s="8">
        <v>9</v>
      </c>
      <c r="D318" s="9" t="s">
        <v>807</v>
      </c>
      <c r="E318" s="10">
        <v>17446</v>
      </c>
      <c r="F318" s="11" t="s">
        <v>1889</v>
      </c>
      <c r="G318" s="12" t="s">
        <v>41</v>
      </c>
      <c r="H318" s="13" t="str">
        <f>VLOOKUP(AP318,[1]Listas!A:B,2,0)</f>
        <v xml:space="preserve">FBLA </v>
      </c>
      <c r="I318" s="1" t="s">
        <v>444</v>
      </c>
      <c r="J318" s="12"/>
      <c r="K318" s="12"/>
      <c r="L318" s="1" t="s">
        <v>437</v>
      </c>
      <c r="M318" s="1" t="s">
        <v>496</v>
      </c>
      <c r="N318" s="14">
        <v>36782</v>
      </c>
      <c r="O318" s="1" t="s">
        <v>855</v>
      </c>
      <c r="P318" s="1" t="s">
        <v>856</v>
      </c>
      <c r="Q318" s="15" t="s">
        <v>811</v>
      </c>
      <c r="R318" s="1" t="s">
        <v>812</v>
      </c>
      <c r="S318" s="1" t="s">
        <v>868</v>
      </c>
      <c r="T318" s="1" t="s">
        <v>869</v>
      </c>
      <c r="U318" s="9" t="s">
        <v>814</v>
      </c>
      <c r="V318" s="1" t="s">
        <v>815</v>
      </c>
      <c r="W318" s="1" t="s">
        <v>871</v>
      </c>
      <c r="X318" s="1" t="s">
        <v>34</v>
      </c>
      <c r="Y318" s="14">
        <v>45386</v>
      </c>
      <c r="Z318" s="9" t="s">
        <v>817</v>
      </c>
      <c r="AB318" s="14">
        <v>45385</v>
      </c>
      <c r="AC318" s="9" t="s">
        <v>817</v>
      </c>
      <c r="AD318" s="9" t="s">
        <v>818</v>
      </c>
      <c r="AE318" s="1" t="s">
        <v>819</v>
      </c>
      <c r="AF318" s="14" t="s">
        <v>820</v>
      </c>
      <c r="AG318" s="9" t="s">
        <v>835</v>
      </c>
      <c r="AH318" s="1" t="s">
        <v>17</v>
      </c>
      <c r="AI318" s="9" t="s">
        <v>10</v>
      </c>
      <c r="AJ318" s="1" t="s">
        <v>11</v>
      </c>
      <c r="AK318" s="1" t="s">
        <v>1777</v>
      </c>
      <c r="AL318" s="1" t="s">
        <v>1778</v>
      </c>
      <c r="AM318" s="9">
        <v>11780</v>
      </c>
      <c r="AN318" s="1" t="s">
        <v>293</v>
      </c>
      <c r="AO318" s="1" t="s">
        <v>436</v>
      </c>
      <c r="AP318" s="1" t="s">
        <v>1737</v>
      </c>
      <c r="AQ318" s="14">
        <v>45658</v>
      </c>
      <c r="AU318" s="14">
        <v>45799</v>
      </c>
      <c r="AV318" s="16">
        <v>0</v>
      </c>
      <c r="AW318" s="16">
        <v>0</v>
      </c>
      <c r="BA318" s="1" t="s">
        <v>911</v>
      </c>
      <c r="BB318" s="9">
        <v>1</v>
      </c>
      <c r="BC318" s="1" t="s">
        <v>862</v>
      </c>
      <c r="BD318" s="9" t="s">
        <v>807</v>
      </c>
      <c r="BE318" s="1" t="s">
        <v>1738</v>
      </c>
      <c r="BF318" s="1" t="s">
        <v>437</v>
      </c>
      <c r="BG318" s="1" t="s">
        <v>1739</v>
      </c>
      <c r="BH318" s="1" t="s">
        <v>1740</v>
      </c>
      <c r="BI318" s="20" t="s">
        <v>866</v>
      </c>
      <c r="BJ318" s="21" t="str">
        <f t="shared" si="4"/>
        <v>FIXO</v>
      </c>
    </row>
    <row r="319" spans="1:62" x14ac:dyDescent="0.25">
      <c r="A319" s="7">
        <v>6</v>
      </c>
      <c r="B319" s="1" t="s">
        <v>41</v>
      </c>
      <c r="C319" s="8">
        <v>9</v>
      </c>
      <c r="D319" s="9" t="s">
        <v>807</v>
      </c>
      <c r="E319" s="10">
        <v>17465</v>
      </c>
      <c r="F319" s="11" t="s">
        <v>1890</v>
      </c>
      <c r="G319" s="12" t="s">
        <v>41</v>
      </c>
      <c r="H319" s="13" t="str">
        <f>VLOOKUP(AP319,[1]Listas!A:B,2,0)</f>
        <v xml:space="preserve">FBLA </v>
      </c>
      <c r="I319" s="1" t="s">
        <v>444</v>
      </c>
      <c r="J319" s="12"/>
      <c r="K319" s="12"/>
      <c r="L319" s="1" t="s">
        <v>444</v>
      </c>
      <c r="M319" s="1" t="s">
        <v>497</v>
      </c>
      <c r="N319" s="14">
        <v>27776</v>
      </c>
      <c r="O319" s="1" t="s">
        <v>855</v>
      </c>
      <c r="P319" s="1" t="s">
        <v>856</v>
      </c>
      <c r="Q319" s="15" t="s">
        <v>811</v>
      </c>
      <c r="R319" s="1" t="s">
        <v>812</v>
      </c>
      <c r="S319" s="1" t="s">
        <v>868</v>
      </c>
      <c r="T319" s="1" t="s">
        <v>869</v>
      </c>
      <c r="U319" s="9" t="s">
        <v>811</v>
      </c>
      <c r="V319" s="1" t="s">
        <v>870</v>
      </c>
      <c r="W319" s="1" t="s">
        <v>1425</v>
      </c>
      <c r="X319" s="1" t="s">
        <v>301</v>
      </c>
      <c r="Y319" s="14">
        <v>45388</v>
      </c>
      <c r="Z319" s="9" t="s">
        <v>817</v>
      </c>
      <c r="AB319" s="14">
        <v>45387</v>
      </c>
      <c r="AC319" s="9" t="s">
        <v>817</v>
      </c>
      <c r="AD319" s="9" t="s">
        <v>818</v>
      </c>
      <c r="AE319" s="1" t="s">
        <v>819</v>
      </c>
      <c r="AF319" s="14" t="s">
        <v>820</v>
      </c>
      <c r="AG319" s="9" t="s">
        <v>835</v>
      </c>
      <c r="AH319" s="1" t="s">
        <v>17</v>
      </c>
      <c r="AI319" s="9" t="s">
        <v>10</v>
      </c>
      <c r="AJ319" s="1" t="s">
        <v>11</v>
      </c>
      <c r="AK319" s="1" t="s">
        <v>1735</v>
      </c>
      <c r="AL319" s="1" t="s">
        <v>1736</v>
      </c>
      <c r="AM319" s="9">
        <v>11743</v>
      </c>
      <c r="AN319" s="1" t="s">
        <v>114</v>
      </c>
      <c r="AO319" s="1" t="s">
        <v>436</v>
      </c>
      <c r="AP319" s="1" t="s">
        <v>1737</v>
      </c>
      <c r="AQ319" s="14">
        <v>45658</v>
      </c>
      <c r="AU319" s="14">
        <v>45799</v>
      </c>
      <c r="AV319" s="16">
        <v>0</v>
      </c>
      <c r="AW319" s="16">
        <v>0</v>
      </c>
      <c r="BA319" s="1" t="s">
        <v>911</v>
      </c>
      <c r="BB319" s="9">
        <v>1</v>
      </c>
      <c r="BC319" s="1" t="s">
        <v>862</v>
      </c>
      <c r="BD319" s="9" t="s">
        <v>807</v>
      </c>
      <c r="BE319" s="1" t="s">
        <v>1738</v>
      </c>
      <c r="BF319" s="1" t="s">
        <v>437</v>
      </c>
      <c r="BG319" s="1" t="s">
        <v>1739</v>
      </c>
      <c r="BH319" s="1" t="s">
        <v>1740</v>
      </c>
      <c r="BI319" s="20" t="s">
        <v>983</v>
      </c>
      <c r="BJ319" s="21" t="str">
        <f t="shared" si="4"/>
        <v>FIXO</v>
      </c>
    </row>
    <row r="320" spans="1:62" x14ac:dyDescent="0.25">
      <c r="A320" s="7">
        <v>6</v>
      </c>
      <c r="B320" s="1" t="s">
        <v>41</v>
      </c>
      <c r="C320" s="8">
        <v>5</v>
      </c>
      <c r="D320" s="9" t="s">
        <v>807</v>
      </c>
      <c r="E320" s="10">
        <v>17510</v>
      </c>
      <c r="F320" s="11" t="s">
        <v>1891</v>
      </c>
      <c r="G320" s="1" t="s">
        <v>41</v>
      </c>
      <c r="H320" s="13" t="str">
        <f>VLOOKUP(AP320,[1]Listas!A:B,2,0)</f>
        <v xml:space="preserve">FESP </v>
      </c>
      <c r="I320" s="1" t="s">
        <v>38</v>
      </c>
      <c r="J320" s="1" t="s">
        <v>37</v>
      </c>
      <c r="K320" s="12"/>
      <c r="L320" s="1" t="s">
        <v>490</v>
      </c>
      <c r="M320" s="1" t="s">
        <v>498</v>
      </c>
      <c r="N320" s="14">
        <v>37136</v>
      </c>
      <c r="O320" s="1" t="s">
        <v>855</v>
      </c>
      <c r="P320" s="1" t="s">
        <v>856</v>
      </c>
      <c r="Q320" s="15" t="s">
        <v>807</v>
      </c>
      <c r="R320" s="1" t="s">
        <v>857</v>
      </c>
      <c r="S320" s="1" t="s">
        <v>868</v>
      </c>
      <c r="T320" s="1" t="s">
        <v>869</v>
      </c>
      <c r="U320" s="9" t="s">
        <v>814</v>
      </c>
      <c r="V320" s="1" t="s">
        <v>815</v>
      </c>
      <c r="W320" s="1" t="s">
        <v>871</v>
      </c>
      <c r="X320" s="1" t="s">
        <v>34</v>
      </c>
      <c r="Y320" s="14">
        <v>45799</v>
      </c>
      <c r="Z320" s="9" t="s">
        <v>817</v>
      </c>
      <c r="AB320" s="14">
        <v>45393</v>
      </c>
      <c r="AC320" s="9" t="s">
        <v>817</v>
      </c>
      <c r="AD320" s="9" t="s">
        <v>818</v>
      </c>
      <c r="AE320" s="1" t="s">
        <v>819</v>
      </c>
      <c r="AF320" s="14" t="s">
        <v>820</v>
      </c>
      <c r="AG320" s="9" t="s">
        <v>821</v>
      </c>
      <c r="AH320" s="1" t="s">
        <v>9</v>
      </c>
      <c r="AI320" s="9" t="s">
        <v>10</v>
      </c>
      <c r="AJ320" s="1" t="s">
        <v>11</v>
      </c>
      <c r="AK320" s="1" t="s">
        <v>1892</v>
      </c>
      <c r="AL320" s="1" t="s">
        <v>1178</v>
      </c>
      <c r="AM320" s="9">
        <v>11343</v>
      </c>
      <c r="AN320" s="1" t="s">
        <v>114</v>
      </c>
      <c r="AO320" s="1" t="s">
        <v>36</v>
      </c>
      <c r="AP320" s="1" t="s">
        <v>874</v>
      </c>
      <c r="AQ320" s="14">
        <v>45799</v>
      </c>
      <c r="AU320" s="14">
        <v>45799</v>
      </c>
      <c r="AV320" s="16">
        <v>0</v>
      </c>
      <c r="AW320" s="16">
        <v>0</v>
      </c>
      <c r="BA320" s="1" t="s">
        <v>911</v>
      </c>
      <c r="BB320" s="9">
        <v>1</v>
      </c>
      <c r="BC320" s="1" t="s">
        <v>862</v>
      </c>
      <c r="BD320" s="9" t="s">
        <v>807</v>
      </c>
      <c r="BE320" s="1" t="s">
        <v>893</v>
      </c>
      <c r="BF320" s="23" t="s">
        <v>38</v>
      </c>
      <c r="BG320" s="1" t="s">
        <v>883</v>
      </c>
      <c r="BH320" s="1" t="s">
        <v>884</v>
      </c>
      <c r="BI320" s="25" t="s">
        <v>878</v>
      </c>
      <c r="BJ320" s="21" t="str">
        <f t="shared" si="4"/>
        <v>FIXO</v>
      </c>
    </row>
    <row r="321" spans="1:62" x14ac:dyDescent="0.25">
      <c r="A321" s="7">
        <v>6</v>
      </c>
      <c r="B321" s="1" t="s">
        <v>41</v>
      </c>
      <c r="C321" s="8">
        <v>9</v>
      </c>
      <c r="D321" s="9" t="s">
        <v>807</v>
      </c>
      <c r="E321" s="10">
        <v>17636</v>
      </c>
      <c r="F321" s="11" t="s">
        <v>1893</v>
      </c>
      <c r="G321" s="12" t="s">
        <v>71</v>
      </c>
      <c r="H321" s="13" t="str">
        <f>VLOOKUP(AP321,[1]Listas!A:B,2,0)</f>
        <v xml:space="preserve">FBLA </v>
      </c>
      <c r="I321" s="1" t="s">
        <v>384</v>
      </c>
      <c r="J321" s="12"/>
      <c r="K321" s="12"/>
      <c r="L321" s="12" t="s">
        <v>612</v>
      </c>
      <c r="M321" s="1" t="s">
        <v>499</v>
      </c>
      <c r="N321" s="14">
        <v>28303</v>
      </c>
      <c r="O321" s="1" t="s">
        <v>855</v>
      </c>
      <c r="P321" s="1" t="s">
        <v>856</v>
      </c>
      <c r="Q321" s="15" t="s">
        <v>807</v>
      </c>
      <c r="R321" s="1" t="s">
        <v>857</v>
      </c>
      <c r="S321" s="1" t="s">
        <v>868</v>
      </c>
      <c r="T321" s="1" t="s">
        <v>869</v>
      </c>
      <c r="U321" s="9" t="s">
        <v>811</v>
      </c>
      <c r="V321" s="1" t="s">
        <v>870</v>
      </c>
      <c r="W321" s="1" t="s">
        <v>1638</v>
      </c>
      <c r="X321" s="1" t="s">
        <v>388</v>
      </c>
      <c r="Y321" s="14">
        <v>45420</v>
      </c>
      <c r="Z321" s="9" t="s">
        <v>817</v>
      </c>
      <c r="AB321" s="14">
        <v>45419</v>
      </c>
      <c r="AC321" s="9" t="s">
        <v>817</v>
      </c>
      <c r="AD321" s="9" t="s">
        <v>818</v>
      </c>
      <c r="AE321" s="1" t="s">
        <v>819</v>
      </c>
      <c r="AF321" s="14">
        <v>45903</v>
      </c>
      <c r="AG321" s="9" t="s">
        <v>821</v>
      </c>
      <c r="AH321" s="1" t="s">
        <v>9</v>
      </c>
      <c r="AI321" s="9" t="s">
        <v>179</v>
      </c>
      <c r="AJ321" s="1" t="s">
        <v>180</v>
      </c>
      <c r="AK321" s="1" t="s">
        <v>1894</v>
      </c>
      <c r="AL321" s="1" t="s">
        <v>1895</v>
      </c>
      <c r="AM321" s="9">
        <v>11748</v>
      </c>
      <c r="AN321" s="1" t="s">
        <v>389</v>
      </c>
      <c r="AO321" s="1" t="s">
        <v>500</v>
      </c>
      <c r="AP321" s="1" t="s">
        <v>1896</v>
      </c>
      <c r="AQ321" s="14">
        <v>45658</v>
      </c>
      <c r="AU321" s="14">
        <v>45799</v>
      </c>
      <c r="AV321" s="16">
        <v>0</v>
      </c>
      <c r="AW321" s="16">
        <v>0</v>
      </c>
      <c r="BA321" s="1" t="s">
        <v>911</v>
      </c>
      <c r="BB321" s="9">
        <v>21</v>
      </c>
      <c r="BC321" s="1" t="s">
        <v>1731</v>
      </c>
      <c r="BD321" s="9" t="s">
        <v>807</v>
      </c>
      <c r="BE321" s="1" t="s">
        <v>1630</v>
      </c>
      <c r="BF321" s="1" t="s">
        <v>384</v>
      </c>
      <c r="BG321" s="1" t="s">
        <v>1631</v>
      </c>
      <c r="BH321" s="1" t="s">
        <v>1632</v>
      </c>
      <c r="BI321" s="20" t="s">
        <v>1897</v>
      </c>
      <c r="BJ321" s="21" t="str">
        <f t="shared" si="4"/>
        <v>FIXO</v>
      </c>
    </row>
    <row r="322" spans="1:62" x14ac:dyDescent="0.25">
      <c r="A322" s="7">
        <v>6</v>
      </c>
      <c r="B322" s="1" t="s">
        <v>41</v>
      </c>
      <c r="C322" s="8">
        <v>9</v>
      </c>
      <c r="D322" s="9" t="s">
        <v>807</v>
      </c>
      <c r="E322" s="10">
        <v>17645</v>
      </c>
      <c r="F322" s="11" t="s">
        <v>1898</v>
      </c>
      <c r="G322" s="12" t="s">
        <v>41</v>
      </c>
      <c r="H322" s="13" t="str">
        <f>VLOOKUP(AP322,[1]Listas!A:B,2,0)</f>
        <v xml:space="preserve">FBLA </v>
      </c>
      <c r="I322" s="1" t="s">
        <v>444</v>
      </c>
      <c r="J322" s="12"/>
      <c r="K322" s="12"/>
      <c r="L322" s="1" t="s">
        <v>444</v>
      </c>
      <c r="M322" s="1" t="s">
        <v>501</v>
      </c>
      <c r="N322" s="14">
        <v>28347</v>
      </c>
      <c r="O322" s="1" t="s">
        <v>809</v>
      </c>
      <c r="P322" s="1" t="s">
        <v>810</v>
      </c>
      <c r="Q322" s="15" t="s">
        <v>807</v>
      </c>
      <c r="R322" s="1" t="s">
        <v>857</v>
      </c>
      <c r="S322" s="1" t="s">
        <v>868</v>
      </c>
      <c r="T322" s="1" t="s">
        <v>869</v>
      </c>
      <c r="U322" s="9" t="s">
        <v>811</v>
      </c>
      <c r="V322" s="1" t="s">
        <v>870</v>
      </c>
      <c r="W322" s="1" t="s">
        <v>1051</v>
      </c>
      <c r="X322" s="1" t="s">
        <v>126</v>
      </c>
      <c r="Y322" s="14">
        <v>45779</v>
      </c>
      <c r="Z322" s="9" t="s">
        <v>817</v>
      </c>
      <c r="AB322" s="14">
        <v>45415</v>
      </c>
      <c r="AC322" s="9" t="s">
        <v>817</v>
      </c>
      <c r="AD322" s="9" t="s">
        <v>818</v>
      </c>
      <c r="AE322" s="1" t="s">
        <v>819</v>
      </c>
      <c r="AF322" s="14" t="s">
        <v>820</v>
      </c>
      <c r="AG322" s="9" t="s">
        <v>821</v>
      </c>
      <c r="AH322" s="1" t="s">
        <v>9</v>
      </c>
      <c r="AI322" s="9" t="s">
        <v>10</v>
      </c>
      <c r="AJ322" s="1" t="s">
        <v>11</v>
      </c>
      <c r="AK322" s="1" t="s">
        <v>1899</v>
      </c>
      <c r="AL322" s="1" t="s">
        <v>1900</v>
      </c>
      <c r="AM322" s="9">
        <v>11791</v>
      </c>
      <c r="AN322" s="1" t="s">
        <v>407</v>
      </c>
      <c r="AO322" s="1" t="s">
        <v>502</v>
      </c>
      <c r="AP322" s="1" t="s">
        <v>1901</v>
      </c>
      <c r="AQ322" s="14">
        <v>45779</v>
      </c>
      <c r="AU322" s="14">
        <v>45780</v>
      </c>
      <c r="AV322" s="16">
        <v>0</v>
      </c>
      <c r="AW322" s="16">
        <v>0</v>
      </c>
      <c r="BA322" s="1" t="s">
        <v>911</v>
      </c>
      <c r="BB322" s="9">
        <v>32</v>
      </c>
      <c r="BC322" s="1" t="s">
        <v>1547</v>
      </c>
      <c r="BD322" s="9" t="s">
        <v>807</v>
      </c>
      <c r="BE322" s="1" t="s">
        <v>850</v>
      </c>
      <c r="BF322" s="23" t="s">
        <v>27</v>
      </c>
      <c r="BG322" s="1" t="s">
        <v>851</v>
      </c>
      <c r="BH322" s="1" t="s">
        <v>852</v>
      </c>
      <c r="BI322" s="20" t="s">
        <v>1055</v>
      </c>
      <c r="BJ322" s="21" t="str">
        <f t="shared" ref="BJ322:BJ347" si="5">IF(NOT(ISERROR(SEARCH("SAFRISTA",X322))),"SAFRISTA","FIXO")</f>
        <v>FIXO</v>
      </c>
    </row>
    <row r="323" spans="1:62" x14ac:dyDescent="0.25">
      <c r="A323" s="7">
        <v>6</v>
      </c>
      <c r="B323" s="1" t="s">
        <v>41</v>
      </c>
      <c r="C323" s="8">
        <v>5</v>
      </c>
      <c r="D323" s="9" t="s">
        <v>807</v>
      </c>
      <c r="E323" s="10">
        <v>17646</v>
      </c>
      <c r="F323" s="11" t="s">
        <v>1902</v>
      </c>
      <c r="G323" s="1" t="s">
        <v>41</v>
      </c>
      <c r="H323" s="13" t="str">
        <f>VLOOKUP(AP323,[1]Listas!A:B,2,0)</f>
        <v xml:space="preserve">FESP </v>
      </c>
      <c r="I323" s="1" t="s">
        <v>38</v>
      </c>
      <c r="J323" s="12"/>
      <c r="K323" s="1" t="s">
        <v>245</v>
      </c>
      <c r="L323" s="1" t="s">
        <v>455</v>
      </c>
      <c r="M323" s="1" t="s">
        <v>503</v>
      </c>
      <c r="N323" s="14">
        <v>36720</v>
      </c>
      <c r="O323" s="1" t="s">
        <v>855</v>
      </c>
      <c r="P323" s="1" t="s">
        <v>856</v>
      </c>
      <c r="Q323" s="15" t="s">
        <v>807</v>
      </c>
      <c r="R323" s="1" t="s">
        <v>857</v>
      </c>
      <c r="S323" s="1" t="s">
        <v>868</v>
      </c>
      <c r="T323" s="1" t="s">
        <v>869</v>
      </c>
      <c r="U323" s="9" t="s">
        <v>951</v>
      </c>
      <c r="V323" s="1" t="s">
        <v>952</v>
      </c>
      <c r="W323" s="1" t="s">
        <v>1430</v>
      </c>
      <c r="X323" s="1" t="s">
        <v>303</v>
      </c>
      <c r="Y323" s="14">
        <v>45492</v>
      </c>
      <c r="Z323" s="9" t="s">
        <v>817</v>
      </c>
      <c r="AB323" s="14">
        <v>45415</v>
      </c>
      <c r="AC323" s="9" t="s">
        <v>817</v>
      </c>
      <c r="AD323" s="9" t="s">
        <v>818</v>
      </c>
      <c r="AE323" s="1" t="s">
        <v>819</v>
      </c>
      <c r="AF323" s="14" t="s">
        <v>820</v>
      </c>
      <c r="AG323" s="9" t="s">
        <v>821</v>
      </c>
      <c r="AH323" s="1" t="s">
        <v>9</v>
      </c>
      <c r="AI323" s="9" t="s">
        <v>10</v>
      </c>
      <c r="AJ323" s="1" t="s">
        <v>11</v>
      </c>
      <c r="AK323" s="1" t="s">
        <v>1788</v>
      </c>
      <c r="AL323" s="1" t="s">
        <v>1789</v>
      </c>
      <c r="AM323" s="9">
        <v>11370</v>
      </c>
      <c r="AN323" s="1" t="s">
        <v>453</v>
      </c>
      <c r="AO323" s="1" t="s">
        <v>454</v>
      </c>
      <c r="AP323" s="1" t="s">
        <v>1790</v>
      </c>
      <c r="AQ323" s="14">
        <v>45658</v>
      </c>
      <c r="AU323" s="14">
        <v>45799</v>
      </c>
      <c r="AV323" s="16">
        <v>0</v>
      </c>
      <c r="AW323" s="16">
        <v>0</v>
      </c>
      <c r="BA323" s="1" t="s">
        <v>911</v>
      </c>
      <c r="BB323" s="9">
        <v>1</v>
      </c>
      <c r="BC323" s="1" t="s">
        <v>862</v>
      </c>
      <c r="BD323" s="9" t="s">
        <v>807</v>
      </c>
      <c r="BE323" s="1" t="s">
        <v>1791</v>
      </c>
      <c r="BF323" s="1" t="s">
        <v>455</v>
      </c>
      <c r="BG323" s="1" t="s">
        <v>1792</v>
      </c>
      <c r="BH323" s="1" t="s">
        <v>1793</v>
      </c>
      <c r="BI323" s="1" t="s">
        <v>1073</v>
      </c>
      <c r="BJ323" s="21" t="str">
        <f t="shared" si="5"/>
        <v>FIXO</v>
      </c>
    </row>
    <row r="324" spans="1:62" x14ac:dyDescent="0.25">
      <c r="A324" s="7">
        <v>6</v>
      </c>
      <c r="B324" s="1" t="s">
        <v>41</v>
      </c>
      <c r="C324" s="8">
        <v>5</v>
      </c>
      <c r="D324" s="9" t="s">
        <v>807</v>
      </c>
      <c r="E324" s="10">
        <v>17647</v>
      </c>
      <c r="F324" s="11" t="s">
        <v>1903</v>
      </c>
      <c r="G324" s="1" t="s">
        <v>41</v>
      </c>
      <c r="H324" s="13" t="str">
        <f>VLOOKUP(AP324,[1]Listas!A:B,2,0)</f>
        <v xml:space="preserve">FESP </v>
      </c>
      <c r="I324" s="1" t="s">
        <v>38</v>
      </c>
      <c r="J324" s="12"/>
      <c r="K324" s="1" t="s">
        <v>245</v>
      </c>
      <c r="L324" s="1" t="s">
        <v>455</v>
      </c>
      <c r="M324" s="1" t="s">
        <v>504</v>
      </c>
      <c r="N324" s="14">
        <v>35068</v>
      </c>
      <c r="O324" s="1" t="s">
        <v>855</v>
      </c>
      <c r="P324" s="1" t="s">
        <v>856</v>
      </c>
      <c r="Q324" s="15" t="s">
        <v>807</v>
      </c>
      <c r="R324" s="1" t="s">
        <v>857</v>
      </c>
      <c r="S324" s="1" t="s">
        <v>868</v>
      </c>
      <c r="T324" s="1" t="s">
        <v>869</v>
      </c>
      <c r="U324" s="9" t="s">
        <v>951</v>
      </c>
      <c r="V324" s="1" t="s">
        <v>952</v>
      </c>
      <c r="W324" s="1" t="s">
        <v>1430</v>
      </c>
      <c r="X324" s="1" t="s">
        <v>303</v>
      </c>
      <c r="Y324" s="14">
        <v>45492</v>
      </c>
      <c r="Z324" s="9" t="s">
        <v>817</v>
      </c>
      <c r="AB324" s="14">
        <v>45422</v>
      </c>
      <c r="AC324" s="9" t="s">
        <v>817</v>
      </c>
      <c r="AD324" s="9" t="s">
        <v>818</v>
      </c>
      <c r="AE324" s="1" t="s">
        <v>819</v>
      </c>
      <c r="AF324" s="14" t="s">
        <v>820</v>
      </c>
      <c r="AG324" s="9" t="s">
        <v>821</v>
      </c>
      <c r="AH324" s="1" t="s">
        <v>9</v>
      </c>
      <c r="AI324" s="9" t="s">
        <v>10</v>
      </c>
      <c r="AJ324" s="1" t="s">
        <v>11</v>
      </c>
      <c r="AK324" s="1" t="s">
        <v>1788</v>
      </c>
      <c r="AL324" s="1" t="s">
        <v>1789</v>
      </c>
      <c r="AM324" s="9">
        <v>11370</v>
      </c>
      <c r="AN324" s="1" t="s">
        <v>453</v>
      </c>
      <c r="AO324" s="1" t="s">
        <v>454</v>
      </c>
      <c r="AP324" s="1" t="s">
        <v>1790</v>
      </c>
      <c r="AQ324" s="14">
        <v>45658</v>
      </c>
      <c r="AU324" s="14">
        <v>45689</v>
      </c>
      <c r="AV324" s="16">
        <v>0</v>
      </c>
      <c r="AW324" s="16">
        <v>0</v>
      </c>
      <c r="BA324" s="1" t="s">
        <v>911</v>
      </c>
      <c r="BB324" s="9">
        <v>1</v>
      </c>
      <c r="BC324" s="1" t="s">
        <v>862</v>
      </c>
      <c r="BD324" s="9" t="s">
        <v>807</v>
      </c>
      <c r="BE324" s="1" t="s">
        <v>1791</v>
      </c>
      <c r="BF324" s="1" t="s">
        <v>455</v>
      </c>
      <c r="BG324" s="1" t="s">
        <v>1792</v>
      </c>
      <c r="BH324" s="1" t="s">
        <v>1793</v>
      </c>
      <c r="BI324" s="1" t="s">
        <v>1073</v>
      </c>
      <c r="BJ324" s="21" t="str">
        <f t="shared" si="5"/>
        <v>FIXO</v>
      </c>
    </row>
    <row r="325" spans="1:62" x14ac:dyDescent="0.25">
      <c r="A325" s="7">
        <v>6</v>
      </c>
      <c r="B325" s="1" t="s">
        <v>41</v>
      </c>
      <c r="C325" s="8">
        <v>6</v>
      </c>
      <c r="D325" s="9" t="s">
        <v>807</v>
      </c>
      <c r="E325" s="10">
        <v>17662</v>
      </c>
      <c r="F325" s="11" t="s">
        <v>1904</v>
      </c>
      <c r="G325" s="12" t="s">
        <v>71</v>
      </c>
      <c r="H325" s="13" t="str">
        <f>VLOOKUP(AP325,[1]Listas!A:B,2,0)</f>
        <v xml:space="preserve">FSTV </v>
      </c>
      <c r="I325" s="1" t="s">
        <v>27</v>
      </c>
      <c r="J325" s="12"/>
      <c r="K325" s="12"/>
      <c r="L325" s="12"/>
      <c r="M325" s="1" t="s">
        <v>505</v>
      </c>
      <c r="N325" s="14">
        <v>35446</v>
      </c>
      <c r="O325" s="1" t="s">
        <v>809</v>
      </c>
      <c r="P325" s="1" t="s">
        <v>810</v>
      </c>
      <c r="Q325" s="15" t="s">
        <v>807</v>
      </c>
      <c r="R325" s="1" t="s">
        <v>857</v>
      </c>
      <c r="S325" s="1" t="s">
        <v>868</v>
      </c>
      <c r="T325" s="1" t="s">
        <v>869</v>
      </c>
      <c r="U325" s="9" t="s">
        <v>832</v>
      </c>
      <c r="V325" s="1" t="s">
        <v>833</v>
      </c>
      <c r="W325" s="1" t="s">
        <v>998</v>
      </c>
      <c r="X325" s="1" t="s">
        <v>104</v>
      </c>
      <c r="Y325" s="14">
        <v>45421</v>
      </c>
      <c r="Z325" s="9" t="s">
        <v>817</v>
      </c>
      <c r="AB325" s="14">
        <v>45420</v>
      </c>
      <c r="AC325" s="9" t="s">
        <v>817</v>
      </c>
      <c r="AD325" s="9" t="s">
        <v>818</v>
      </c>
      <c r="AE325" s="1" t="s">
        <v>819</v>
      </c>
      <c r="AF325" s="14" t="s">
        <v>820</v>
      </c>
      <c r="AG325" s="9" t="s">
        <v>821</v>
      </c>
      <c r="AH325" s="1" t="s">
        <v>9</v>
      </c>
      <c r="AI325" s="9" t="s">
        <v>10</v>
      </c>
      <c r="AJ325" s="1" t="s">
        <v>11</v>
      </c>
      <c r="AK325" s="1" t="s">
        <v>1905</v>
      </c>
      <c r="AL325" s="1" t="s">
        <v>1906</v>
      </c>
      <c r="AM325" s="9">
        <v>11401</v>
      </c>
      <c r="AN325" s="1" t="s">
        <v>83</v>
      </c>
      <c r="AO325" s="1" t="s">
        <v>506</v>
      </c>
      <c r="AP325" s="1" t="s">
        <v>1907</v>
      </c>
      <c r="AQ325" s="14">
        <v>45799</v>
      </c>
      <c r="AU325" s="14">
        <v>45799</v>
      </c>
      <c r="AV325" s="16">
        <v>0</v>
      </c>
      <c r="AW325" s="16">
        <v>0</v>
      </c>
      <c r="BA325" s="1" t="s">
        <v>911</v>
      </c>
      <c r="BB325" s="9">
        <v>1</v>
      </c>
      <c r="BC325" s="1" t="s">
        <v>862</v>
      </c>
      <c r="BD325" s="9" t="s">
        <v>807</v>
      </c>
      <c r="BE325" s="1" t="s">
        <v>850</v>
      </c>
      <c r="BF325" s="1" t="s">
        <v>27</v>
      </c>
      <c r="BG325" s="1" t="s">
        <v>851</v>
      </c>
      <c r="BH325" s="1" t="s">
        <v>852</v>
      </c>
      <c r="BI325" s="20" t="s">
        <v>853</v>
      </c>
      <c r="BJ325" s="21" t="str">
        <f t="shared" si="5"/>
        <v>FIXO</v>
      </c>
    </row>
    <row r="326" spans="1:62" x14ac:dyDescent="0.25">
      <c r="A326" s="7">
        <v>6</v>
      </c>
      <c r="B326" s="1" t="s">
        <v>41</v>
      </c>
      <c r="C326" s="8">
        <v>6</v>
      </c>
      <c r="D326" s="9" t="s">
        <v>807</v>
      </c>
      <c r="E326" s="10">
        <v>17664</v>
      </c>
      <c r="F326" s="11" t="s">
        <v>1908</v>
      </c>
      <c r="G326" s="12" t="s">
        <v>271</v>
      </c>
      <c r="H326" s="13" t="str">
        <f>VLOOKUP(AP326,[1]Listas!A:B,2,0)</f>
        <v xml:space="preserve">FSTV </v>
      </c>
      <c r="I326" s="1" t="s">
        <v>440</v>
      </c>
      <c r="J326" s="12"/>
      <c r="K326" s="12"/>
      <c r="L326" s="1" t="s">
        <v>488</v>
      </c>
      <c r="M326" s="1" t="s">
        <v>507</v>
      </c>
      <c r="N326" s="14">
        <v>35053</v>
      </c>
      <c r="O326" s="1" t="s">
        <v>855</v>
      </c>
      <c r="P326" s="1" t="s">
        <v>856</v>
      </c>
      <c r="Q326" s="15" t="s">
        <v>807</v>
      </c>
      <c r="R326" s="1" t="s">
        <v>857</v>
      </c>
      <c r="S326" s="1" t="s">
        <v>868</v>
      </c>
      <c r="T326" s="1" t="s">
        <v>869</v>
      </c>
      <c r="U326" s="9" t="s">
        <v>951</v>
      </c>
      <c r="V326" s="1" t="s">
        <v>952</v>
      </c>
      <c r="W326" s="1" t="s">
        <v>871</v>
      </c>
      <c r="X326" s="1" t="s">
        <v>34</v>
      </c>
      <c r="Y326" s="14">
        <v>45421</v>
      </c>
      <c r="Z326" s="9" t="s">
        <v>817</v>
      </c>
      <c r="AB326" s="14">
        <v>45420</v>
      </c>
      <c r="AC326" s="9" t="s">
        <v>817</v>
      </c>
      <c r="AD326" s="9" t="s">
        <v>818</v>
      </c>
      <c r="AE326" s="1" t="s">
        <v>819</v>
      </c>
      <c r="AF326" s="14" t="s">
        <v>820</v>
      </c>
      <c r="AG326" s="9" t="s">
        <v>821</v>
      </c>
      <c r="AH326" s="1" t="s">
        <v>9</v>
      </c>
      <c r="AI326" s="9" t="s">
        <v>10</v>
      </c>
      <c r="AJ326" s="1" t="s">
        <v>11</v>
      </c>
      <c r="AK326" s="1" t="s">
        <v>1887</v>
      </c>
      <c r="AL326" s="1" t="s">
        <v>1888</v>
      </c>
      <c r="AM326" s="9">
        <v>11474</v>
      </c>
      <c r="AN326" s="1" t="s">
        <v>495</v>
      </c>
      <c r="AO326" s="1" t="s">
        <v>439</v>
      </c>
      <c r="AP326" s="1" t="s">
        <v>1748</v>
      </c>
      <c r="AQ326" s="14">
        <v>45658</v>
      </c>
      <c r="AU326" s="14">
        <v>45799</v>
      </c>
      <c r="AV326" s="16">
        <v>0</v>
      </c>
      <c r="AW326" s="16">
        <v>0</v>
      </c>
      <c r="BA326" s="1" t="s">
        <v>911</v>
      </c>
      <c r="BB326" s="9">
        <v>1</v>
      </c>
      <c r="BC326" s="1" t="s">
        <v>862</v>
      </c>
      <c r="BD326" s="9" t="s">
        <v>807</v>
      </c>
      <c r="BE326" s="1" t="s">
        <v>1848</v>
      </c>
      <c r="BF326" s="1" t="s">
        <v>481</v>
      </c>
      <c r="BG326" s="1" t="s">
        <v>1849</v>
      </c>
      <c r="BH326" s="1" t="s">
        <v>1850</v>
      </c>
      <c r="BI326" s="20" t="s">
        <v>866</v>
      </c>
      <c r="BJ326" s="21" t="str">
        <f t="shared" si="5"/>
        <v>FIXO</v>
      </c>
    </row>
    <row r="327" spans="1:62" x14ac:dyDescent="0.25">
      <c r="A327" s="7">
        <v>6</v>
      </c>
      <c r="B327" s="1" t="s">
        <v>41</v>
      </c>
      <c r="C327" s="8">
        <v>5</v>
      </c>
      <c r="D327" s="9" t="s">
        <v>807</v>
      </c>
      <c r="E327" s="10">
        <v>17677</v>
      </c>
      <c r="F327" s="11" t="s">
        <v>1909</v>
      </c>
      <c r="G327" s="1" t="s">
        <v>41</v>
      </c>
      <c r="H327" s="13" t="str">
        <f>VLOOKUP(AP327,[1]Listas!A:B,2,0)</f>
        <v xml:space="preserve">FESP </v>
      </c>
      <c r="I327" s="12" t="s">
        <v>38</v>
      </c>
      <c r="J327" s="12"/>
      <c r="K327" s="1" t="s">
        <v>42</v>
      </c>
      <c r="L327" s="12"/>
      <c r="M327" s="1" t="s">
        <v>508</v>
      </c>
      <c r="N327" s="14">
        <v>37773</v>
      </c>
      <c r="O327" s="1" t="s">
        <v>855</v>
      </c>
      <c r="P327" s="1" t="s">
        <v>856</v>
      </c>
      <c r="Q327" s="15" t="s">
        <v>807</v>
      </c>
      <c r="R327" s="1" t="s">
        <v>857</v>
      </c>
      <c r="S327" s="1" t="s">
        <v>868</v>
      </c>
      <c r="T327" s="1" t="s">
        <v>869</v>
      </c>
      <c r="U327" s="9" t="s">
        <v>814</v>
      </c>
      <c r="V327" s="1" t="s">
        <v>815</v>
      </c>
      <c r="W327" s="1" t="s">
        <v>871</v>
      </c>
      <c r="X327" s="1" t="s">
        <v>34</v>
      </c>
      <c r="Y327" s="14">
        <v>45799</v>
      </c>
      <c r="Z327" s="9" t="s">
        <v>817</v>
      </c>
      <c r="AB327" s="14">
        <v>45415</v>
      </c>
      <c r="AC327" s="9" t="s">
        <v>817</v>
      </c>
      <c r="AD327" s="9" t="s">
        <v>818</v>
      </c>
      <c r="AE327" s="1" t="s">
        <v>819</v>
      </c>
      <c r="AF327" s="14" t="s">
        <v>820</v>
      </c>
      <c r="AG327" s="9" t="s">
        <v>821</v>
      </c>
      <c r="AH327" s="1" t="s">
        <v>9</v>
      </c>
      <c r="AI327" s="9" t="s">
        <v>10</v>
      </c>
      <c r="AJ327" s="1" t="s">
        <v>11</v>
      </c>
      <c r="AK327" s="1" t="s">
        <v>1892</v>
      </c>
      <c r="AL327" s="1" t="s">
        <v>1178</v>
      </c>
      <c r="AM327" s="9">
        <v>11343</v>
      </c>
      <c r="AN327" s="1" t="s">
        <v>114</v>
      </c>
      <c r="AO327" s="1" t="s">
        <v>36</v>
      </c>
      <c r="AP327" s="1" t="s">
        <v>874</v>
      </c>
      <c r="AQ327" s="14">
        <v>45799</v>
      </c>
      <c r="AU327" s="14">
        <v>45799</v>
      </c>
      <c r="AV327" s="16">
        <v>0</v>
      </c>
      <c r="AW327" s="16">
        <v>0</v>
      </c>
      <c r="BA327" s="1" t="s">
        <v>911</v>
      </c>
      <c r="BB327" s="9">
        <v>7</v>
      </c>
      <c r="BC327" s="1" t="s">
        <v>826</v>
      </c>
      <c r="BD327" s="9" t="s">
        <v>807</v>
      </c>
      <c r="BE327" s="1" t="s">
        <v>893</v>
      </c>
      <c r="BF327" s="23" t="s">
        <v>38</v>
      </c>
      <c r="BG327" s="1" t="s">
        <v>883</v>
      </c>
      <c r="BH327" s="1" t="s">
        <v>884</v>
      </c>
      <c r="BI327" s="25" t="s">
        <v>916</v>
      </c>
      <c r="BJ327" s="21" t="str">
        <f t="shared" si="5"/>
        <v>FIXO</v>
      </c>
    </row>
    <row r="328" spans="1:62" x14ac:dyDescent="0.25">
      <c r="A328" s="7">
        <v>6</v>
      </c>
      <c r="B328" s="1" t="s">
        <v>41</v>
      </c>
      <c r="C328" s="8">
        <v>9</v>
      </c>
      <c r="D328" s="9" t="s">
        <v>807</v>
      </c>
      <c r="E328" s="10">
        <v>18039</v>
      </c>
      <c r="F328" s="11" t="s">
        <v>1910</v>
      </c>
      <c r="G328" s="12" t="s">
        <v>41</v>
      </c>
      <c r="H328" s="13" t="str">
        <f>VLOOKUP(AP328,[1]Listas!A:B,2,0)</f>
        <v xml:space="preserve">FBLA </v>
      </c>
      <c r="I328" s="1" t="s">
        <v>444</v>
      </c>
      <c r="J328" s="12"/>
      <c r="K328" s="12"/>
      <c r="L328" s="1" t="s">
        <v>458</v>
      </c>
      <c r="M328" s="1" t="s">
        <v>1911</v>
      </c>
      <c r="N328" s="14">
        <v>37441</v>
      </c>
      <c r="O328" s="1" t="s">
        <v>855</v>
      </c>
      <c r="P328" s="1" t="s">
        <v>856</v>
      </c>
      <c r="Q328" s="15" t="s">
        <v>807</v>
      </c>
      <c r="R328" s="1" t="s">
        <v>857</v>
      </c>
      <c r="S328" s="1" t="s">
        <v>868</v>
      </c>
      <c r="T328" s="1" t="s">
        <v>869</v>
      </c>
      <c r="U328" s="9" t="s">
        <v>880</v>
      </c>
      <c r="V328" s="1" t="s">
        <v>881</v>
      </c>
      <c r="W328" s="1" t="s">
        <v>871</v>
      </c>
      <c r="X328" s="1" t="s">
        <v>34</v>
      </c>
      <c r="Y328" s="14">
        <v>45450</v>
      </c>
      <c r="Z328" s="9" t="s">
        <v>817</v>
      </c>
      <c r="AB328" s="14">
        <v>45449</v>
      </c>
      <c r="AC328" s="9" t="s">
        <v>817</v>
      </c>
      <c r="AD328" s="9" t="s">
        <v>818</v>
      </c>
      <c r="AE328" s="1" t="s">
        <v>819</v>
      </c>
      <c r="AF328" s="14" t="s">
        <v>820</v>
      </c>
      <c r="AG328" s="9" t="s">
        <v>835</v>
      </c>
      <c r="AH328" s="1" t="s">
        <v>17</v>
      </c>
      <c r="AI328" s="9" t="s">
        <v>10</v>
      </c>
      <c r="AJ328" s="1" t="s">
        <v>11</v>
      </c>
      <c r="AK328" s="1" t="s">
        <v>1810</v>
      </c>
      <c r="AL328" s="1" t="s">
        <v>1811</v>
      </c>
      <c r="AM328" s="9">
        <v>11778</v>
      </c>
      <c r="AN328" s="1" t="s">
        <v>272</v>
      </c>
      <c r="AO328" s="1" t="s">
        <v>436</v>
      </c>
      <c r="AP328" s="1" t="s">
        <v>1737</v>
      </c>
      <c r="AQ328" s="14">
        <v>45818</v>
      </c>
      <c r="AU328" s="14">
        <v>45818</v>
      </c>
      <c r="AV328" s="16">
        <v>0</v>
      </c>
      <c r="AW328" s="16">
        <v>0</v>
      </c>
      <c r="BA328" s="1" t="s">
        <v>911</v>
      </c>
      <c r="BB328" s="9">
        <v>7</v>
      </c>
      <c r="BC328" s="1" t="s">
        <v>826</v>
      </c>
      <c r="BD328" s="9" t="s">
        <v>807</v>
      </c>
      <c r="BE328" s="1" t="s">
        <v>1017</v>
      </c>
      <c r="BI328" s="25" t="s">
        <v>878</v>
      </c>
      <c r="BJ328" s="21" t="str">
        <f t="shared" si="5"/>
        <v>FIXO</v>
      </c>
    </row>
    <row r="329" spans="1:62" x14ac:dyDescent="0.25">
      <c r="A329" s="7">
        <v>6</v>
      </c>
      <c r="B329" s="1" t="s">
        <v>41</v>
      </c>
      <c r="C329" s="8">
        <v>9</v>
      </c>
      <c r="D329" s="9" t="s">
        <v>807</v>
      </c>
      <c r="E329" s="10">
        <v>18181</v>
      </c>
      <c r="F329" s="11" t="s">
        <v>1912</v>
      </c>
      <c r="G329" s="12" t="s">
        <v>41</v>
      </c>
      <c r="H329" s="13" t="str">
        <f>VLOOKUP(AP329,[1]Listas!A:B,2,0)</f>
        <v xml:space="preserve">FBLA </v>
      </c>
      <c r="I329" s="1" t="s">
        <v>444</v>
      </c>
      <c r="J329" s="12"/>
      <c r="K329" s="12"/>
      <c r="L329" s="1" t="s">
        <v>444</v>
      </c>
      <c r="M329" s="1" t="s">
        <v>509</v>
      </c>
      <c r="N329" s="14">
        <v>33166</v>
      </c>
      <c r="O329" s="1" t="s">
        <v>809</v>
      </c>
      <c r="P329" s="1" t="s">
        <v>810</v>
      </c>
      <c r="Q329" s="15" t="s">
        <v>807</v>
      </c>
      <c r="R329" s="1" t="s">
        <v>857</v>
      </c>
      <c r="S329" s="1" t="s">
        <v>868</v>
      </c>
      <c r="T329" s="1" t="s">
        <v>869</v>
      </c>
      <c r="U329" s="9" t="s">
        <v>811</v>
      </c>
      <c r="V329" s="1" t="s">
        <v>870</v>
      </c>
      <c r="W329" s="1" t="s">
        <v>1051</v>
      </c>
      <c r="X329" s="1" t="s">
        <v>126</v>
      </c>
      <c r="Y329" s="14">
        <v>45475</v>
      </c>
      <c r="Z329" s="9" t="s">
        <v>817</v>
      </c>
      <c r="AB329" s="14">
        <v>45474</v>
      </c>
      <c r="AC329" s="9" t="s">
        <v>817</v>
      </c>
      <c r="AD329" s="9" t="s">
        <v>818</v>
      </c>
      <c r="AE329" s="1" t="s">
        <v>819</v>
      </c>
      <c r="AF329" s="14" t="s">
        <v>820</v>
      </c>
      <c r="AG329" s="9" t="s">
        <v>821</v>
      </c>
      <c r="AH329" s="1" t="s">
        <v>9</v>
      </c>
      <c r="AI329" s="9" t="s">
        <v>10</v>
      </c>
      <c r="AJ329" s="1" t="s">
        <v>11</v>
      </c>
      <c r="AK329" s="1" t="s">
        <v>1913</v>
      </c>
      <c r="AL329" s="1" t="s">
        <v>1914</v>
      </c>
      <c r="AM329" s="9">
        <v>11755</v>
      </c>
      <c r="AN329" s="1" t="s">
        <v>127</v>
      </c>
      <c r="AO329" s="1" t="s">
        <v>510</v>
      </c>
      <c r="AP329" s="1" t="s">
        <v>1915</v>
      </c>
      <c r="AQ329" s="14">
        <v>45658</v>
      </c>
      <c r="AU329" s="14">
        <v>45799</v>
      </c>
      <c r="AV329" s="16">
        <v>0</v>
      </c>
      <c r="AW329" s="16">
        <v>0</v>
      </c>
      <c r="BA329" s="1" t="s">
        <v>911</v>
      </c>
      <c r="BB329" s="9">
        <v>32</v>
      </c>
      <c r="BC329" s="1" t="s">
        <v>1547</v>
      </c>
      <c r="BD329" s="9" t="s">
        <v>807</v>
      </c>
      <c r="BE329" s="1" t="s">
        <v>850</v>
      </c>
      <c r="BF329" s="23" t="s">
        <v>27</v>
      </c>
      <c r="BG329" s="1" t="s">
        <v>851</v>
      </c>
      <c r="BH329" s="1" t="s">
        <v>852</v>
      </c>
      <c r="BI329" s="20" t="s">
        <v>1055</v>
      </c>
      <c r="BJ329" s="21" t="str">
        <f t="shared" si="5"/>
        <v>FIXO</v>
      </c>
    </row>
    <row r="330" spans="1:62" x14ac:dyDescent="0.25">
      <c r="A330" s="7">
        <v>6</v>
      </c>
      <c r="B330" s="1" t="s">
        <v>41</v>
      </c>
      <c r="C330" s="8">
        <v>6</v>
      </c>
      <c r="D330" s="9" t="s">
        <v>807</v>
      </c>
      <c r="E330" s="10">
        <v>18225</v>
      </c>
      <c r="F330" s="11" t="s">
        <v>1916</v>
      </c>
      <c r="G330" s="12" t="s">
        <v>271</v>
      </c>
      <c r="H330" s="13" t="str">
        <f>VLOOKUP(AP330,[1]Listas!A:B,2,0)</f>
        <v xml:space="preserve">FSTV </v>
      </c>
      <c r="I330" s="1" t="s">
        <v>440</v>
      </c>
      <c r="J330" s="12"/>
      <c r="K330" s="12"/>
      <c r="L330" s="12" t="s">
        <v>1744</v>
      </c>
      <c r="M330" s="1" t="s">
        <v>1917</v>
      </c>
      <c r="N330" s="14">
        <v>37338</v>
      </c>
      <c r="O330" s="1" t="s">
        <v>855</v>
      </c>
      <c r="P330" s="1" t="s">
        <v>856</v>
      </c>
      <c r="Q330" s="15" t="s">
        <v>807</v>
      </c>
      <c r="R330" s="1" t="s">
        <v>857</v>
      </c>
      <c r="S330" s="1" t="s">
        <v>868</v>
      </c>
      <c r="T330" s="1" t="s">
        <v>869</v>
      </c>
      <c r="U330" s="9" t="s">
        <v>814</v>
      </c>
      <c r="V330" s="1" t="s">
        <v>815</v>
      </c>
      <c r="W330" s="1" t="s">
        <v>871</v>
      </c>
      <c r="X330" s="1" t="s">
        <v>34</v>
      </c>
      <c r="Y330" s="14">
        <v>45476</v>
      </c>
      <c r="Z330" s="9" t="s">
        <v>817</v>
      </c>
      <c r="AB330" s="14">
        <v>45475</v>
      </c>
      <c r="AC330" s="9" t="s">
        <v>817</v>
      </c>
      <c r="AD330" s="9" t="s">
        <v>818</v>
      </c>
      <c r="AE330" s="1" t="s">
        <v>819</v>
      </c>
      <c r="AF330" s="14" t="s">
        <v>820</v>
      </c>
      <c r="AG330" s="9" t="s">
        <v>821</v>
      </c>
      <c r="AH330" s="1" t="s">
        <v>9</v>
      </c>
      <c r="AI330" s="9" t="s">
        <v>10</v>
      </c>
      <c r="AJ330" s="1" t="s">
        <v>11</v>
      </c>
      <c r="AK330" s="1" t="s">
        <v>1816</v>
      </c>
      <c r="AL330" s="1" t="s">
        <v>1817</v>
      </c>
      <c r="AM330" s="9">
        <v>11473</v>
      </c>
      <c r="AN330" s="1" t="s">
        <v>293</v>
      </c>
      <c r="AO330" s="1" t="s">
        <v>439</v>
      </c>
      <c r="AP330" s="1" t="s">
        <v>1748</v>
      </c>
      <c r="AQ330" s="14">
        <v>45658</v>
      </c>
      <c r="AU330" s="14">
        <v>45799</v>
      </c>
      <c r="AV330" s="16">
        <v>0</v>
      </c>
      <c r="AW330" s="16">
        <v>0</v>
      </c>
      <c r="BA330" s="1" t="s">
        <v>911</v>
      </c>
      <c r="BB330" s="9">
        <v>7</v>
      </c>
      <c r="BC330" s="1" t="s">
        <v>826</v>
      </c>
      <c r="BD330" s="9" t="s">
        <v>807</v>
      </c>
      <c r="BE330" s="1" t="s">
        <v>1017</v>
      </c>
      <c r="BI330" s="20" t="s">
        <v>878</v>
      </c>
      <c r="BJ330" s="21" t="str">
        <f t="shared" si="5"/>
        <v>FIXO</v>
      </c>
    </row>
    <row r="331" spans="1:62" x14ac:dyDescent="0.25">
      <c r="A331" s="7">
        <v>6</v>
      </c>
      <c r="B331" s="1" t="s">
        <v>41</v>
      </c>
      <c r="C331" s="8">
        <v>9</v>
      </c>
      <c r="D331" s="9" t="s">
        <v>807</v>
      </c>
      <c r="E331" s="10">
        <v>18269</v>
      </c>
      <c r="F331" s="11" t="s">
        <v>1918</v>
      </c>
      <c r="G331" s="12" t="s">
        <v>41</v>
      </c>
      <c r="H331" s="13" t="str">
        <f>VLOOKUP(AP331,[1]Listas!A:B,2,0)</f>
        <v xml:space="preserve">FBLA </v>
      </c>
      <c r="I331" s="1" t="s">
        <v>444</v>
      </c>
      <c r="J331" s="12"/>
      <c r="K331" s="12"/>
      <c r="L331" s="1" t="s">
        <v>444</v>
      </c>
      <c r="M331" s="1" t="s">
        <v>511</v>
      </c>
      <c r="N331" s="14">
        <v>31597</v>
      </c>
      <c r="O331" s="1" t="s">
        <v>855</v>
      </c>
      <c r="P331" s="1" t="s">
        <v>856</v>
      </c>
      <c r="Q331" s="15" t="s">
        <v>807</v>
      </c>
      <c r="R331" s="1" t="s">
        <v>857</v>
      </c>
      <c r="S331" s="1" t="s">
        <v>868</v>
      </c>
      <c r="T331" s="1" t="s">
        <v>869</v>
      </c>
      <c r="U331" s="9" t="s">
        <v>811</v>
      </c>
      <c r="V331" s="1" t="s">
        <v>870</v>
      </c>
      <c r="W331" s="1" t="s">
        <v>1123</v>
      </c>
      <c r="X331" s="1" t="s">
        <v>168</v>
      </c>
      <c r="Y331" s="14">
        <v>45755</v>
      </c>
      <c r="Z331" s="9" t="s">
        <v>817</v>
      </c>
      <c r="AB331" s="14">
        <v>45755</v>
      </c>
      <c r="AC331" s="9" t="s">
        <v>817</v>
      </c>
      <c r="AD331" s="9" t="s">
        <v>818</v>
      </c>
      <c r="AE331" s="1" t="s">
        <v>819</v>
      </c>
      <c r="AF331" s="14" t="s">
        <v>820</v>
      </c>
      <c r="AG331" s="9" t="s">
        <v>821</v>
      </c>
      <c r="AH331" s="1" t="s">
        <v>9</v>
      </c>
      <c r="AI331" s="9" t="s">
        <v>10</v>
      </c>
      <c r="AJ331" s="1" t="s">
        <v>11</v>
      </c>
      <c r="AK331" s="1" t="s">
        <v>1919</v>
      </c>
      <c r="AL331" s="1" t="s">
        <v>1920</v>
      </c>
      <c r="AM331" s="9">
        <v>11743</v>
      </c>
      <c r="AN331" s="1" t="s">
        <v>114</v>
      </c>
      <c r="AO331" s="1" t="s">
        <v>512</v>
      </c>
      <c r="AP331" s="1" t="s">
        <v>1921</v>
      </c>
      <c r="AQ331" s="14">
        <v>45755</v>
      </c>
      <c r="AU331" s="14">
        <v>45755</v>
      </c>
      <c r="AV331" s="16">
        <v>0</v>
      </c>
      <c r="AW331" s="16">
        <v>0</v>
      </c>
      <c r="BA331" s="1" t="s">
        <v>911</v>
      </c>
      <c r="BB331" s="9">
        <v>7</v>
      </c>
      <c r="BC331" s="1" t="s">
        <v>826</v>
      </c>
      <c r="BD331" s="9" t="s">
        <v>807</v>
      </c>
      <c r="BE331" s="1" t="s">
        <v>1738</v>
      </c>
      <c r="BF331" s="1" t="s">
        <v>437</v>
      </c>
      <c r="BG331" s="1" t="s">
        <v>1739</v>
      </c>
      <c r="BH331" s="1" t="s">
        <v>1740</v>
      </c>
      <c r="BI331" s="20" t="s">
        <v>983</v>
      </c>
      <c r="BJ331" s="21" t="str">
        <f t="shared" si="5"/>
        <v>FIXO</v>
      </c>
    </row>
    <row r="332" spans="1:62" x14ac:dyDescent="0.25">
      <c r="A332" s="7">
        <v>6</v>
      </c>
      <c r="B332" s="1" t="s">
        <v>41</v>
      </c>
      <c r="C332" s="8">
        <v>9</v>
      </c>
      <c r="D332" s="9" t="s">
        <v>807</v>
      </c>
      <c r="E332" s="10">
        <v>18333</v>
      </c>
      <c r="F332" s="11" t="s">
        <v>1922</v>
      </c>
      <c r="G332" s="12" t="s">
        <v>41</v>
      </c>
      <c r="H332" s="13" t="str">
        <f>VLOOKUP(AP332,[1]Listas!A:B,2,0)</f>
        <v xml:space="preserve">FBLA </v>
      </c>
      <c r="I332" s="1" t="s">
        <v>444</v>
      </c>
      <c r="J332" s="12"/>
      <c r="K332" s="12"/>
      <c r="L332" s="1" t="s">
        <v>444</v>
      </c>
      <c r="M332" s="1" t="s">
        <v>513</v>
      </c>
      <c r="N332" s="14">
        <v>33023</v>
      </c>
      <c r="O332" s="1" t="s">
        <v>855</v>
      </c>
      <c r="P332" s="1" t="s">
        <v>856</v>
      </c>
      <c r="Q332" s="15" t="s">
        <v>807</v>
      </c>
      <c r="R332" s="1" t="s">
        <v>857</v>
      </c>
      <c r="S332" s="1" t="s">
        <v>868</v>
      </c>
      <c r="T332" s="1" t="s">
        <v>869</v>
      </c>
      <c r="U332" s="9" t="s">
        <v>814</v>
      </c>
      <c r="V332" s="1" t="s">
        <v>815</v>
      </c>
      <c r="W332" s="1" t="s">
        <v>1923</v>
      </c>
      <c r="X332" s="1" t="s">
        <v>514</v>
      </c>
      <c r="Y332" s="14">
        <v>45479</v>
      </c>
      <c r="Z332" s="9" t="s">
        <v>817</v>
      </c>
      <c r="AB332" s="14">
        <v>45478</v>
      </c>
      <c r="AC332" s="9" t="s">
        <v>817</v>
      </c>
      <c r="AD332" s="9" t="s">
        <v>818</v>
      </c>
      <c r="AE332" s="1" t="s">
        <v>819</v>
      </c>
      <c r="AF332" s="14" t="s">
        <v>820</v>
      </c>
      <c r="AG332" s="9" t="s">
        <v>821</v>
      </c>
      <c r="AH332" s="1" t="s">
        <v>9</v>
      </c>
      <c r="AI332" s="9" t="s">
        <v>10</v>
      </c>
      <c r="AJ332" s="1" t="s">
        <v>11</v>
      </c>
      <c r="AK332" s="1" t="s">
        <v>1924</v>
      </c>
      <c r="AL332" s="1" t="s">
        <v>1925</v>
      </c>
      <c r="AM332" s="9">
        <v>11743</v>
      </c>
      <c r="AN332" s="1" t="s">
        <v>114</v>
      </c>
      <c r="AO332" s="1" t="s">
        <v>436</v>
      </c>
      <c r="AP332" s="1" t="s">
        <v>1737</v>
      </c>
      <c r="AQ332" s="14">
        <v>45658</v>
      </c>
      <c r="AU332" s="14">
        <v>45799</v>
      </c>
      <c r="AV332" s="16">
        <v>0</v>
      </c>
      <c r="AW332" s="16">
        <v>0</v>
      </c>
      <c r="BA332" s="1" t="s">
        <v>911</v>
      </c>
      <c r="BB332" s="9">
        <v>1</v>
      </c>
      <c r="BC332" s="1" t="s">
        <v>862</v>
      </c>
      <c r="BD332" s="9" t="s">
        <v>807</v>
      </c>
      <c r="BE332" s="1" t="s">
        <v>1738</v>
      </c>
      <c r="BF332" s="1" t="s">
        <v>437</v>
      </c>
      <c r="BG332" s="1" t="s">
        <v>1739</v>
      </c>
      <c r="BH332" s="1" t="s">
        <v>1740</v>
      </c>
      <c r="BI332" s="20" t="s">
        <v>983</v>
      </c>
      <c r="BJ332" s="21" t="str">
        <f t="shared" si="5"/>
        <v>FIXO</v>
      </c>
    </row>
    <row r="333" spans="1:62" x14ac:dyDescent="0.25">
      <c r="A333" s="7">
        <v>6</v>
      </c>
      <c r="B333" s="1" t="s">
        <v>41</v>
      </c>
      <c r="C333" s="8">
        <v>9</v>
      </c>
      <c r="D333" s="9" t="s">
        <v>807</v>
      </c>
      <c r="E333" s="10">
        <v>18337</v>
      </c>
      <c r="F333" s="11" t="s">
        <v>1926</v>
      </c>
      <c r="G333" s="12" t="s">
        <v>71</v>
      </c>
      <c r="H333" s="13" t="str">
        <f>VLOOKUP(AP333,[1]Listas!A:B,2,0)</f>
        <v xml:space="preserve">FBLA </v>
      </c>
      <c r="I333" s="1" t="s">
        <v>384</v>
      </c>
      <c r="J333" s="12"/>
      <c r="K333" s="12"/>
      <c r="L333" s="12" t="s">
        <v>612</v>
      </c>
      <c r="M333" s="1" t="s">
        <v>515</v>
      </c>
      <c r="N333" s="14">
        <v>36937</v>
      </c>
      <c r="O333" s="1" t="s">
        <v>855</v>
      </c>
      <c r="P333" s="1" t="s">
        <v>856</v>
      </c>
      <c r="Q333" s="15" t="s">
        <v>807</v>
      </c>
      <c r="R333" s="1" t="s">
        <v>857</v>
      </c>
      <c r="S333" s="1" t="s">
        <v>868</v>
      </c>
      <c r="T333" s="1" t="s">
        <v>869</v>
      </c>
      <c r="U333" s="9" t="s">
        <v>1031</v>
      </c>
      <c r="V333" s="1" t="s">
        <v>1100</v>
      </c>
      <c r="W333" s="1" t="s">
        <v>1658</v>
      </c>
      <c r="X333" s="1" t="s">
        <v>400</v>
      </c>
      <c r="Y333" s="14">
        <v>45799</v>
      </c>
      <c r="Z333" s="9" t="s">
        <v>817</v>
      </c>
      <c r="AB333" s="14">
        <v>45692</v>
      </c>
      <c r="AC333" s="9" t="s">
        <v>817</v>
      </c>
      <c r="AD333" s="9" t="s">
        <v>818</v>
      </c>
      <c r="AE333" s="1" t="s">
        <v>819</v>
      </c>
      <c r="AF333" s="14" t="s">
        <v>820</v>
      </c>
      <c r="AG333" s="9" t="s">
        <v>821</v>
      </c>
      <c r="AH333" s="1" t="s">
        <v>9</v>
      </c>
      <c r="AI333" s="9" t="s">
        <v>10</v>
      </c>
      <c r="AJ333" s="1" t="s">
        <v>11</v>
      </c>
      <c r="AK333" s="1" t="s">
        <v>1927</v>
      </c>
      <c r="AL333" s="1" t="s">
        <v>1928</v>
      </c>
      <c r="AM333" s="9">
        <v>11741</v>
      </c>
      <c r="AN333" s="1" t="s">
        <v>516</v>
      </c>
      <c r="AO333" s="1" t="s">
        <v>517</v>
      </c>
      <c r="AP333" s="1" t="s">
        <v>1929</v>
      </c>
      <c r="AQ333" s="14">
        <v>45799</v>
      </c>
      <c r="AU333" s="14">
        <v>45799</v>
      </c>
      <c r="AV333" s="16">
        <v>0</v>
      </c>
      <c r="AW333" s="16">
        <v>0</v>
      </c>
      <c r="BA333" s="1" t="s">
        <v>911</v>
      </c>
      <c r="BB333" s="9">
        <v>5</v>
      </c>
      <c r="BC333" s="1" t="s">
        <v>1930</v>
      </c>
      <c r="BD333" s="9" t="s">
        <v>807</v>
      </c>
      <c r="BE333" s="1" t="s">
        <v>1630</v>
      </c>
      <c r="BF333" s="1" t="s">
        <v>384</v>
      </c>
      <c r="BG333" s="1" t="s">
        <v>1631</v>
      </c>
      <c r="BH333" s="1" t="s">
        <v>1632</v>
      </c>
      <c r="BI333" s="20" t="s">
        <v>1931</v>
      </c>
      <c r="BJ333" s="21" t="str">
        <f t="shared" si="5"/>
        <v>FIXO</v>
      </c>
    </row>
    <row r="334" spans="1:62" x14ac:dyDescent="0.25">
      <c r="A334" s="7">
        <v>6</v>
      </c>
      <c r="B334" s="1" t="s">
        <v>41</v>
      </c>
      <c r="C334" s="8">
        <v>9</v>
      </c>
      <c r="D334" s="9" t="s">
        <v>807</v>
      </c>
      <c r="E334" s="10">
        <v>18392</v>
      </c>
      <c r="F334" s="11" t="s">
        <v>1932</v>
      </c>
      <c r="G334" s="12" t="s">
        <v>71</v>
      </c>
      <c r="H334" s="13" t="str">
        <f>VLOOKUP(AP334,[1]Listas!A:B,2,0)</f>
        <v xml:space="preserve">FBLA </v>
      </c>
      <c r="I334" s="1" t="s">
        <v>384</v>
      </c>
      <c r="J334" s="12"/>
      <c r="K334" s="12"/>
      <c r="L334" s="12" t="s">
        <v>612</v>
      </c>
      <c r="M334" s="1" t="s">
        <v>518</v>
      </c>
      <c r="N334" s="14">
        <v>32785</v>
      </c>
      <c r="O334" s="1" t="s">
        <v>855</v>
      </c>
      <c r="P334" s="1" t="s">
        <v>856</v>
      </c>
      <c r="Q334" s="15" t="s">
        <v>807</v>
      </c>
      <c r="R334" s="1" t="s">
        <v>857</v>
      </c>
      <c r="S334" s="1" t="s">
        <v>868</v>
      </c>
      <c r="T334" s="1" t="s">
        <v>869</v>
      </c>
      <c r="U334" s="9" t="s">
        <v>868</v>
      </c>
      <c r="V334" s="1" t="s">
        <v>913</v>
      </c>
      <c r="W334" s="1" t="s">
        <v>1658</v>
      </c>
      <c r="X334" s="1" t="s">
        <v>400</v>
      </c>
      <c r="Y334" s="14">
        <v>45799</v>
      </c>
      <c r="Z334" s="9" t="s">
        <v>817</v>
      </c>
      <c r="AB334" s="14">
        <v>45489</v>
      </c>
      <c r="AC334" s="9" t="s">
        <v>817</v>
      </c>
      <c r="AD334" s="9" t="s">
        <v>818</v>
      </c>
      <c r="AE334" s="1" t="s">
        <v>819</v>
      </c>
      <c r="AF334" s="14" t="s">
        <v>820</v>
      </c>
      <c r="AG334" s="9" t="s">
        <v>821</v>
      </c>
      <c r="AH334" s="1" t="s">
        <v>9</v>
      </c>
      <c r="AI334" s="9" t="s">
        <v>10</v>
      </c>
      <c r="AJ334" s="1" t="s">
        <v>11</v>
      </c>
      <c r="AK334" s="1" t="s">
        <v>1927</v>
      </c>
      <c r="AL334" s="1" t="s">
        <v>1928</v>
      </c>
      <c r="AM334" s="9">
        <v>11741</v>
      </c>
      <c r="AN334" s="1" t="s">
        <v>516</v>
      </c>
      <c r="AO334" s="1" t="s">
        <v>517</v>
      </c>
      <c r="AP334" s="1" t="s">
        <v>1929</v>
      </c>
      <c r="AQ334" s="14">
        <v>45658</v>
      </c>
      <c r="AU334" s="14">
        <v>45799</v>
      </c>
      <c r="AV334" s="16">
        <v>0</v>
      </c>
      <c r="AW334" s="16">
        <v>0</v>
      </c>
      <c r="BA334" s="1" t="s">
        <v>911</v>
      </c>
      <c r="BB334" s="9">
        <v>21</v>
      </c>
      <c r="BC334" s="1" t="s">
        <v>1731</v>
      </c>
      <c r="BD334" s="9" t="s">
        <v>807</v>
      </c>
      <c r="BE334" s="1" t="s">
        <v>1630</v>
      </c>
      <c r="BF334" s="1" t="s">
        <v>384</v>
      </c>
      <c r="BG334" s="1" t="s">
        <v>1631</v>
      </c>
      <c r="BH334" s="1" t="s">
        <v>1632</v>
      </c>
      <c r="BI334" s="20" t="s">
        <v>1931</v>
      </c>
      <c r="BJ334" s="21" t="str">
        <f t="shared" si="5"/>
        <v>FIXO</v>
      </c>
    </row>
    <row r="335" spans="1:62" x14ac:dyDescent="0.25">
      <c r="A335" s="7">
        <v>6</v>
      </c>
      <c r="B335" s="1" t="s">
        <v>41</v>
      </c>
      <c r="C335" s="8">
        <v>9</v>
      </c>
      <c r="D335" s="9" t="s">
        <v>807</v>
      </c>
      <c r="E335" s="10">
        <v>18439</v>
      </c>
      <c r="F335" s="11" t="s">
        <v>1933</v>
      </c>
      <c r="G335" s="12" t="s">
        <v>41</v>
      </c>
      <c r="H335" s="13" t="str">
        <f>VLOOKUP(AP335,[1]Listas!A:B,2,0)</f>
        <v xml:space="preserve">FBLA </v>
      </c>
      <c r="I335" s="1" t="s">
        <v>444</v>
      </c>
      <c r="J335" s="12"/>
      <c r="K335" s="12"/>
      <c r="L335" s="1" t="s">
        <v>444</v>
      </c>
      <c r="M335" s="1" t="s">
        <v>519</v>
      </c>
      <c r="N335" s="14">
        <v>34126</v>
      </c>
      <c r="O335" s="1" t="s">
        <v>855</v>
      </c>
      <c r="P335" s="1" t="s">
        <v>856</v>
      </c>
      <c r="Q335" s="15" t="s">
        <v>807</v>
      </c>
      <c r="R335" s="1" t="s">
        <v>857</v>
      </c>
      <c r="S335" s="1" t="s">
        <v>868</v>
      </c>
      <c r="T335" s="1" t="s">
        <v>869</v>
      </c>
      <c r="U335" s="9" t="s">
        <v>811</v>
      </c>
      <c r="V335" s="1" t="s">
        <v>870</v>
      </c>
      <c r="W335" s="1" t="s">
        <v>1123</v>
      </c>
      <c r="X335" s="1" t="s">
        <v>168</v>
      </c>
      <c r="Y335" s="14">
        <v>45755</v>
      </c>
      <c r="Z335" s="9" t="s">
        <v>817</v>
      </c>
      <c r="AB335" s="14">
        <v>45755</v>
      </c>
      <c r="AC335" s="9" t="s">
        <v>817</v>
      </c>
      <c r="AD335" s="9" t="s">
        <v>818</v>
      </c>
      <c r="AE335" s="1" t="s">
        <v>819</v>
      </c>
      <c r="AF335" s="14">
        <v>45884</v>
      </c>
      <c r="AG335" s="9" t="s">
        <v>821</v>
      </c>
      <c r="AH335" s="1" t="s">
        <v>9</v>
      </c>
      <c r="AI335" s="9" t="s">
        <v>1934</v>
      </c>
      <c r="AJ335" s="1" t="s">
        <v>1935</v>
      </c>
      <c r="AK335" s="1" t="s">
        <v>1919</v>
      </c>
      <c r="AL335" s="1" t="s">
        <v>1920</v>
      </c>
      <c r="AM335" s="9">
        <v>11743</v>
      </c>
      <c r="AN335" s="1" t="s">
        <v>114</v>
      </c>
      <c r="AO335" s="1" t="s">
        <v>512</v>
      </c>
      <c r="AP335" s="1" t="s">
        <v>1921</v>
      </c>
      <c r="AQ335" s="14">
        <v>45755</v>
      </c>
      <c r="AU335" s="14">
        <v>45755</v>
      </c>
      <c r="AV335" s="16">
        <v>0</v>
      </c>
      <c r="AW335" s="16">
        <v>0</v>
      </c>
      <c r="BA335" s="1" t="s">
        <v>911</v>
      </c>
      <c r="BB335" s="9">
        <v>7</v>
      </c>
      <c r="BC335" s="1" t="s">
        <v>826</v>
      </c>
      <c r="BD335" s="9" t="s">
        <v>807</v>
      </c>
      <c r="BE335" s="1" t="s">
        <v>1738</v>
      </c>
      <c r="BF335" s="1" t="s">
        <v>437</v>
      </c>
      <c r="BG335" s="1" t="s">
        <v>1739</v>
      </c>
      <c r="BH335" s="1" t="s">
        <v>1740</v>
      </c>
      <c r="BI335" s="20" t="s">
        <v>983</v>
      </c>
      <c r="BJ335" s="21" t="str">
        <f t="shared" si="5"/>
        <v>FIXO</v>
      </c>
    </row>
    <row r="336" spans="1:62" x14ac:dyDescent="0.25">
      <c r="A336" s="7">
        <v>6</v>
      </c>
      <c r="B336" s="1" t="s">
        <v>41</v>
      </c>
      <c r="C336" s="8">
        <v>9</v>
      </c>
      <c r="D336" s="9" t="s">
        <v>807</v>
      </c>
      <c r="E336" s="10">
        <v>18451</v>
      </c>
      <c r="F336" s="11" t="s">
        <v>1936</v>
      </c>
      <c r="G336" s="12" t="s">
        <v>41</v>
      </c>
      <c r="H336" s="13" t="str">
        <f>VLOOKUP(AP336,[1]Listas!A:B,2,0)</f>
        <v xml:space="preserve">FBLA </v>
      </c>
      <c r="I336" s="1" t="s">
        <v>444</v>
      </c>
      <c r="J336" s="12"/>
      <c r="K336" s="12"/>
      <c r="L336" s="1" t="s">
        <v>458</v>
      </c>
      <c r="M336" s="1" t="s">
        <v>1937</v>
      </c>
      <c r="N336" s="14">
        <v>34157</v>
      </c>
      <c r="O336" s="1" t="s">
        <v>855</v>
      </c>
      <c r="P336" s="1" t="s">
        <v>856</v>
      </c>
      <c r="Q336" s="15" t="s">
        <v>811</v>
      </c>
      <c r="R336" s="1" t="s">
        <v>812</v>
      </c>
      <c r="S336" s="1" t="s">
        <v>868</v>
      </c>
      <c r="T336" s="1" t="s">
        <v>869</v>
      </c>
      <c r="U336" s="9" t="s">
        <v>868</v>
      </c>
      <c r="V336" s="1" t="s">
        <v>913</v>
      </c>
      <c r="W336" s="1" t="s">
        <v>871</v>
      </c>
      <c r="X336" s="1" t="s">
        <v>34</v>
      </c>
      <c r="Y336" s="14">
        <v>45616</v>
      </c>
      <c r="Z336" s="9" t="s">
        <v>817</v>
      </c>
      <c r="AB336" s="14">
        <v>45537</v>
      </c>
      <c r="AC336" s="9" t="s">
        <v>817</v>
      </c>
      <c r="AD336" s="9" t="s">
        <v>818</v>
      </c>
      <c r="AE336" s="1" t="s">
        <v>819</v>
      </c>
      <c r="AF336" s="14" t="s">
        <v>820</v>
      </c>
      <c r="AG336" s="9" t="s">
        <v>821</v>
      </c>
      <c r="AH336" s="1" t="s">
        <v>9</v>
      </c>
      <c r="AI336" s="9" t="s">
        <v>10</v>
      </c>
      <c r="AJ336" s="1" t="s">
        <v>11</v>
      </c>
      <c r="AK336" s="1" t="s">
        <v>1810</v>
      </c>
      <c r="AL336" s="1" t="s">
        <v>1811</v>
      </c>
      <c r="AM336" s="9">
        <v>11778</v>
      </c>
      <c r="AN336" s="1" t="s">
        <v>272</v>
      </c>
      <c r="AO336" s="1" t="s">
        <v>436</v>
      </c>
      <c r="AP336" s="1" t="s">
        <v>1737</v>
      </c>
      <c r="AQ336" s="14">
        <v>45658</v>
      </c>
      <c r="AU336" s="14">
        <v>45799</v>
      </c>
      <c r="AV336" s="16">
        <v>0</v>
      </c>
      <c r="AW336" s="16">
        <v>0</v>
      </c>
      <c r="BA336" s="1" t="s">
        <v>911</v>
      </c>
      <c r="BB336" s="9">
        <v>1</v>
      </c>
      <c r="BC336" s="1" t="s">
        <v>862</v>
      </c>
      <c r="BD336" s="9" t="s">
        <v>807</v>
      </c>
      <c r="BE336" s="1" t="s">
        <v>1017</v>
      </c>
      <c r="BI336" s="25" t="s">
        <v>878</v>
      </c>
      <c r="BJ336" s="21" t="str">
        <f t="shared" si="5"/>
        <v>FIXO</v>
      </c>
    </row>
    <row r="337" spans="1:62" x14ac:dyDescent="0.25">
      <c r="A337" s="7">
        <v>6</v>
      </c>
      <c r="B337" s="1" t="s">
        <v>41</v>
      </c>
      <c r="C337" s="8">
        <v>6</v>
      </c>
      <c r="D337" s="9" t="s">
        <v>807</v>
      </c>
      <c r="E337" s="10">
        <v>18452</v>
      </c>
      <c r="F337" s="11" t="s">
        <v>1938</v>
      </c>
      <c r="G337" s="12" t="s">
        <v>71</v>
      </c>
      <c r="H337" s="13" t="str">
        <f>VLOOKUP(AP337,[1]Listas!A:B,2,0)</f>
        <v xml:space="preserve">FSTV </v>
      </c>
      <c r="I337" s="1" t="s">
        <v>27</v>
      </c>
      <c r="J337" s="12"/>
      <c r="K337" s="12"/>
      <c r="L337" s="12"/>
      <c r="M337" s="1" t="s">
        <v>520</v>
      </c>
      <c r="N337" s="14">
        <v>39332</v>
      </c>
      <c r="O337" s="1" t="s">
        <v>855</v>
      </c>
      <c r="P337" s="1" t="s">
        <v>856</v>
      </c>
      <c r="Q337" s="15" t="s">
        <v>807</v>
      </c>
      <c r="R337" s="1" t="s">
        <v>857</v>
      </c>
      <c r="S337" s="1" t="s">
        <v>868</v>
      </c>
      <c r="T337" s="1" t="s">
        <v>869</v>
      </c>
      <c r="U337" s="9" t="s">
        <v>951</v>
      </c>
      <c r="V337" s="1" t="s">
        <v>952</v>
      </c>
      <c r="W337" s="1" t="s">
        <v>1062</v>
      </c>
      <c r="X337" s="1" t="s">
        <v>132</v>
      </c>
      <c r="Y337" s="14">
        <v>45506</v>
      </c>
      <c r="Z337" s="9" t="s">
        <v>817</v>
      </c>
      <c r="AB337" s="14">
        <v>45505</v>
      </c>
      <c r="AC337" s="9" t="s">
        <v>817</v>
      </c>
      <c r="AD337" s="9" t="s">
        <v>818</v>
      </c>
      <c r="AE337" s="1" t="s">
        <v>819</v>
      </c>
      <c r="AF337" s="14" t="s">
        <v>820</v>
      </c>
      <c r="AG337" s="9" t="s">
        <v>999</v>
      </c>
      <c r="AH337" s="1" t="s">
        <v>105</v>
      </c>
      <c r="AI337" s="9" t="s">
        <v>10</v>
      </c>
      <c r="AJ337" s="1" t="s">
        <v>11</v>
      </c>
      <c r="AK337" s="1" t="s">
        <v>1939</v>
      </c>
      <c r="AL337" s="1" t="s">
        <v>1940</v>
      </c>
      <c r="AM337" s="9">
        <v>11401</v>
      </c>
      <c r="AN337" s="1" t="s">
        <v>83</v>
      </c>
      <c r="AO337" s="1" t="s">
        <v>506</v>
      </c>
      <c r="AP337" s="1" t="s">
        <v>1907</v>
      </c>
      <c r="AQ337" s="14">
        <v>45658</v>
      </c>
      <c r="AU337" s="14">
        <v>45799</v>
      </c>
      <c r="AV337" s="16">
        <v>0</v>
      </c>
      <c r="AW337" s="16">
        <v>0</v>
      </c>
      <c r="BA337" s="1" t="s">
        <v>911</v>
      </c>
      <c r="BB337" s="9">
        <v>3</v>
      </c>
      <c r="BC337" s="1" t="s">
        <v>1941</v>
      </c>
      <c r="BD337" s="9" t="s">
        <v>807</v>
      </c>
      <c r="BE337" s="1" t="s">
        <v>850</v>
      </c>
      <c r="BF337" s="1" t="s">
        <v>27</v>
      </c>
      <c r="BG337" s="1" t="s">
        <v>851</v>
      </c>
      <c r="BH337" s="1" t="s">
        <v>852</v>
      </c>
      <c r="BI337" s="20" t="s">
        <v>853</v>
      </c>
      <c r="BJ337" s="21" t="str">
        <f t="shared" si="5"/>
        <v>FIXO</v>
      </c>
    </row>
    <row r="338" spans="1:62" x14ac:dyDescent="0.25">
      <c r="A338" s="7">
        <v>6</v>
      </c>
      <c r="B338" s="1" t="s">
        <v>41</v>
      </c>
      <c r="C338" s="8">
        <v>6</v>
      </c>
      <c r="D338" s="9" t="s">
        <v>807</v>
      </c>
      <c r="E338" s="10">
        <v>18491</v>
      </c>
      <c r="F338" s="11" t="s">
        <v>1942</v>
      </c>
      <c r="G338" s="12" t="s">
        <v>271</v>
      </c>
      <c r="H338" s="13" t="str">
        <f>VLOOKUP(AP338,[1]Listas!A:B,2,0)</f>
        <v xml:space="preserve">FSTV </v>
      </c>
      <c r="I338" s="1" t="s">
        <v>440</v>
      </c>
      <c r="J338" s="12"/>
      <c r="K338" s="1" t="s">
        <v>450</v>
      </c>
      <c r="L338" s="12"/>
      <c r="M338" s="1" t="s">
        <v>521</v>
      </c>
      <c r="N338" s="14">
        <v>29761</v>
      </c>
      <c r="O338" s="1" t="s">
        <v>855</v>
      </c>
      <c r="P338" s="1" t="s">
        <v>856</v>
      </c>
      <c r="Q338" s="15" t="s">
        <v>807</v>
      </c>
      <c r="R338" s="1" t="s">
        <v>857</v>
      </c>
      <c r="S338" s="1" t="s">
        <v>868</v>
      </c>
      <c r="T338" s="1" t="s">
        <v>869</v>
      </c>
      <c r="U338" s="9" t="s">
        <v>880</v>
      </c>
      <c r="V338" s="1" t="s">
        <v>881</v>
      </c>
      <c r="W338" s="1" t="s">
        <v>871</v>
      </c>
      <c r="X338" s="1" t="s">
        <v>34</v>
      </c>
      <c r="Y338" s="14">
        <v>45506</v>
      </c>
      <c r="Z338" s="9" t="s">
        <v>817</v>
      </c>
      <c r="AB338" s="14">
        <v>45505</v>
      </c>
      <c r="AC338" s="9" t="s">
        <v>817</v>
      </c>
      <c r="AD338" s="9" t="s">
        <v>818</v>
      </c>
      <c r="AE338" s="1" t="s">
        <v>819</v>
      </c>
      <c r="AF338" s="14" t="s">
        <v>820</v>
      </c>
      <c r="AG338" s="9" t="s">
        <v>821</v>
      </c>
      <c r="AH338" s="1" t="s">
        <v>9</v>
      </c>
      <c r="AI338" s="9" t="s">
        <v>10</v>
      </c>
      <c r="AJ338" s="1" t="s">
        <v>11</v>
      </c>
      <c r="AK338" s="1" t="s">
        <v>1784</v>
      </c>
      <c r="AL338" s="1" t="s">
        <v>1785</v>
      </c>
      <c r="AM338" s="9">
        <v>11472</v>
      </c>
      <c r="AN338" s="1" t="s">
        <v>276</v>
      </c>
      <c r="AO338" s="1" t="s">
        <v>439</v>
      </c>
      <c r="AP338" s="1" t="s">
        <v>1748</v>
      </c>
      <c r="AQ338" s="14">
        <v>45658</v>
      </c>
      <c r="AU338" s="14">
        <v>45799</v>
      </c>
      <c r="AV338" s="16">
        <v>0</v>
      </c>
      <c r="AW338" s="16">
        <v>0</v>
      </c>
      <c r="BA338" s="1" t="s">
        <v>911</v>
      </c>
      <c r="BB338" s="9">
        <v>1</v>
      </c>
      <c r="BC338" s="1" t="s">
        <v>862</v>
      </c>
      <c r="BD338" s="9" t="s">
        <v>807</v>
      </c>
      <c r="BE338" s="1" t="s">
        <v>1766</v>
      </c>
      <c r="BF338" s="1" t="s">
        <v>450</v>
      </c>
      <c r="BG338" s="1" t="s">
        <v>1767</v>
      </c>
      <c r="BH338" s="1" t="s">
        <v>1768</v>
      </c>
      <c r="BI338" s="20" t="s">
        <v>916</v>
      </c>
      <c r="BJ338" s="21" t="str">
        <f t="shared" si="5"/>
        <v>FIXO</v>
      </c>
    </row>
    <row r="339" spans="1:62" x14ac:dyDescent="0.25">
      <c r="A339" s="7">
        <v>6</v>
      </c>
      <c r="B339" s="1" t="s">
        <v>41</v>
      </c>
      <c r="C339" s="8">
        <v>9</v>
      </c>
      <c r="D339" s="9" t="s">
        <v>807</v>
      </c>
      <c r="E339" s="10">
        <v>18626</v>
      </c>
      <c r="F339" s="11" t="s">
        <v>1943</v>
      </c>
      <c r="G339" s="12" t="s">
        <v>41</v>
      </c>
      <c r="H339" s="13" t="str">
        <f>VLOOKUP(AP339,[1]Listas!A:B,2,0)</f>
        <v xml:space="preserve">FBLA </v>
      </c>
      <c r="I339" s="1" t="s">
        <v>444</v>
      </c>
      <c r="J339" s="12"/>
      <c r="K339" s="12"/>
      <c r="L339" s="1" t="s">
        <v>437</v>
      </c>
      <c r="M339" s="1" t="s">
        <v>522</v>
      </c>
      <c r="N339" s="14">
        <v>30539</v>
      </c>
      <c r="O339" s="1" t="s">
        <v>855</v>
      </c>
      <c r="P339" s="1" t="s">
        <v>856</v>
      </c>
      <c r="Q339" s="15" t="s">
        <v>807</v>
      </c>
      <c r="R339" s="1" t="s">
        <v>857</v>
      </c>
      <c r="S339" s="1" t="s">
        <v>868</v>
      </c>
      <c r="T339" s="1" t="s">
        <v>869</v>
      </c>
      <c r="U339" s="9" t="s">
        <v>811</v>
      </c>
      <c r="V339" s="1" t="s">
        <v>870</v>
      </c>
      <c r="W339" s="1" t="s">
        <v>871</v>
      </c>
      <c r="X339" s="1" t="s">
        <v>34</v>
      </c>
      <c r="Y339" s="14">
        <v>45517</v>
      </c>
      <c r="Z339" s="9" t="s">
        <v>817</v>
      </c>
      <c r="AB339" s="14">
        <v>45516</v>
      </c>
      <c r="AC339" s="9" t="s">
        <v>817</v>
      </c>
      <c r="AD339" s="9" t="s">
        <v>818</v>
      </c>
      <c r="AE339" s="1" t="s">
        <v>819</v>
      </c>
      <c r="AF339" s="14" t="s">
        <v>820</v>
      </c>
      <c r="AG339" s="9" t="s">
        <v>821</v>
      </c>
      <c r="AH339" s="1" t="s">
        <v>9</v>
      </c>
      <c r="AI339" s="9" t="s">
        <v>10</v>
      </c>
      <c r="AJ339" s="1" t="s">
        <v>11</v>
      </c>
      <c r="AK339" s="1" t="s">
        <v>1777</v>
      </c>
      <c r="AL339" s="1" t="s">
        <v>1778</v>
      </c>
      <c r="AM339" s="9">
        <v>11780</v>
      </c>
      <c r="AN339" s="1" t="s">
        <v>293</v>
      </c>
      <c r="AO339" s="1" t="s">
        <v>436</v>
      </c>
      <c r="AP339" s="1" t="s">
        <v>1737</v>
      </c>
      <c r="AQ339" s="14">
        <v>45658</v>
      </c>
      <c r="AU339" s="14">
        <v>45799</v>
      </c>
      <c r="AV339" s="16">
        <v>0</v>
      </c>
      <c r="AW339" s="16">
        <v>0</v>
      </c>
      <c r="BA339" s="1" t="s">
        <v>911</v>
      </c>
      <c r="BB339" s="9">
        <v>1</v>
      </c>
      <c r="BC339" s="1" t="s">
        <v>862</v>
      </c>
      <c r="BD339" s="9" t="s">
        <v>807</v>
      </c>
      <c r="BE339" s="1" t="s">
        <v>1738</v>
      </c>
      <c r="BF339" s="1" t="s">
        <v>437</v>
      </c>
      <c r="BG339" s="1" t="s">
        <v>1739</v>
      </c>
      <c r="BH339" s="1" t="s">
        <v>1740</v>
      </c>
      <c r="BI339" s="20" t="s">
        <v>866</v>
      </c>
      <c r="BJ339" s="21" t="str">
        <f t="shared" si="5"/>
        <v>FIXO</v>
      </c>
    </row>
    <row r="340" spans="1:62" x14ac:dyDescent="0.25">
      <c r="A340" s="7">
        <v>6</v>
      </c>
      <c r="B340" s="1" t="s">
        <v>41</v>
      </c>
      <c r="C340" s="8">
        <v>9</v>
      </c>
      <c r="D340" s="9" t="s">
        <v>807</v>
      </c>
      <c r="E340" s="10">
        <v>18643</v>
      </c>
      <c r="F340" s="11" t="s">
        <v>1944</v>
      </c>
      <c r="G340" s="12" t="s">
        <v>41</v>
      </c>
      <c r="H340" s="13" t="str">
        <f>VLOOKUP(AP340,[1]Listas!A:B,2,0)</f>
        <v xml:space="preserve">FBLA </v>
      </c>
      <c r="I340" s="1" t="s">
        <v>444</v>
      </c>
      <c r="J340" s="12"/>
      <c r="K340" s="12"/>
      <c r="L340" s="1" t="s">
        <v>444</v>
      </c>
      <c r="M340" s="1" t="s">
        <v>523</v>
      </c>
      <c r="N340" s="14">
        <v>27520</v>
      </c>
      <c r="O340" s="1" t="s">
        <v>855</v>
      </c>
      <c r="P340" s="1" t="s">
        <v>856</v>
      </c>
      <c r="Q340" s="15" t="s">
        <v>811</v>
      </c>
      <c r="R340" s="1" t="s">
        <v>812</v>
      </c>
      <c r="S340" s="1" t="s">
        <v>868</v>
      </c>
      <c r="T340" s="1" t="s">
        <v>869</v>
      </c>
      <c r="U340" s="9" t="s">
        <v>811</v>
      </c>
      <c r="V340" s="1" t="s">
        <v>870</v>
      </c>
      <c r="W340" s="1" t="s">
        <v>925</v>
      </c>
      <c r="X340" s="1" t="s">
        <v>61</v>
      </c>
      <c r="Y340" s="14">
        <v>45514</v>
      </c>
      <c r="Z340" s="9" t="s">
        <v>817</v>
      </c>
      <c r="AB340" s="14">
        <v>45513</v>
      </c>
      <c r="AC340" s="9" t="s">
        <v>817</v>
      </c>
      <c r="AD340" s="9" t="s">
        <v>818</v>
      </c>
      <c r="AE340" s="1" t="s">
        <v>819</v>
      </c>
      <c r="AF340" s="14" t="s">
        <v>820</v>
      </c>
      <c r="AG340" s="9" t="s">
        <v>835</v>
      </c>
      <c r="AH340" s="1" t="s">
        <v>17</v>
      </c>
      <c r="AI340" s="9" t="s">
        <v>10</v>
      </c>
      <c r="AJ340" s="1" t="s">
        <v>11</v>
      </c>
      <c r="AK340" s="1" t="s">
        <v>1945</v>
      </c>
      <c r="AL340" s="1" t="s">
        <v>1946</v>
      </c>
      <c r="AM340" s="9">
        <v>11736</v>
      </c>
      <c r="AN340" s="1" t="s">
        <v>62</v>
      </c>
      <c r="AO340" s="1" t="s">
        <v>524</v>
      </c>
      <c r="AP340" s="1" t="s">
        <v>1947</v>
      </c>
      <c r="AQ340" s="14">
        <v>45658</v>
      </c>
      <c r="AU340" s="14">
        <v>45679</v>
      </c>
      <c r="AV340" s="16">
        <v>0</v>
      </c>
      <c r="AW340" s="16">
        <v>0</v>
      </c>
      <c r="BA340" s="1" t="s">
        <v>911</v>
      </c>
      <c r="BB340" s="9">
        <v>1</v>
      </c>
      <c r="BC340" s="1" t="s">
        <v>862</v>
      </c>
      <c r="BD340" s="9" t="s">
        <v>807</v>
      </c>
      <c r="BE340" s="1" t="s">
        <v>1775</v>
      </c>
      <c r="BF340" s="1" t="s">
        <v>444</v>
      </c>
      <c r="BG340" s="1" t="s">
        <v>1770</v>
      </c>
      <c r="BH340" s="1" t="s">
        <v>1771</v>
      </c>
      <c r="BI340" s="20" t="s">
        <v>929</v>
      </c>
      <c r="BJ340" s="21" t="str">
        <f t="shared" si="5"/>
        <v>FIXO</v>
      </c>
    </row>
    <row r="341" spans="1:62" x14ac:dyDescent="0.25">
      <c r="A341" s="7">
        <v>6</v>
      </c>
      <c r="B341" s="1" t="s">
        <v>41</v>
      </c>
      <c r="C341" s="8">
        <v>9</v>
      </c>
      <c r="D341" s="9" t="s">
        <v>807</v>
      </c>
      <c r="E341" s="10">
        <v>18649</v>
      </c>
      <c r="F341" s="11" t="s">
        <v>1948</v>
      </c>
      <c r="G341" s="12" t="s">
        <v>41</v>
      </c>
      <c r="H341" s="13" t="str">
        <f>VLOOKUP(AP341,[1]Listas!A:B,2,0)</f>
        <v xml:space="preserve">FBLA </v>
      </c>
      <c r="I341" s="1" t="s">
        <v>444</v>
      </c>
      <c r="J341" s="12"/>
      <c r="K341" s="12"/>
      <c r="L341" s="1" t="s">
        <v>458</v>
      </c>
      <c r="M341" s="1" t="s">
        <v>1949</v>
      </c>
      <c r="N341" s="14">
        <v>35897</v>
      </c>
      <c r="O341" s="1" t="s">
        <v>855</v>
      </c>
      <c r="P341" s="1" t="s">
        <v>856</v>
      </c>
      <c r="Q341" s="15" t="s">
        <v>811</v>
      </c>
      <c r="R341" s="1" t="s">
        <v>812</v>
      </c>
      <c r="S341" s="1" t="s">
        <v>868</v>
      </c>
      <c r="T341" s="1" t="s">
        <v>869</v>
      </c>
      <c r="U341" s="9" t="s">
        <v>814</v>
      </c>
      <c r="V341" s="1" t="s">
        <v>815</v>
      </c>
      <c r="W341" s="1" t="s">
        <v>871</v>
      </c>
      <c r="X341" s="1" t="s">
        <v>34</v>
      </c>
      <c r="Y341" s="14">
        <v>45518</v>
      </c>
      <c r="Z341" s="9" t="s">
        <v>817</v>
      </c>
      <c r="AB341" s="14">
        <v>45517</v>
      </c>
      <c r="AC341" s="9" t="s">
        <v>817</v>
      </c>
      <c r="AD341" s="9" t="s">
        <v>818</v>
      </c>
      <c r="AE341" s="1" t="s">
        <v>819</v>
      </c>
      <c r="AF341" s="14" t="s">
        <v>820</v>
      </c>
      <c r="AG341" s="9" t="s">
        <v>821</v>
      </c>
      <c r="AH341" s="1" t="s">
        <v>9</v>
      </c>
      <c r="AI341" s="9" t="s">
        <v>10</v>
      </c>
      <c r="AJ341" s="1" t="s">
        <v>11</v>
      </c>
      <c r="AK341" s="1" t="s">
        <v>1810</v>
      </c>
      <c r="AL341" s="1" t="s">
        <v>1811</v>
      </c>
      <c r="AM341" s="9">
        <v>11778</v>
      </c>
      <c r="AN341" s="1" t="s">
        <v>272</v>
      </c>
      <c r="AO341" s="1" t="s">
        <v>436</v>
      </c>
      <c r="AP341" s="1" t="s">
        <v>1737</v>
      </c>
      <c r="AQ341" s="14">
        <v>45658</v>
      </c>
      <c r="AU341" s="14">
        <v>45799</v>
      </c>
      <c r="AV341" s="16">
        <v>0</v>
      </c>
      <c r="AW341" s="16">
        <v>0</v>
      </c>
      <c r="BA341" s="1" t="s">
        <v>911</v>
      </c>
      <c r="BB341" s="9">
        <v>1</v>
      </c>
      <c r="BC341" s="1" t="s">
        <v>862</v>
      </c>
      <c r="BD341" s="9" t="s">
        <v>807</v>
      </c>
      <c r="BE341" s="1" t="s">
        <v>1017</v>
      </c>
      <c r="BI341" s="25" t="s">
        <v>878</v>
      </c>
      <c r="BJ341" s="21" t="str">
        <f t="shared" si="5"/>
        <v>FIXO</v>
      </c>
    </row>
    <row r="342" spans="1:62" x14ac:dyDescent="0.25">
      <c r="A342" s="7">
        <v>6</v>
      </c>
      <c r="B342" s="1" t="s">
        <v>41</v>
      </c>
      <c r="C342" s="8">
        <v>6</v>
      </c>
      <c r="D342" s="9" t="s">
        <v>807</v>
      </c>
      <c r="E342" s="10">
        <v>18659</v>
      </c>
      <c r="F342" s="11" t="s">
        <v>1950</v>
      </c>
      <c r="G342" s="12" t="s">
        <v>71</v>
      </c>
      <c r="H342" s="13" t="str">
        <f>VLOOKUP(AP342,[1]Listas!A:B,2,0)</f>
        <v xml:space="preserve">FSTV </v>
      </c>
      <c r="I342" s="1" t="s">
        <v>27</v>
      </c>
      <c r="J342" s="12"/>
      <c r="K342" s="12"/>
      <c r="L342" s="12"/>
      <c r="M342" s="1" t="s">
        <v>525</v>
      </c>
      <c r="N342" s="14">
        <v>36314</v>
      </c>
      <c r="O342" s="1" t="s">
        <v>855</v>
      </c>
      <c r="P342" s="1" t="s">
        <v>856</v>
      </c>
      <c r="Q342" s="15" t="s">
        <v>807</v>
      </c>
      <c r="R342" s="1" t="s">
        <v>857</v>
      </c>
      <c r="S342" s="1" t="s">
        <v>868</v>
      </c>
      <c r="T342" s="1" t="s">
        <v>869</v>
      </c>
      <c r="U342" s="9" t="s">
        <v>814</v>
      </c>
      <c r="V342" s="1" t="s">
        <v>815</v>
      </c>
      <c r="W342" s="1" t="s">
        <v>1062</v>
      </c>
      <c r="X342" s="1" t="s">
        <v>132</v>
      </c>
      <c r="Y342" s="14">
        <v>45525</v>
      </c>
      <c r="Z342" s="9" t="s">
        <v>817</v>
      </c>
      <c r="AB342" s="14">
        <v>45524</v>
      </c>
      <c r="AC342" s="9" t="s">
        <v>817</v>
      </c>
      <c r="AD342" s="9" t="s">
        <v>818</v>
      </c>
      <c r="AE342" s="1" t="s">
        <v>819</v>
      </c>
      <c r="AF342" s="14" t="s">
        <v>820</v>
      </c>
      <c r="AG342" s="9" t="s">
        <v>821</v>
      </c>
      <c r="AH342" s="1" t="s">
        <v>9</v>
      </c>
      <c r="AI342" s="9" t="s">
        <v>10</v>
      </c>
      <c r="AJ342" s="1" t="s">
        <v>11</v>
      </c>
      <c r="AK342" s="1" t="s">
        <v>1951</v>
      </c>
      <c r="AL342" s="1" t="s">
        <v>1952</v>
      </c>
      <c r="AM342" s="9">
        <v>11404</v>
      </c>
      <c r="AN342" s="1" t="s">
        <v>526</v>
      </c>
      <c r="AO342" s="1" t="s">
        <v>527</v>
      </c>
      <c r="AP342" s="1" t="s">
        <v>1953</v>
      </c>
      <c r="AQ342" s="14">
        <v>45658</v>
      </c>
      <c r="AU342" s="14">
        <v>45799</v>
      </c>
      <c r="AV342" s="16">
        <v>30</v>
      </c>
      <c r="AW342" s="16">
        <v>0</v>
      </c>
      <c r="BA342" s="1" t="s">
        <v>911</v>
      </c>
      <c r="BB342" s="9">
        <v>1</v>
      </c>
      <c r="BC342" s="1" t="s">
        <v>862</v>
      </c>
      <c r="BD342" s="9" t="s">
        <v>807</v>
      </c>
      <c r="BE342" s="1" t="s">
        <v>850</v>
      </c>
      <c r="BF342" s="1" t="s">
        <v>27</v>
      </c>
      <c r="BG342" s="1" t="s">
        <v>851</v>
      </c>
      <c r="BH342" s="1" t="s">
        <v>852</v>
      </c>
      <c r="BI342" s="20" t="s">
        <v>853</v>
      </c>
      <c r="BJ342" s="21" t="str">
        <f t="shared" si="5"/>
        <v>FIXO</v>
      </c>
    </row>
    <row r="343" spans="1:62" x14ac:dyDescent="0.25">
      <c r="A343" s="7">
        <v>6</v>
      </c>
      <c r="B343" s="1" t="s">
        <v>41</v>
      </c>
      <c r="C343" s="8">
        <v>9</v>
      </c>
      <c r="D343" s="9" t="s">
        <v>807</v>
      </c>
      <c r="E343" s="10">
        <v>18767</v>
      </c>
      <c r="F343" s="11" t="s">
        <v>1954</v>
      </c>
      <c r="G343" s="12" t="s">
        <v>41</v>
      </c>
      <c r="H343" s="13" t="str">
        <f>VLOOKUP(AP343,[1]Listas!A:B,2,0)</f>
        <v xml:space="preserve">FBLA </v>
      </c>
      <c r="I343" s="1" t="s">
        <v>444</v>
      </c>
      <c r="J343" s="12"/>
      <c r="K343" s="12"/>
      <c r="L343" s="1" t="s">
        <v>444</v>
      </c>
      <c r="M343" s="1" t="s">
        <v>528</v>
      </c>
      <c r="N343" s="14">
        <v>29833</v>
      </c>
      <c r="O343" s="1" t="s">
        <v>855</v>
      </c>
      <c r="P343" s="1" t="s">
        <v>856</v>
      </c>
      <c r="Q343" s="15" t="s">
        <v>807</v>
      </c>
      <c r="R343" s="1" t="s">
        <v>857</v>
      </c>
      <c r="S343" s="1" t="s">
        <v>868</v>
      </c>
      <c r="T343" s="1" t="s">
        <v>869</v>
      </c>
      <c r="U343" s="9" t="s">
        <v>868</v>
      </c>
      <c r="V343" s="1" t="s">
        <v>913</v>
      </c>
      <c r="W343" s="1" t="s">
        <v>979</v>
      </c>
      <c r="X343" s="1" t="s">
        <v>92</v>
      </c>
      <c r="Y343" s="14">
        <v>45570</v>
      </c>
      <c r="Z343" s="9" t="s">
        <v>817</v>
      </c>
      <c r="AB343" s="14">
        <v>45538</v>
      </c>
      <c r="AC343" s="9" t="s">
        <v>817</v>
      </c>
      <c r="AD343" s="9" t="s">
        <v>818</v>
      </c>
      <c r="AE343" s="1" t="s">
        <v>819</v>
      </c>
      <c r="AF343" s="14" t="s">
        <v>820</v>
      </c>
      <c r="AG343" s="9" t="s">
        <v>821</v>
      </c>
      <c r="AH343" s="1" t="s">
        <v>9</v>
      </c>
      <c r="AI343" s="9" t="s">
        <v>10</v>
      </c>
      <c r="AJ343" s="1" t="s">
        <v>11</v>
      </c>
      <c r="AK343" s="1" t="s">
        <v>1955</v>
      </c>
      <c r="AL343" s="1" t="s">
        <v>1956</v>
      </c>
      <c r="AM343" s="9">
        <v>11718</v>
      </c>
      <c r="AN343" s="1" t="s">
        <v>122</v>
      </c>
      <c r="AO343" s="1" t="s">
        <v>529</v>
      </c>
      <c r="AP343" s="1" t="s">
        <v>1957</v>
      </c>
      <c r="AQ343" s="14">
        <v>45658</v>
      </c>
      <c r="AU343" s="14">
        <v>45799</v>
      </c>
      <c r="AV343" s="16">
        <v>0</v>
      </c>
      <c r="AW343" s="16">
        <v>0</v>
      </c>
      <c r="BA343" s="1" t="s">
        <v>911</v>
      </c>
      <c r="BB343" s="9">
        <v>1</v>
      </c>
      <c r="BC343" s="1" t="s">
        <v>862</v>
      </c>
      <c r="BD343" s="9" t="s">
        <v>807</v>
      </c>
      <c r="BE343" s="1" t="s">
        <v>1738</v>
      </c>
      <c r="BF343" s="1" t="s">
        <v>437</v>
      </c>
      <c r="BG343" s="1" t="s">
        <v>1739</v>
      </c>
      <c r="BH343" s="1" t="s">
        <v>1740</v>
      </c>
      <c r="BI343" s="20" t="s">
        <v>983</v>
      </c>
      <c r="BJ343" s="21" t="str">
        <f t="shared" si="5"/>
        <v>FIXO</v>
      </c>
    </row>
    <row r="344" spans="1:62" x14ac:dyDescent="0.25">
      <c r="A344" s="7">
        <v>6</v>
      </c>
      <c r="B344" s="1" t="s">
        <v>41</v>
      </c>
      <c r="C344" s="8">
        <v>6</v>
      </c>
      <c r="D344" s="9" t="s">
        <v>807</v>
      </c>
      <c r="E344" s="10">
        <v>18775</v>
      </c>
      <c r="F344" s="11" t="s">
        <v>1958</v>
      </c>
      <c r="G344" s="12" t="s">
        <v>271</v>
      </c>
      <c r="H344" s="13" t="str">
        <f>VLOOKUP(AP344,[1]Listas!A:B,2,0)</f>
        <v xml:space="preserve">FSTV </v>
      </c>
      <c r="I344" s="1" t="s">
        <v>440</v>
      </c>
      <c r="J344" s="12"/>
      <c r="K344" s="12"/>
      <c r="L344" s="12" t="s">
        <v>1744</v>
      </c>
      <c r="M344" s="1" t="s">
        <v>1959</v>
      </c>
      <c r="N344" s="14">
        <v>37996</v>
      </c>
      <c r="O344" s="1" t="s">
        <v>855</v>
      </c>
      <c r="P344" s="1" t="s">
        <v>856</v>
      </c>
      <c r="Q344" s="15" t="s">
        <v>807</v>
      </c>
      <c r="R344" s="1" t="s">
        <v>857</v>
      </c>
      <c r="S344" s="1" t="s">
        <v>868</v>
      </c>
      <c r="T344" s="1" t="s">
        <v>869</v>
      </c>
      <c r="U344" s="9" t="s">
        <v>951</v>
      </c>
      <c r="V344" s="1" t="s">
        <v>952</v>
      </c>
      <c r="W344" s="1" t="s">
        <v>871</v>
      </c>
      <c r="X344" s="1" t="s">
        <v>34</v>
      </c>
      <c r="Y344" s="14">
        <v>45542</v>
      </c>
      <c r="Z344" s="9" t="s">
        <v>817</v>
      </c>
      <c r="AB344" s="14">
        <v>45541</v>
      </c>
      <c r="AC344" s="9" t="s">
        <v>817</v>
      </c>
      <c r="AD344" s="9" t="s">
        <v>818</v>
      </c>
      <c r="AE344" s="1" t="s">
        <v>819</v>
      </c>
      <c r="AF344" s="14" t="s">
        <v>820</v>
      </c>
      <c r="AG344" s="9" t="s">
        <v>821</v>
      </c>
      <c r="AH344" s="1" t="s">
        <v>9</v>
      </c>
      <c r="AI344" s="9" t="s">
        <v>10</v>
      </c>
      <c r="AJ344" s="1" t="s">
        <v>11</v>
      </c>
      <c r="AK344" s="1" t="s">
        <v>1781</v>
      </c>
      <c r="AL344" s="1" t="s">
        <v>1782</v>
      </c>
      <c r="AM344" s="9">
        <v>11471</v>
      </c>
      <c r="AN344" s="1" t="s">
        <v>272</v>
      </c>
      <c r="AO344" s="1" t="s">
        <v>439</v>
      </c>
      <c r="AP344" s="1" t="s">
        <v>1748</v>
      </c>
      <c r="AQ344" s="14">
        <v>45658</v>
      </c>
      <c r="AU344" s="14">
        <v>45799</v>
      </c>
      <c r="AV344" s="16">
        <v>0</v>
      </c>
      <c r="AW344" s="16">
        <v>0</v>
      </c>
      <c r="BA344" s="1" t="s">
        <v>911</v>
      </c>
      <c r="BB344" s="9">
        <v>1</v>
      </c>
      <c r="BC344" s="1" t="s">
        <v>862</v>
      </c>
      <c r="BD344" s="9" t="s">
        <v>807</v>
      </c>
      <c r="BE344" s="1" t="s">
        <v>1017</v>
      </c>
      <c r="BI344" s="20" t="s">
        <v>878</v>
      </c>
      <c r="BJ344" s="21" t="str">
        <f t="shared" si="5"/>
        <v>FIXO</v>
      </c>
    </row>
    <row r="345" spans="1:62" x14ac:dyDescent="0.25">
      <c r="A345" s="7">
        <v>6</v>
      </c>
      <c r="B345" s="1" t="s">
        <v>41</v>
      </c>
      <c r="C345" s="8">
        <v>9</v>
      </c>
      <c r="D345" s="9" t="s">
        <v>807</v>
      </c>
      <c r="E345" s="10">
        <v>18793</v>
      </c>
      <c r="F345" s="11" t="s">
        <v>1960</v>
      </c>
      <c r="G345" s="12" t="s">
        <v>41</v>
      </c>
      <c r="H345" s="13" t="str">
        <f>VLOOKUP(AP345,[1]Listas!A:B,2,0)</f>
        <v xml:space="preserve">FBLA </v>
      </c>
      <c r="I345" s="1" t="s">
        <v>444</v>
      </c>
      <c r="J345" s="12"/>
      <c r="K345" s="12"/>
      <c r="L345" s="1" t="s">
        <v>444</v>
      </c>
      <c r="M345" s="1" t="s">
        <v>530</v>
      </c>
      <c r="N345" s="14">
        <v>30009</v>
      </c>
      <c r="O345" s="1" t="s">
        <v>809</v>
      </c>
      <c r="P345" s="1" t="s">
        <v>810</v>
      </c>
      <c r="Q345" s="15" t="s">
        <v>811</v>
      </c>
      <c r="R345" s="1" t="s">
        <v>812</v>
      </c>
      <c r="S345" s="1" t="s">
        <v>868</v>
      </c>
      <c r="T345" s="1" t="s">
        <v>869</v>
      </c>
      <c r="U345" s="9" t="s">
        <v>880</v>
      </c>
      <c r="V345" s="1" t="s">
        <v>881</v>
      </c>
      <c r="W345" s="1" t="s">
        <v>1051</v>
      </c>
      <c r="X345" s="1" t="s">
        <v>126</v>
      </c>
      <c r="Y345" s="14">
        <v>45545</v>
      </c>
      <c r="Z345" s="9" t="s">
        <v>817</v>
      </c>
      <c r="AB345" s="14">
        <v>45544</v>
      </c>
      <c r="AC345" s="9" t="s">
        <v>817</v>
      </c>
      <c r="AD345" s="9" t="s">
        <v>818</v>
      </c>
      <c r="AE345" s="1" t="s">
        <v>819</v>
      </c>
      <c r="AF345" s="14" t="s">
        <v>820</v>
      </c>
      <c r="AG345" s="9" t="s">
        <v>821</v>
      </c>
      <c r="AH345" s="1" t="s">
        <v>9</v>
      </c>
      <c r="AI345" s="9" t="s">
        <v>10</v>
      </c>
      <c r="AJ345" s="1" t="s">
        <v>11</v>
      </c>
      <c r="AK345" s="1" t="s">
        <v>1913</v>
      </c>
      <c r="AL345" s="1" t="s">
        <v>1914</v>
      </c>
      <c r="AM345" s="9">
        <v>11755</v>
      </c>
      <c r="AN345" s="1" t="s">
        <v>127</v>
      </c>
      <c r="AO345" s="1" t="s">
        <v>510</v>
      </c>
      <c r="AP345" s="1" t="s">
        <v>1915</v>
      </c>
      <c r="AQ345" s="14">
        <v>45658</v>
      </c>
      <c r="AU345" s="14">
        <v>45799</v>
      </c>
      <c r="AV345" s="16">
        <v>0</v>
      </c>
      <c r="AW345" s="16">
        <v>0</v>
      </c>
      <c r="BA345" s="1" t="s">
        <v>911</v>
      </c>
      <c r="BB345" s="9">
        <v>32</v>
      </c>
      <c r="BC345" s="1" t="s">
        <v>1547</v>
      </c>
      <c r="BD345" s="9" t="s">
        <v>807</v>
      </c>
      <c r="BE345" s="1" t="s">
        <v>850</v>
      </c>
      <c r="BF345" s="23" t="s">
        <v>27</v>
      </c>
      <c r="BG345" s="1" t="s">
        <v>851</v>
      </c>
      <c r="BH345" s="1" t="s">
        <v>852</v>
      </c>
      <c r="BI345" s="20" t="s">
        <v>1055</v>
      </c>
      <c r="BJ345" s="21" t="str">
        <f t="shared" si="5"/>
        <v>FIXO</v>
      </c>
    </row>
    <row r="346" spans="1:62" x14ac:dyDescent="0.25">
      <c r="A346" s="7">
        <v>6</v>
      </c>
      <c r="B346" s="1" t="s">
        <v>41</v>
      </c>
      <c r="C346" s="8">
        <v>6</v>
      </c>
      <c r="D346" s="9" t="s">
        <v>807</v>
      </c>
      <c r="E346" s="10">
        <v>18863</v>
      </c>
      <c r="F346" s="11" t="s">
        <v>1961</v>
      </c>
      <c r="G346" s="12" t="s">
        <v>271</v>
      </c>
      <c r="H346" s="13" t="str">
        <f>VLOOKUP(AP346,[1]Listas!A:B,2,0)</f>
        <v xml:space="preserve">FSTV </v>
      </c>
      <c r="I346" s="1" t="s">
        <v>440</v>
      </c>
      <c r="J346" s="12"/>
      <c r="K346" s="12"/>
      <c r="L346" s="1" t="s">
        <v>488</v>
      </c>
      <c r="M346" s="1" t="s">
        <v>531</v>
      </c>
      <c r="N346" s="14">
        <v>34159</v>
      </c>
      <c r="O346" s="1" t="s">
        <v>855</v>
      </c>
      <c r="P346" s="1" t="s">
        <v>856</v>
      </c>
      <c r="Q346" s="15" t="s">
        <v>807</v>
      </c>
      <c r="R346" s="1" t="s">
        <v>857</v>
      </c>
      <c r="S346" s="1" t="s">
        <v>868</v>
      </c>
      <c r="T346" s="1" t="s">
        <v>869</v>
      </c>
      <c r="U346" s="9" t="s">
        <v>814</v>
      </c>
      <c r="V346" s="1" t="s">
        <v>815</v>
      </c>
      <c r="W346" s="1" t="s">
        <v>871</v>
      </c>
      <c r="X346" s="1" t="s">
        <v>34</v>
      </c>
      <c r="Y346" s="14">
        <v>45555</v>
      </c>
      <c r="Z346" s="9" t="s">
        <v>817</v>
      </c>
      <c r="AB346" s="14">
        <v>45554</v>
      </c>
      <c r="AC346" s="9" t="s">
        <v>817</v>
      </c>
      <c r="AD346" s="9" t="s">
        <v>818</v>
      </c>
      <c r="AE346" s="1" t="s">
        <v>819</v>
      </c>
      <c r="AF346" s="14" t="s">
        <v>820</v>
      </c>
      <c r="AG346" s="9" t="s">
        <v>821</v>
      </c>
      <c r="AH346" s="1" t="s">
        <v>9</v>
      </c>
      <c r="AI346" s="9" t="s">
        <v>10</v>
      </c>
      <c r="AJ346" s="1" t="s">
        <v>11</v>
      </c>
      <c r="AK346" s="1" t="s">
        <v>1887</v>
      </c>
      <c r="AL346" s="1" t="s">
        <v>1888</v>
      </c>
      <c r="AM346" s="9">
        <v>11474</v>
      </c>
      <c r="AN346" s="1" t="s">
        <v>495</v>
      </c>
      <c r="AO346" s="1" t="s">
        <v>439</v>
      </c>
      <c r="AP346" s="1" t="s">
        <v>1748</v>
      </c>
      <c r="AQ346" s="14">
        <v>45658</v>
      </c>
      <c r="AU346" s="14">
        <v>45799</v>
      </c>
      <c r="AV346" s="16">
        <v>0</v>
      </c>
      <c r="AW346" s="16">
        <v>0</v>
      </c>
      <c r="BA346" s="1" t="s">
        <v>911</v>
      </c>
      <c r="BB346" s="9">
        <v>1</v>
      </c>
      <c r="BC346" s="1" t="s">
        <v>862</v>
      </c>
      <c r="BD346" s="9" t="s">
        <v>807</v>
      </c>
      <c r="BE346" s="1" t="s">
        <v>1848</v>
      </c>
      <c r="BF346" s="1" t="s">
        <v>481</v>
      </c>
      <c r="BG346" s="1" t="s">
        <v>1849</v>
      </c>
      <c r="BH346" s="1" t="s">
        <v>1850</v>
      </c>
      <c r="BI346" s="20" t="s">
        <v>866</v>
      </c>
      <c r="BJ346" s="21" t="str">
        <f t="shared" si="5"/>
        <v>FIXO</v>
      </c>
    </row>
    <row r="347" spans="1:62" x14ac:dyDescent="0.25">
      <c r="A347" s="7">
        <v>6</v>
      </c>
      <c r="B347" s="1" t="s">
        <v>41</v>
      </c>
      <c r="C347" s="8">
        <v>6</v>
      </c>
      <c r="D347" s="9" t="s">
        <v>807</v>
      </c>
      <c r="E347" s="10">
        <v>18880</v>
      </c>
      <c r="F347" s="11" t="s">
        <v>1962</v>
      </c>
      <c r="G347" s="12" t="s">
        <v>271</v>
      </c>
      <c r="H347" s="13" t="str">
        <f>VLOOKUP(AP347,[1]Listas!A:B,2,0)</f>
        <v xml:space="preserve">FSTV </v>
      </c>
      <c r="I347" s="1" t="s">
        <v>440</v>
      </c>
      <c r="J347" s="12"/>
      <c r="K347" s="1" t="s">
        <v>450</v>
      </c>
      <c r="L347" s="12"/>
      <c r="M347" s="1" t="s">
        <v>532</v>
      </c>
      <c r="N347" s="14">
        <v>29711</v>
      </c>
      <c r="O347" s="1" t="s">
        <v>855</v>
      </c>
      <c r="P347" s="1" t="s">
        <v>856</v>
      </c>
      <c r="Q347" s="15" t="s">
        <v>811</v>
      </c>
      <c r="R347" s="1" t="s">
        <v>812</v>
      </c>
      <c r="S347" s="1" t="s">
        <v>868</v>
      </c>
      <c r="T347" s="1" t="s">
        <v>869</v>
      </c>
      <c r="U347" s="9" t="s">
        <v>868</v>
      </c>
      <c r="V347" s="1" t="s">
        <v>913</v>
      </c>
      <c r="W347" s="1" t="s">
        <v>1317</v>
      </c>
      <c r="X347" s="1" t="s">
        <v>265</v>
      </c>
      <c r="Y347" s="14">
        <v>45826</v>
      </c>
      <c r="Z347" s="9" t="s">
        <v>817</v>
      </c>
      <c r="AB347" s="14">
        <v>45566</v>
      </c>
      <c r="AC347" s="9" t="s">
        <v>817</v>
      </c>
      <c r="AD347" s="9" t="s">
        <v>818</v>
      </c>
      <c r="AE347" s="1" t="s">
        <v>819</v>
      </c>
      <c r="AF347" s="14" t="s">
        <v>820</v>
      </c>
      <c r="AG347" s="9" t="s">
        <v>821</v>
      </c>
      <c r="AH347" s="1" t="s">
        <v>9</v>
      </c>
      <c r="AI347" s="9" t="s">
        <v>10</v>
      </c>
      <c r="AJ347" s="1" t="s">
        <v>11</v>
      </c>
      <c r="AK347" s="1" t="s">
        <v>1764</v>
      </c>
      <c r="AL347" s="1" t="s">
        <v>1765</v>
      </c>
      <c r="AM347" s="9">
        <v>11472</v>
      </c>
      <c r="AN347" s="1" t="s">
        <v>276</v>
      </c>
      <c r="AO347" s="1" t="s">
        <v>439</v>
      </c>
      <c r="AP347" s="1" t="s">
        <v>1748</v>
      </c>
      <c r="AQ347" s="14">
        <v>45658</v>
      </c>
      <c r="AU347" s="14">
        <v>45826</v>
      </c>
      <c r="AV347" s="16">
        <v>0</v>
      </c>
      <c r="AW347" s="16">
        <v>0</v>
      </c>
      <c r="BA347" s="1" t="s">
        <v>911</v>
      </c>
      <c r="BB347" s="9">
        <v>1</v>
      </c>
      <c r="BC347" s="1" t="s">
        <v>862</v>
      </c>
      <c r="BD347" s="9" t="s">
        <v>807</v>
      </c>
      <c r="BE347" s="1" t="s">
        <v>1766</v>
      </c>
      <c r="BF347" s="1" t="s">
        <v>450</v>
      </c>
      <c r="BG347" s="1" t="s">
        <v>1767</v>
      </c>
      <c r="BH347" s="1" t="s">
        <v>1768</v>
      </c>
      <c r="BI347" s="20" t="s">
        <v>916</v>
      </c>
      <c r="BJ347" s="21" t="str">
        <f t="shared" si="5"/>
        <v>FIXO</v>
      </c>
    </row>
    <row r="348" spans="1:62" x14ac:dyDescent="0.25">
      <c r="A348" s="7">
        <v>6</v>
      </c>
      <c r="B348" s="1" t="s">
        <v>41</v>
      </c>
      <c r="C348" s="8">
        <v>9</v>
      </c>
      <c r="D348" s="9" t="s">
        <v>807</v>
      </c>
      <c r="E348" s="10">
        <v>18882</v>
      </c>
      <c r="F348" s="11" t="s">
        <v>1963</v>
      </c>
      <c r="G348" s="12" t="s">
        <v>1061</v>
      </c>
      <c r="H348" s="13" t="str">
        <f>VLOOKUP(AP348,[1]Listas!A:B,2,0)</f>
        <v xml:space="preserve">FBLA </v>
      </c>
      <c r="I348" s="12"/>
      <c r="J348" s="12"/>
      <c r="K348" s="12"/>
      <c r="L348" s="12"/>
      <c r="M348" s="23" t="s">
        <v>1964</v>
      </c>
      <c r="N348" s="14">
        <v>37354</v>
      </c>
      <c r="O348" s="1" t="s">
        <v>855</v>
      </c>
      <c r="P348" s="1" t="s">
        <v>856</v>
      </c>
      <c r="Q348" s="15" t="s">
        <v>814</v>
      </c>
      <c r="R348" s="1" t="s">
        <v>1075</v>
      </c>
      <c r="S348" s="1" t="s">
        <v>868</v>
      </c>
      <c r="T348" s="1" t="s">
        <v>869</v>
      </c>
      <c r="U348" s="9" t="s">
        <v>814</v>
      </c>
      <c r="V348" s="1" t="s">
        <v>815</v>
      </c>
      <c r="W348" s="1" t="s">
        <v>1965</v>
      </c>
      <c r="X348" s="1" t="s">
        <v>1966</v>
      </c>
      <c r="Y348" s="14">
        <v>45919</v>
      </c>
      <c r="Z348" s="9" t="s">
        <v>817</v>
      </c>
      <c r="AB348" s="14">
        <v>45919</v>
      </c>
      <c r="AC348" s="9" t="s">
        <v>817</v>
      </c>
      <c r="AD348" s="9" t="s">
        <v>818</v>
      </c>
      <c r="AE348" s="1" t="s">
        <v>819</v>
      </c>
      <c r="AF348" s="14" t="s">
        <v>820</v>
      </c>
      <c r="AG348" s="9" t="s">
        <v>821</v>
      </c>
      <c r="AH348" s="1" t="s">
        <v>9</v>
      </c>
      <c r="AI348" s="9" t="s">
        <v>10</v>
      </c>
      <c r="AJ348" s="1" t="s">
        <v>11</v>
      </c>
      <c r="AK348" s="1" t="s">
        <v>1967</v>
      </c>
      <c r="AL348" s="1" t="s">
        <v>1968</v>
      </c>
      <c r="AM348" s="9">
        <v>11748</v>
      </c>
      <c r="AN348" s="1" t="s">
        <v>389</v>
      </c>
      <c r="AO348" s="1" t="s">
        <v>1969</v>
      </c>
      <c r="AP348" s="1" t="s">
        <v>1970</v>
      </c>
      <c r="AQ348" s="14">
        <v>45919</v>
      </c>
      <c r="AU348" s="14">
        <v>45919</v>
      </c>
      <c r="AV348" s="16">
        <v>0</v>
      </c>
      <c r="AW348" s="16">
        <v>0</v>
      </c>
      <c r="BA348" s="1" t="s">
        <v>911</v>
      </c>
      <c r="BB348" s="9">
        <v>36</v>
      </c>
      <c r="BC348" s="1" t="s">
        <v>1729</v>
      </c>
      <c r="BD348" s="9" t="s">
        <v>807</v>
      </c>
      <c r="BE348" s="1" t="s">
        <v>1017</v>
      </c>
      <c r="BI348" s="25" t="s">
        <v>1066</v>
      </c>
      <c r="BJ348" s="26" t="s">
        <v>1971</v>
      </c>
    </row>
    <row r="349" spans="1:62" x14ac:dyDescent="0.25">
      <c r="A349" s="7">
        <v>6</v>
      </c>
      <c r="B349" s="1" t="s">
        <v>41</v>
      </c>
      <c r="C349" s="8">
        <v>9</v>
      </c>
      <c r="D349" s="9" t="s">
        <v>807</v>
      </c>
      <c r="E349" s="10">
        <v>18884</v>
      </c>
      <c r="F349" s="11" t="s">
        <v>1972</v>
      </c>
      <c r="G349" s="12" t="s">
        <v>41</v>
      </c>
      <c r="H349" s="13" t="str">
        <f>VLOOKUP(AP349,[1]Listas!A:B,2,0)</f>
        <v xml:space="preserve">FBLA </v>
      </c>
      <c r="I349" s="1" t="s">
        <v>444</v>
      </c>
      <c r="J349" s="12"/>
      <c r="K349" s="12"/>
      <c r="L349" s="1" t="s">
        <v>444</v>
      </c>
      <c r="M349" s="1" t="s">
        <v>533</v>
      </c>
      <c r="N349" s="14">
        <v>36473</v>
      </c>
      <c r="O349" s="1" t="s">
        <v>855</v>
      </c>
      <c r="P349" s="1" t="s">
        <v>856</v>
      </c>
      <c r="Q349" s="15" t="s">
        <v>807</v>
      </c>
      <c r="R349" s="1" t="s">
        <v>857</v>
      </c>
      <c r="S349" s="1" t="s">
        <v>868</v>
      </c>
      <c r="T349" s="1" t="s">
        <v>869</v>
      </c>
      <c r="U349" s="9" t="s">
        <v>951</v>
      </c>
      <c r="V349" s="1" t="s">
        <v>952</v>
      </c>
      <c r="W349" s="1" t="s">
        <v>1425</v>
      </c>
      <c r="X349" s="1" t="s">
        <v>301</v>
      </c>
      <c r="Y349" s="14">
        <v>45839</v>
      </c>
      <c r="Z349" s="9" t="s">
        <v>817</v>
      </c>
      <c r="AB349" s="14">
        <v>45574</v>
      </c>
      <c r="AC349" s="9" t="s">
        <v>817</v>
      </c>
      <c r="AD349" s="9" t="s">
        <v>818</v>
      </c>
      <c r="AE349" s="1" t="s">
        <v>819</v>
      </c>
      <c r="AF349" s="14" t="s">
        <v>820</v>
      </c>
      <c r="AG349" s="9" t="s">
        <v>821</v>
      </c>
      <c r="AH349" s="1" t="s">
        <v>9</v>
      </c>
      <c r="AI349" s="9" t="s">
        <v>10</v>
      </c>
      <c r="AJ349" s="1" t="s">
        <v>11</v>
      </c>
      <c r="AK349" s="1" t="s">
        <v>1735</v>
      </c>
      <c r="AL349" s="1" t="s">
        <v>1736</v>
      </c>
      <c r="AM349" s="9">
        <v>11743</v>
      </c>
      <c r="AN349" s="1" t="s">
        <v>114</v>
      </c>
      <c r="AO349" s="1" t="s">
        <v>436</v>
      </c>
      <c r="AP349" s="1" t="s">
        <v>1737</v>
      </c>
      <c r="AQ349" s="14">
        <v>45839</v>
      </c>
      <c r="AU349" s="14">
        <v>45839</v>
      </c>
      <c r="AV349" s="16">
        <v>0</v>
      </c>
      <c r="AW349" s="16">
        <v>0</v>
      </c>
      <c r="BA349" s="1" t="s">
        <v>911</v>
      </c>
      <c r="BB349" s="9">
        <v>7</v>
      </c>
      <c r="BC349" s="1" t="s">
        <v>826</v>
      </c>
      <c r="BD349" s="9" t="s">
        <v>807</v>
      </c>
      <c r="BE349" s="1" t="s">
        <v>1738</v>
      </c>
      <c r="BF349" s="1" t="s">
        <v>437</v>
      </c>
      <c r="BG349" s="1" t="s">
        <v>1739</v>
      </c>
      <c r="BH349" s="1" t="s">
        <v>1740</v>
      </c>
      <c r="BI349" s="20" t="s">
        <v>983</v>
      </c>
      <c r="BJ349" s="21" t="str">
        <f t="shared" ref="BJ349:BJ380" si="6">IF(NOT(ISERROR(SEARCH("SAFRISTA",X349))),"SAFRISTA","FIXO")</f>
        <v>FIXO</v>
      </c>
    </row>
    <row r="350" spans="1:62" x14ac:dyDescent="0.25">
      <c r="A350" s="7">
        <v>6</v>
      </c>
      <c r="B350" s="1" t="s">
        <v>41</v>
      </c>
      <c r="C350" s="8">
        <v>9</v>
      </c>
      <c r="D350" s="9" t="s">
        <v>807</v>
      </c>
      <c r="E350" s="10">
        <v>18933</v>
      </c>
      <c r="F350" s="11" t="s">
        <v>1973</v>
      </c>
      <c r="G350" s="12" t="s">
        <v>41</v>
      </c>
      <c r="H350" s="13" t="str">
        <f>VLOOKUP(AP350,[1]Listas!A:B,2,0)</f>
        <v xml:space="preserve">FBLA </v>
      </c>
      <c r="I350" s="1" t="s">
        <v>444</v>
      </c>
      <c r="J350" s="12"/>
      <c r="K350" s="12"/>
      <c r="L350" s="1" t="s">
        <v>444</v>
      </c>
      <c r="M350" s="1" t="s">
        <v>534</v>
      </c>
      <c r="N350" s="14">
        <v>30100</v>
      </c>
      <c r="O350" s="1" t="s">
        <v>855</v>
      </c>
      <c r="P350" s="1" t="s">
        <v>856</v>
      </c>
      <c r="Q350" s="15" t="s">
        <v>811</v>
      </c>
      <c r="R350" s="1" t="s">
        <v>812</v>
      </c>
      <c r="S350" s="1" t="s">
        <v>868</v>
      </c>
      <c r="T350" s="1" t="s">
        <v>869</v>
      </c>
      <c r="U350" s="9" t="s">
        <v>1031</v>
      </c>
      <c r="V350" s="1" t="s">
        <v>1100</v>
      </c>
      <c r="W350" s="1" t="s">
        <v>979</v>
      </c>
      <c r="X350" s="1" t="s">
        <v>92</v>
      </c>
      <c r="Y350" s="14">
        <v>45570</v>
      </c>
      <c r="Z350" s="9" t="s">
        <v>817</v>
      </c>
      <c r="AB350" s="14">
        <v>45569</v>
      </c>
      <c r="AC350" s="9" t="s">
        <v>817</v>
      </c>
      <c r="AD350" s="9" t="s">
        <v>818</v>
      </c>
      <c r="AE350" s="1" t="s">
        <v>819</v>
      </c>
      <c r="AF350" s="14" t="s">
        <v>820</v>
      </c>
      <c r="AG350" s="9" t="s">
        <v>821</v>
      </c>
      <c r="AH350" s="1" t="s">
        <v>9</v>
      </c>
      <c r="AI350" s="9" t="s">
        <v>10</v>
      </c>
      <c r="AJ350" s="1" t="s">
        <v>11</v>
      </c>
      <c r="AK350" s="1" t="s">
        <v>1955</v>
      </c>
      <c r="AL350" s="1" t="s">
        <v>1956</v>
      </c>
      <c r="AM350" s="9">
        <v>11718</v>
      </c>
      <c r="AN350" s="1" t="s">
        <v>122</v>
      </c>
      <c r="AO350" s="1" t="s">
        <v>529</v>
      </c>
      <c r="AP350" s="1" t="s">
        <v>1957</v>
      </c>
      <c r="AQ350" s="14">
        <v>45658</v>
      </c>
      <c r="AU350" s="14">
        <v>45799</v>
      </c>
      <c r="AV350" s="16">
        <v>0</v>
      </c>
      <c r="AW350" s="16">
        <v>0</v>
      </c>
      <c r="BA350" s="1" t="s">
        <v>911</v>
      </c>
      <c r="BB350" s="9">
        <v>1</v>
      </c>
      <c r="BC350" s="1" t="s">
        <v>862</v>
      </c>
      <c r="BD350" s="9" t="s">
        <v>807</v>
      </c>
      <c r="BE350" s="1" t="s">
        <v>1738</v>
      </c>
      <c r="BF350" s="1" t="s">
        <v>437</v>
      </c>
      <c r="BG350" s="1" t="s">
        <v>1739</v>
      </c>
      <c r="BH350" s="1" t="s">
        <v>1740</v>
      </c>
      <c r="BI350" s="20" t="s">
        <v>983</v>
      </c>
      <c r="BJ350" s="21" t="str">
        <f t="shared" si="6"/>
        <v>FIXO</v>
      </c>
    </row>
    <row r="351" spans="1:62" x14ac:dyDescent="0.25">
      <c r="A351" s="7">
        <v>6</v>
      </c>
      <c r="B351" s="1" t="s">
        <v>41</v>
      </c>
      <c r="C351" s="8">
        <v>9</v>
      </c>
      <c r="D351" s="9" t="s">
        <v>807</v>
      </c>
      <c r="E351" s="10">
        <v>18951</v>
      </c>
      <c r="F351" s="11" t="s">
        <v>1974</v>
      </c>
      <c r="G351" s="12" t="s">
        <v>41</v>
      </c>
      <c r="H351" s="13" t="str">
        <f>VLOOKUP(AP351,[1]Listas!A:B,2,0)</f>
        <v xml:space="preserve">FBLA </v>
      </c>
      <c r="I351" s="1" t="s">
        <v>444</v>
      </c>
      <c r="J351" s="12"/>
      <c r="K351" s="12"/>
      <c r="L351" s="1" t="s">
        <v>444</v>
      </c>
      <c r="M351" s="1" t="s">
        <v>535</v>
      </c>
      <c r="N351" s="14">
        <v>34909</v>
      </c>
      <c r="O351" s="1" t="s">
        <v>855</v>
      </c>
      <c r="P351" s="1" t="s">
        <v>856</v>
      </c>
      <c r="Q351" s="15" t="s">
        <v>807</v>
      </c>
      <c r="R351" s="1" t="s">
        <v>857</v>
      </c>
      <c r="S351" s="1" t="s">
        <v>868</v>
      </c>
      <c r="T351" s="1" t="s">
        <v>869</v>
      </c>
      <c r="U351" s="9" t="s">
        <v>814</v>
      </c>
      <c r="V351" s="1" t="s">
        <v>815</v>
      </c>
      <c r="W351" s="1" t="s">
        <v>1975</v>
      </c>
      <c r="X351" s="1" t="s">
        <v>536</v>
      </c>
      <c r="Y351" s="14">
        <v>45799</v>
      </c>
      <c r="Z351" s="9" t="s">
        <v>817</v>
      </c>
      <c r="AB351" s="14">
        <v>45574</v>
      </c>
      <c r="AC351" s="9" t="s">
        <v>817</v>
      </c>
      <c r="AD351" s="9" t="s">
        <v>818</v>
      </c>
      <c r="AE351" s="1" t="s">
        <v>819</v>
      </c>
      <c r="AF351" s="14" t="s">
        <v>820</v>
      </c>
      <c r="AG351" s="9" t="s">
        <v>821</v>
      </c>
      <c r="AH351" s="1" t="s">
        <v>9</v>
      </c>
      <c r="AI351" s="9" t="s">
        <v>10</v>
      </c>
      <c r="AJ351" s="1" t="s">
        <v>11</v>
      </c>
      <c r="AK351" s="1" t="s">
        <v>1976</v>
      </c>
      <c r="AL351" s="1" t="s">
        <v>1977</v>
      </c>
      <c r="AM351" s="9">
        <v>11736</v>
      </c>
      <c r="AN351" s="1" t="s">
        <v>62</v>
      </c>
      <c r="AO351" s="1" t="s">
        <v>524</v>
      </c>
      <c r="AP351" s="1" t="s">
        <v>1947</v>
      </c>
      <c r="AQ351" s="14">
        <v>45778</v>
      </c>
      <c r="AU351" s="14">
        <v>45799</v>
      </c>
      <c r="AV351" s="16">
        <v>0</v>
      </c>
      <c r="AW351" s="16">
        <v>0</v>
      </c>
      <c r="BA351" s="1" t="s">
        <v>911</v>
      </c>
      <c r="BB351" s="9">
        <v>7</v>
      </c>
      <c r="BC351" s="1" t="s">
        <v>826</v>
      </c>
      <c r="BD351" s="9" t="s">
        <v>807</v>
      </c>
      <c r="BE351" s="1" t="s">
        <v>1775</v>
      </c>
      <c r="BF351" s="1" t="s">
        <v>444</v>
      </c>
      <c r="BG351" s="1" t="s">
        <v>1770</v>
      </c>
      <c r="BH351" s="1" t="s">
        <v>1771</v>
      </c>
      <c r="BI351" s="20" t="s">
        <v>929</v>
      </c>
      <c r="BJ351" s="21" t="str">
        <f t="shared" si="6"/>
        <v>FIXO</v>
      </c>
    </row>
    <row r="352" spans="1:62" x14ac:dyDescent="0.25">
      <c r="A352" s="7">
        <v>6</v>
      </c>
      <c r="B352" s="1" t="s">
        <v>41</v>
      </c>
      <c r="C352" s="8">
        <v>5</v>
      </c>
      <c r="D352" s="9" t="s">
        <v>807</v>
      </c>
      <c r="E352" s="10">
        <v>19186</v>
      </c>
      <c r="F352" s="11" t="s">
        <v>1978</v>
      </c>
      <c r="G352" s="1" t="s">
        <v>41</v>
      </c>
      <c r="H352" s="13" t="str">
        <f>VLOOKUP(AP352,[1]Listas!A:B,2,0)</f>
        <v xml:space="preserve">FESP </v>
      </c>
      <c r="I352" s="1" t="s">
        <v>38</v>
      </c>
      <c r="J352" s="12"/>
      <c r="K352" s="1" t="s">
        <v>245</v>
      </c>
      <c r="L352" s="1" t="s">
        <v>136</v>
      </c>
      <c r="M352" s="1" t="s">
        <v>537</v>
      </c>
      <c r="N352" s="14">
        <v>38593</v>
      </c>
      <c r="O352" s="1" t="s">
        <v>855</v>
      </c>
      <c r="P352" s="1" t="s">
        <v>856</v>
      </c>
      <c r="Q352" s="15" t="s">
        <v>807</v>
      </c>
      <c r="R352" s="1" t="s">
        <v>857</v>
      </c>
      <c r="S352" s="1" t="s">
        <v>868</v>
      </c>
      <c r="T352" s="1" t="s">
        <v>869</v>
      </c>
      <c r="U352" s="9" t="s">
        <v>814</v>
      </c>
      <c r="V352" s="1" t="s">
        <v>815</v>
      </c>
      <c r="W352" s="1" t="s">
        <v>1430</v>
      </c>
      <c r="X352" s="1" t="s">
        <v>303</v>
      </c>
      <c r="Y352" s="14">
        <v>45666</v>
      </c>
      <c r="Z352" s="9" t="s">
        <v>817</v>
      </c>
      <c r="AB352" s="14">
        <v>45665</v>
      </c>
      <c r="AC352" s="9" t="s">
        <v>817</v>
      </c>
      <c r="AD352" s="9" t="s">
        <v>818</v>
      </c>
      <c r="AE352" s="1" t="s">
        <v>819</v>
      </c>
      <c r="AF352" s="14" t="s">
        <v>820</v>
      </c>
      <c r="AG352" s="9" t="s">
        <v>821</v>
      </c>
      <c r="AH352" s="1" t="s">
        <v>9</v>
      </c>
      <c r="AI352" s="9" t="s">
        <v>10</v>
      </c>
      <c r="AJ352" s="1" t="s">
        <v>11</v>
      </c>
      <c r="AK352" s="1" t="s">
        <v>1795</v>
      </c>
      <c r="AL352" s="1" t="s">
        <v>1796</v>
      </c>
      <c r="AM352" s="9">
        <v>11369</v>
      </c>
      <c r="AN352" s="1" t="s">
        <v>138</v>
      </c>
      <c r="AO352" s="1" t="s">
        <v>454</v>
      </c>
      <c r="AP352" s="1" t="s">
        <v>1790</v>
      </c>
      <c r="AQ352" s="14">
        <v>45677</v>
      </c>
      <c r="AU352" s="14">
        <v>45799</v>
      </c>
      <c r="AV352" s="16">
        <v>0</v>
      </c>
      <c r="AW352" s="16">
        <v>0</v>
      </c>
      <c r="BA352" s="1" t="s">
        <v>911</v>
      </c>
      <c r="BB352" s="9">
        <v>1</v>
      </c>
      <c r="BC352" s="1" t="s">
        <v>862</v>
      </c>
      <c r="BD352" s="9" t="s">
        <v>807</v>
      </c>
      <c r="BE352" s="1" t="s">
        <v>1797</v>
      </c>
      <c r="BF352" s="1" t="s">
        <v>136</v>
      </c>
      <c r="BG352" s="1" t="s">
        <v>1070</v>
      </c>
      <c r="BH352" s="1" t="s">
        <v>1071</v>
      </c>
      <c r="BI352" s="1" t="s">
        <v>1073</v>
      </c>
      <c r="BJ352" s="21" t="str">
        <f t="shared" si="6"/>
        <v>FIXO</v>
      </c>
    </row>
    <row r="353" spans="1:62" x14ac:dyDescent="0.25">
      <c r="A353" s="7">
        <v>6</v>
      </c>
      <c r="B353" s="1" t="s">
        <v>41</v>
      </c>
      <c r="C353" s="8">
        <v>5</v>
      </c>
      <c r="D353" s="9" t="s">
        <v>807</v>
      </c>
      <c r="E353" s="10">
        <v>19278</v>
      </c>
      <c r="F353" s="11" t="s">
        <v>1979</v>
      </c>
      <c r="G353" s="1" t="s">
        <v>41</v>
      </c>
      <c r="H353" s="13" t="str">
        <f>VLOOKUP(AP353,[1]Listas!A:B,2,0)</f>
        <v xml:space="preserve">FESP </v>
      </c>
      <c r="I353" s="1" t="s">
        <v>38</v>
      </c>
      <c r="J353" s="12"/>
      <c r="K353" s="1" t="s">
        <v>245</v>
      </c>
      <c r="L353" s="1" t="s">
        <v>136</v>
      </c>
      <c r="M353" s="1" t="s">
        <v>538</v>
      </c>
      <c r="N353" s="14">
        <v>34580</v>
      </c>
      <c r="O353" s="1" t="s">
        <v>855</v>
      </c>
      <c r="P353" s="1" t="s">
        <v>856</v>
      </c>
      <c r="Q353" s="15" t="s">
        <v>811</v>
      </c>
      <c r="R353" s="1" t="s">
        <v>812</v>
      </c>
      <c r="S353" s="1" t="s">
        <v>868</v>
      </c>
      <c r="T353" s="1" t="s">
        <v>869</v>
      </c>
      <c r="U353" s="9" t="s">
        <v>951</v>
      </c>
      <c r="V353" s="1" t="s">
        <v>952</v>
      </c>
      <c r="W353" s="1" t="s">
        <v>1430</v>
      </c>
      <c r="X353" s="1" t="s">
        <v>303</v>
      </c>
      <c r="Y353" s="14">
        <v>45632</v>
      </c>
      <c r="Z353" s="9" t="s">
        <v>817</v>
      </c>
      <c r="AB353" s="14">
        <v>45631</v>
      </c>
      <c r="AC353" s="9" t="s">
        <v>817</v>
      </c>
      <c r="AD353" s="9" t="s">
        <v>818</v>
      </c>
      <c r="AE353" s="1" t="s">
        <v>819</v>
      </c>
      <c r="AF353" s="14">
        <v>45903</v>
      </c>
      <c r="AG353" s="9" t="s">
        <v>821</v>
      </c>
      <c r="AH353" s="1" t="s">
        <v>9</v>
      </c>
      <c r="AI353" s="9" t="s">
        <v>179</v>
      </c>
      <c r="AJ353" s="1" t="s">
        <v>180</v>
      </c>
      <c r="AK353" s="1" t="s">
        <v>1795</v>
      </c>
      <c r="AL353" s="1" t="s">
        <v>1796</v>
      </c>
      <c r="AM353" s="9">
        <v>11369</v>
      </c>
      <c r="AN353" s="1" t="s">
        <v>138</v>
      </c>
      <c r="AO353" s="1" t="s">
        <v>454</v>
      </c>
      <c r="AP353" s="1" t="s">
        <v>1790</v>
      </c>
      <c r="AQ353" s="14">
        <v>45658</v>
      </c>
      <c r="AU353" s="14">
        <v>45799</v>
      </c>
      <c r="AV353" s="16">
        <v>0</v>
      </c>
      <c r="AW353" s="16">
        <v>0</v>
      </c>
      <c r="BA353" s="1" t="s">
        <v>911</v>
      </c>
      <c r="BB353" s="9">
        <v>1</v>
      </c>
      <c r="BC353" s="1" t="s">
        <v>862</v>
      </c>
      <c r="BD353" s="9" t="s">
        <v>807</v>
      </c>
      <c r="BE353" s="1" t="s">
        <v>1797</v>
      </c>
      <c r="BF353" s="1" t="s">
        <v>136</v>
      </c>
      <c r="BG353" s="1" t="s">
        <v>1070</v>
      </c>
      <c r="BH353" s="1" t="s">
        <v>1071</v>
      </c>
      <c r="BI353" s="1" t="s">
        <v>1073</v>
      </c>
      <c r="BJ353" s="21" t="str">
        <f t="shared" si="6"/>
        <v>FIXO</v>
      </c>
    </row>
    <row r="354" spans="1:62" x14ac:dyDescent="0.25">
      <c r="A354" s="7">
        <v>6</v>
      </c>
      <c r="B354" s="1" t="s">
        <v>41</v>
      </c>
      <c r="C354" s="8">
        <v>6</v>
      </c>
      <c r="D354" s="9" t="s">
        <v>807</v>
      </c>
      <c r="E354" s="10">
        <v>19538</v>
      </c>
      <c r="F354" s="11" t="s">
        <v>1980</v>
      </c>
      <c r="G354" s="12" t="s">
        <v>271</v>
      </c>
      <c r="H354" s="13" t="str">
        <f>VLOOKUP(AP354,[1]Listas!A:B,2,0)</f>
        <v xml:space="preserve">FSTV </v>
      </c>
      <c r="I354" s="1" t="s">
        <v>440</v>
      </c>
      <c r="J354" s="12"/>
      <c r="K354" s="12"/>
      <c r="L354" s="12" t="s">
        <v>1744</v>
      </c>
      <c r="M354" s="1" t="s">
        <v>1981</v>
      </c>
      <c r="N354" s="14">
        <v>39055</v>
      </c>
      <c r="O354" s="1" t="s">
        <v>855</v>
      </c>
      <c r="P354" s="1" t="s">
        <v>856</v>
      </c>
      <c r="Q354" s="15" t="s">
        <v>807</v>
      </c>
      <c r="R354" s="1" t="s">
        <v>857</v>
      </c>
      <c r="S354" s="1" t="s">
        <v>868</v>
      </c>
      <c r="T354" s="1" t="s">
        <v>869</v>
      </c>
      <c r="U354" s="9" t="s">
        <v>814</v>
      </c>
      <c r="V354" s="1" t="s">
        <v>815</v>
      </c>
      <c r="W354" s="1" t="s">
        <v>871</v>
      </c>
      <c r="X354" s="1" t="s">
        <v>34</v>
      </c>
      <c r="Y354" s="14">
        <v>45825</v>
      </c>
      <c r="Z354" s="9" t="s">
        <v>817</v>
      </c>
      <c r="AB354" s="14">
        <v>45666</v>
      </c>
      <c r="AC354" s="9" t="s">
        <v>817</v>
      </c>
      <c r="AD354" s="9" t="s">
        <v>818</v>
      </c>
      <c r="AE354" s="1" t="s">
        <v>819</v>
      </c>
      <c r="AF354" s="14" t="s">
        <v>820</v>
      </c>
      <c r="AG354" s="9" t="s">
        <v>999</v>
      </c>
      <c r="AH354" s="1" t="s">
        <v>105</v>
      </c>
      <c r="AI354" s="9" t="s">
        <v>10</v>
      </c>
      <c r="AJ354" s="1" t="s">
        <v>11</v>
      </c>
      <c r="AK354" s="1" t="s">
        <v>1781</v>
      </c>
      <c r="AL354" s="1" t="s">
        <v>1782</v>
      </c>
      <c r="AM354" s="9">
        <v>11471</v>
      </c>
      <c r="AN354" s="1" t="s">
        <v>272</v>
      </c>
      <c r="AO354" s="1" t="s">
        <v>439</v>
      </c>
      <c r="AP354" s="1" t="s">
        <v>1748</v>
      </c>
      <c r="AQ354" s="14">
        <v>45825</v>
      </c>
      <c r="AU354" s="14">
        <v>45825</v>
      </c>
      <c r="AV354" s="16">
        <v>0</v>
      </c>
      <c r="AW354" s="16">
        <v>0</v>
      </c>
      <c r="BA354" s="1" t="s">
        <v>911</v>
      </c>
      <c r="BB354" s="9">
        <v>7</v>
      </c>
      <c r="BC354" s="1" t="s">
        <v>826</v>
      </c>
      <c r="BD354" s="9" t="s">
        <v>807</v>
      </c>
      <c r="BE354" s="1" t="s">
        <v>1017</v>
      </c>
      <c r="BI354" s="20" t="s">
        <v>1118</v>
      </c>
      <c r="BJ354" s="21" t="str">
        <f t="shared" si="6"/>
        <v>FIXO</v>
      </c>
    </row>
    <row r="355" spans="1:62" x14ac:dyDescent="0.25">
      <c r="A355" s="7">
        <v>6</v>
      </c>
      <c r="B355" s="1" t="s">
        <v>41</v>
      </c>
      <c r="C355" s="8">
        <v>9</v>
      </c>
      <c r="D355" s="9" t="s">
        <v>807</v>
      </c>
      <c r="E355" s="10">
        <v>19555</v>
      </c>
      <c r="F355" s="11" t="s">
        <v>1982</v>
      </c>
      <c r="G355" s="12" t="s">
        <v>41</v>
      </c>
      <c r="H355" s="13" t="str">
        <f>VLOOKUP(AP355,[1]Listas!A:B,2,0)</f>
        <v xml:space="preserve">FBLA </v>
      </c>
      <c r="I355" s="1" t="s">
        <v>444</v>
      </c>
      <c r="J355" s="12"/>
      <c r="K355" s="12"/>
      <c r="L355" s="1" t="s">
        <v>458</v>
      </c>
      <c r="M355" s="1" t="s">
        <v>1983</v>
      </c>
      <c r="N355" s="14">
        <v>39004</v>
      </c>
      <c r="O355" s="1" t="s">
        <v>855</v>
      </c>
      <c r="P355" s="1" t="s">
        <v>856</v>
      </c>
      <c r="Q355" s="15" t="s">
        <v>807</v>
      </c>
      <c r="R355" s="1" t="s">
        <v>857</v>
      </c>
      <c r="S355" s="1" t="s">
        <v>868</v>
      </c>
      <c r="T355" s="1" t="s">
        <v>869</v>
      </c>
      <c r="U355" s="9" t="s">
        <v>814</v>
      </c>
      <c r="V355" s="1" t="s">
        <v>815</v>
      </c>
      <c r="W355" s="1" t="s">
        <v>1196</v>
      </c>
      <c r="X355" s="1" t="s">
        <v>211</v>
      </c>
      <c r="Y355" s="14">
        <v>45901</v>
      </c>
      <c r="Z355" s="9" t="s">
        <v>817</v>
      </c>
      <c r="AB355" s="14">
        <v>45666</v>
      </c>
      <c r="AC355" s="9" t="s">
        <v>817</v>
      </c>
      <c r="AD355" s="9" t="s">
        <v>818</v>
      </c>
      <c r="AE355" s="1" t="s">
        <v>819</v>
      </c>
      <c r="AF355" s="14" t="s">
        <v>820</v>
      </c>
      <c r="AG355" s="9" t="s">
        <v>999</v>
      </c>
      <c r="AH355" s="1" t="s">
        <v>105</v>
      </c>
      <c r="AI355" s="9" t="s">
        <v>10</v>
      </c>
      <c r="AJ355" s="1" t="s">
        <v>11</v>
      </c>
      <c r="AK355" s="1" t="s">
        <v>1877</v>
      </c>
      <c r="AL355" s="1" t="s">
        <v>1878</v>
      </c>
      <c r="AM355" s="9">
        <v>11737</v>
      </c>
      <c r="AN355" s="1" t="s">
        <v>185</v>
      </c>
      <c r="AO355" s="1" t="s">
        <v>1879</v>
      </c>
      <c r="AP355" s="1" t="s">
        <v>1880</v>
      </c>
      <c r="AQ355" s="14">
        <v>45668</v>
      </c>
      <c r="AU355" s="14">
        <v>45901</v>
      </c>
      <c r="AV355" s="16">
        <v>0</v>
      </c>
      <c r="AW355" s="16">
        <v>0</v>
      </c>
      <c r="BA355" s="1" t="s">
        <v>911</v>
      </c>
      <c r="BB355" s="9">
        <v>1</v>
      </c>
      <c r="BC355" s="1" t="s">
        <v>862</v>
      </c>
      <c r="BD355" s="9" t="s">
        <v>807</v>
      </c>
      <c r="BE355" s="1" t="s">
        <v>1017</v>
      </c>
      <c r="BI355" s="20" t="s">
        <v>1044</v>
      </c>
      <c r="BJ355" s="21" t="str">
        <f t="shared" si="6"/>
        <v>FIXO</v>
      </c>
    </row>
    <row r="356" spans="1:62" x14ac:dyDescent="0.25">
      <c r="A356" s="7">
        <v>6</v>
      </c>
      <c r="B356" s="1" t="s">
        <v>41</v>
      </c>
      <c r="C356" s="8">
        <v>5</v>
      </c>
      <c r="D356" s="9" t="s">
        <v>807</v>
      </c>
      <c r="E356" s="10">
        <v>19567</v>
      </c>
      <c r="F356" s="11" t="s">
        <v>1984</v>
      </c>
      <c r="G356" s="1" t="s">
        <v>41</v>
      </c>
      <c r="H356" s="13" t="str">
        <f>VLOOKUP(AP356,[1]Listas!A:B,2,0)</f>
        <v xml:space="preserve">FESP </v>
      </c>
      <c r="I356" s="1" t="s">
        <v>38</v>
      </c>
      <c r="J356" s="12"/>
      <c r="K356" s="1" t="s">
        <v>245</v>
      </c>
      <c r="L356" s="1" t="s">
        <v>136</v>
      </c>
      <c r="M356" s="1" t="s">
        <v>539</v>
      </c>
      <c r="N356" s="14">
        <v>37423</v>
      </c>
      <c r="O356" s="1" t="s">
        <v>855</v>
      </c>
      <c r="P356" s="1" t="s">
        <v>856</v>
      </c>
      <c r="Q356" s="15" t="s">
        <v>811</v>
      </c>
      <c r="R356" s="1" t="s">
        <v>812</v>
      </c>
      <c r="S356" s="1" t="s">
        <v>868</v>
      </c>
      <c r="T356" s="1" t="s">
        <v>869</v>
      </c>
      <c r="U356" s="9" t="s">
        <v>814</v>
      </c>
      <c r="V356" s="1" t="s">
        <v>815</v>
      </c>
      <c r="W356" s="1" t="s">
        <v>1430</v>
      </c>
      <c r="X356" s="1" t="s">
        <v>303</v>
      </c>
      <c r="Y356" s="14">
        <v>45778</v>
      </c>
      <c r="Z356" s="9" t="s">
        <v>817</v>
      </c>
      <c r="AB356" s="14">
        <v>45664</v>
      </c>
      <c r="AC356" s="9" t="s">
        <v>817</v>
      </c>
      <c r="AD356" s="9" t="s">
        <v>818</v>
      </c>
      <c r="AE356" s="1" t="s">
        <v>819</v>
      </c>
      <c r="AF356" s="14" t="s">
        <v>820</v>
      </c>
      <c r="AG356" s="9" t="s">
        <v>821</v>
      </c>
      <c r="AH356" s="1" t="s">
        <v>9</v>
      </c>
      <c r="AI356" s="9" t="s">
        <v>10</v>
      </c>
      <c r="AJ356" s="1" t="s">
        <v>11</v>
      </c>
      <c r="AK356" s="1" t="s">
        <v>1795</v>
      </c>
      <c r="AL356" s="1" t="s">
        <v>1796</v>
      </c>
      <c r="AM356" s="9">
        <v>11369</v>
      </c>
      <c r="AN356" s="1" t="s">
        <v>138</v>
      </c>
      <c r="AO356" s="1" t="s">
        <v>454</v>
      </c>
      <c r="AP356" s="1" t="s">
        <v>1790</v>
      </c>
      <c r="AQ356" s="14">
        <v>45778</v>
      </c>
      <c r="AU356" s="14">
        <v>45799</v>
      </c>
      <c r="AV356" s="16">
        <v>0</v>
      </c>
      <c r="AW356" s="16">
        <v>0</v>
      </c>
      <c r="BA356" s="1" t="s">
        <v>911</v>
      </c>
      <c r="BB356" s="9">
        <v>1</v>
      </c>
      <c r="BC356" s="1" t="s">
        <v>862</v>
      </c>
      <c r="BD356" s="9" t="s">
        <v>807</v>
      </c>
      <c r="BE356" s="1" t="s">
        <v>1797</v>
      </c>
      <c r="BF356" s="1" t="s">
        <v>136</v>
      </c>
      <c r="BG356" s="1" t="s">
        <v>1070</v>
      </c>
      <c r="BH356" s="1" t="s">
        <v>1071</v>
      </c>
      <c r="BI356" s="1" t="s">
        <v>1073</v>
      </c>
      <c r="BJ356" s="21" t="str">
        <f t="shared" si="6"/>
        <v>FIXO</v>
      </c>
    </row>
    <row r="357" spans="1:62" x14ac:dyDescent="0.25">
      <c r="A357" s="7">
        <v>6</v>
      </c>
      <c r="B357" s="1" t="s">
        <v>41</v>
      </c>
      <c r="C357" s="8">
        <v>5</v>
      </c>
      <c r="D357" s="9" t="s">
        <v>807</v>
      </c>
      <c r="E357" s="10">
        <v>19635</v>
      </c>
      <c r="F357" s="11" t="s">
        <v>1985</v>
      </c>
      <c r="G357" s="1" t="s">
        <v>41</v>
      </c>
      <c r="H357" s="13" t="str">
        <f>VLOOKUP(AP357,[1]Listas!A:B,2,0)</f>
        <v xml:space="preserve">FESP </v>
      </c>
      <c r="I357" s="1" t="s">
        <v>38</v>
      </c>
      <c r="J357" s="12"/>
      <c r="K357" s="1" t="s">
        <v>245</v>
      </c>
      <c r="L357" s="12"/>
      <c r="M357" s="1" t="s">
        <v>540</v>
      </c>
      <c r="N357" s="14">
        <v>28046</v>
      </c>
      <c r="O357" s="1" t="s">
        <v>855</v>
      </c>
      <c r="P357" s="1" t="s">
        <v>856</v>
      </c>
      <c r="Q357" s="15" t="s">
        <v>811</v>
      </c>
      <c r="R357" s="1" t="s">
        <v>812</v>
      </c>
      <c r="S357" s="1" t="s">
        <v>868</v>
      </c>
      <c r="T357" s="1" t="s">
        <v>869</v>
      </c>
      <c r="U357" s="9" t="s">
        <v>832</v>
      </c>
      <c r="V357" s="1" t="s">
        <v>833</v>
      </c>
      <c r="W357" s="1" t="s">
        <v>1986</v>
      </c>
      <c r="X357" s="1" t="s">
        <v>541</v>
      </c>
      <c r="Y357" s="14">
        <v>45778</v>
      </c>
      <c r="Z357" s="9" t="s">
        <v>817</v>
      </c>
      <c r="AB357" s="14">
        <v>45671</v>
      </c>
      <c r="AC357" s="9" t="s">
        <v>817</v>
      </c>
      <c r="AD357" s="9" t="s">
        <v>818</v>
      </c>
      <c r="AE357" s="1" t="s">
        <v>819</v>
      </c>
      <c r="AF357" s="14" t="s">
        <v>820</v>
      </c>
      <c r="AG357" s="9" t="s">
        <v>821</v>
      </c>
      <c r="AH357" s="1" t="s">
        <v>9</v>
      </c>
      <c r="AI357" s="9" t="s">
        <v>10</v>
      </c>
      <c r="AJ357" s="1" t="s">
        <v>11</v>
      </c>
      <c r="AK357" s="1" t="s">
        <v>1987</v>
      </c>
      <c r="AL357" s="1" t="s">
        <v>1988</v>
      </c>
      <c r="AM357" s="9">
        <v>11307</v>
      </c>
      <c r="AN357" s="1" t="s">
        <v>295</v>
      </c>
      <c r="AO357" s="1" t="s">
        <v>472</v>
      </c>
      <c r="AP357" s="1" t="s">
        <v>1831</v>
      </c>
      <c r="AQ357" s="14">
        <v>45778</v>
      </c>
      <c r="AU357" s="14">
        <v>45799</v>
      </c>
      <c r="AV357" s="16">
        <v>0</v>
      </c>
      <c r="AW357" s="16">
        <v>0</v>
      </c>
      <c r="BA357" s="1" t="s">
        <v>911</v>
      </c>
      <c r="BB357" s="9">
        <v>1</v>
      </c>
      <c r="BC357" s="1" t="s">
        <v>862</v>
      </c>
      <c r="BD357" s="9" t="s">
        <v>807</v>
      </c>
      <c r="BE357" s="1" t="s">
        <v>893</v>
      </c>
      <c r="BF357" s="1" t="s">
        <v>38</v>
      </c>
      <c r="BG357" s="1" t="s">
        <v>883</v>
      </c>
      <c r="BH357" s="1" t="s">
        <v>884</v>
      </c>
      <c r="BI357" s="20" t="s">
        <v>1073</v>
      </c>
      <c r="BJ357" s="21" t="str">
        <f t="shared" si="6"/>
        <v>FIXO</v>
      </c>
    </row>
    <row r="358" spans="1:62" x14ac:dyDescent="0.25">
      <c r="A358" s="7">
        <v>6</v>
      </c>
      <c r="B358" s="1" t="s">
        <v>41</v>
      </c>
      <c r="C358" s="8">
        <v>9</v>
      </c>
      <c r="D358" s="9" t="s">
        <v>807</v>
      </c>
      <c r="E358" s="10">
        <v>19636</v>
      </c>
      <c r="F358" s="11" t="s">
        <v>1989</v>
      </c>
      <c r="G358" s="12" t="s">
        <v>41</v>
      </c>
      <c r="H358" s="13" t="str">
        <f>VLOOKUP(AP358,[1]Listas!A:B,2,0)</f>
        <v xml:space="preserve">FBLA </v>
      </c>
      <c r="I358" s="1" t="s">
        <v>444</v>
      </c>
      <c r="J358" s="12"/>
      <c r="K358" s="12"/>
      <c r="L358" s="1" t="s">
        <v>437</v>
      </c>
      <c r="M358" s="1" t="s">
        <v>542</v>
      </c>
      <c r="N358" s="14">
        <v>36301</v>
      </c>
      <c r="O358" s="1" t="s">
        <v>855</v>
      </c>
      <c r="P358" s="1" t="s">
        <v>856</v>
      </c>
      <c r="Q358" s="15" t="s">
        <v>807</v>
      </c>
      <c r="R358" s="1" t="s">
        <v>857</v>
      </c>
      <c r="S358" s="1" t="s">
        <v>868</v>
      </c>
      <c r="T358" s="1" t="s">
        <v>869</v>
      </c>
      <c r="U358" s="9" t="s">
        <v>814</v>
      </c>
      <c r="V358" s="1" t="s">
        <v>815</v>
      </c>
      <c r="W358" s="1" t="s">
        <v>871</v>
      </c>
      <c r="X358" s="1" t="s">
        <v>34</v>
      </c>
      <c r="Y358" s="14">
        <v>45667</v>
      </c>
      <c r="Z358" s="9" t="s">
        <v>817</v>
      </c>
      <c r="AB358" s="14">
        <v>45666</v>
      </c>
      <c r="AC358" s="9" t="s">
        <v>817</v>
      </c>
      <c r="AD358" s="9" t="s">
        <v>818</v>
      </c>
      <c r="AE358" s="1" t="s">
        <v>819</v>
      </c>
      <c r="AF358" s="14" t="s">
        <v>820</v>
      </c>
      <c r="AG358" s="9" t="s">
        <v>821</v>
      </c>
      <c r="AH358" s="1" t="s">
        <v>9</v>
      </c>
      <c r="AI358" s="9" t="s">
        <v>10</v>
      </c>
      <c r="AJ358" s="1" t="s">
        <v>11</v>
      </c>
      <c r="AK358" s="1" t="s">
        <v>1777</v>
      </c>
      <c r="AL358" s="1" t="s">
        <v>1778</v>
      </c>
      <c r="AM358" s="9">
        <v>11780</v>
      </c>
      <c r="AN358" s="1" t="s">
        <v>293</v>
      </c>
      <c r="AO358" s="1" t="s">
        <v>436</v>
      </c>
      <c r="AP358" s="1" t="s">
        <v>1737</v>
      </c>
      <c r="AQ358" s="14">
        <v>45666</v>
      </c>
      <c r="AU358" s="14">
        <v>45799</v>
      </c>
      <c r="AV358" s="16">
        <v>0</v>
      </c>
      <c r="AW358" s="16">
        <v>0</v>
      </c>
      <c r="BA358" s="1" t="s">
        <v>911</v>
      </c>
      <c r="BB358" s="9">
        <v>1</v>
      </c>
      <c r="BC358" s="1" t="s">
        <v>862</v>
      </c>
      <c r="BD358" s="9" t="s">
        <v>807</v>
      </c>
      <c r="BE358" s="1" t="s">
        <v>1738</v>
      </c>
      <c r="BF358" s="1" t="s">
        <v>437</v>
      </c>
      <c r="BG358" s="1" t="s">
        <v>1739</v>
      </c>
      <c r="BH358" s="1" t="s">
        <v>1740</v>
      </c>
      <c r="BI358" s="20" t="s">
        <v>866</v>
      </c>
      <c r="BJ358" s="21" t="str">
        <f t="shared" si="6"/>
        <v>FIXO</v>
      </c>
    </row>
    <row r="359" spans="1:62" x14ac:dyDescent="0.25">
      <c r="A359" s="7">
        <v>6</v>
      </c>
      <c r="B359" s="1" t="s">
        <v>41</v>
      </c>
      <c r="C359" s="8">
        <v>5</v>
      </c>
      <c r="D359" s="9" t="s">
        <v>807</v>
      </c>
      <c r="E359" s="10">
        <v>19754</v>
      </c>
      <c r="F359" s="11" t="s">
        <v>1990</v>
      </c>
      <c r="G359" s="1" t="s">
        <v>41</v>
      </c>
      <c r="H359" s="13" t="str">
        <f>VLOOKUP(AP359,[1]Listas!A:B,2,0)</f>
        <v xml:space="preserve">FESP </v>
      </c>
      <c r="I359" s="1" t="s">
        <v>38</v>
      </c>
      <c r="J359" s="12"/>
      <c r="K359" s="1" t="s">
        <v>245</v>
      </c>
      <c r="L359" s="1" t="s">
        <v>136</v>
      </c>
      <c r="M359" s="1" t="s">
        <v>543</v>
      </c>
      <c r="N359" s="14">
        <v>31667</v>
      </c>
      <c r="O359" s="1" t="s">
        <v>855</v>
      </c>
      <c r="P359" s="1" t="s">
        <v>856</v>
      </c>
      <c r="Q359" s="15" t="s">
        <v>811</v>
      </c>
      <c r="R359" s="1" t="s">
        <v>812</v>
      </c>
      <c r="S359" s="1" t="s">
        <v>868</v>
      </c>
      <c r="T359" s="1" t="s">
        <v>869</v>
      </c>
      <c r="U359" s="9" t="s">
        <v>868</v>
      </c>
      <c r="V359" s="1" t="s">
        <v>913</v>
      </c>
      <c r="W359" s="1" t="s">
        <v>1406</v>
      </c>
      <c r="X359" s="1" t="s">
        <v>294</v>
      </c>
      <c r="Y359" s="14">
        <v>45664</v>
      </c>
      <c r="Z359" s="9" t="s">
        <v>817</v>
      </c>
      <c r="AB359" s="14">
        <v>45663</v>
      </c>
      <c r="AC359" s="9" t="s">
        <v>817</v>
      </c>
      <c r="AD359" s="9" t="s">
        <v>818</v>
      </c>
      <c r="AE359" s="1" t="s">
        <v>819</v>
      </c>
      <c r="AF359" s="14" t="s">
        <v>820</v>
      </c>
      <c r="AG359" s="9" t="s">
        <v>821</v>
      </c>
      <c r="AH359" s="1" t="s">
        <v>9</v>
      </c>
      <c r="AI359" s="9" t="s">
        <v>10</v>
      </c>
      <c r="AJ359" s="1" t="s">
        <v>11</v>
      </c>
      <c r="AK359" s="1" t="s">
        <v>1829</v>
      </c>
      <c r="AL359" s="1" t="s">
        <v>1830</v>
      </c>
      <c r="AM359" s="9">
        <v>11369</v>
      </c>
      <c r="AN359" s="1" t="s">
        <v>138</v>
      </c>
      <c r="AO359" s="1" t="s">
        <v>472</v>
      </c>
      <c r="AP359" s="1" t="s">
        <v>1831</v>
      </c>
      <c r="AQ359" s="14">
        <v>45665</v>
      </c>
      <c r="AU359" s="14">
        <v>45799</v>
      </c>
      <c r="AV359" s="16">
        <v>0</v>
      </c>
      <c r="AW359" s="16">
        <v>0</v>
      </c>
      <c r="BA359" s="1" t="s">
        <v>911</v>
      </c>
      <c r="BB359" s="9">
        <v>1</v>
      </c>
      <c r="BC359" s="1" t="s">
        <v>862</v>
      </c>
      <c r="BD359" s="9" t="s">
        <v>807</v>
      </c>
      <c r="BE359" s="1" t="s">
        <v>1797</v>
      </c>
      <c r="BF359" s="1" t="s">
        <v>136</v>
      </c>
      <c r="BG359" s="1" t="s">
        <v>1070</v>
      </c>
      <c r="BH359" s="1" t="s">
        <v>1071</v>
      </c>
      <c r="BI359" s="1" t="s">
        <v>1073</v>
      </c>
      <c r="BJ359" s="21" t="str">
        <f t="shared" si="6"/>
        <v>FIXO</v>
      </c>
    </row>
    <row r="360" spans="1:62" x14ac:dyDescent="0.25">
      <c r="A360" s="7">
        <v>6</v>
      </c>
      <c r="B360" s="1" t="s">
        <v>41</v>
      </c>
      <c r="C360" s="8">
        <v>6</v>
      </c>
      <c r="D360" s="9" t="s">
        <v>807</v>
      </c>
      <c r="E360" s="10">
        <v>19774</v>
      </c>
      <c r="F360" s="11" t="s">
        <v>1991</v>
      </c>
      <c r="G360" s="12" t="s">
        <v>271</v>
      </c>
      <c r="H360" s="13" t="str">
        <f>VLOOKUP(AP360,[1]Listas!A:B,2,0)</f>
        <v xml:space="preserve">FSTV </v>
      </c>
      <c r="I360" s="1" t="s">
        <v>440</v>
      </c>
      <c r="J360" s="12"/>
      <c r="K360" s="12"/>
      <c r="L360" s="1" t="s">
        <v>440</v>
      </c>
      <c r="M360" s="1" t="s">
        <v>544</v>
      </c>
      <c r="N360" s="14">
        <v>33541</v>
      </c>
      <c r="O360" s="1" t="s">
        <v>855</v>
      </c>
      <c r="P360" s="1" t="s">
        <v>856</v>
      </c>
      <c r="Q360" s="15" t="s">
        <v>807</v>
      </c>
      <c r="R360" s="1" t="s">
        <v>857</v>
      </c>
      <c r="S360" s="1" t="s">
        <v>868</v>
      </c>
      <c r="T360" s="1" t="s">
        <v>869</v>
      </c>
      <c r="U360" s="9" t="s">
        <v>868</v>
      </c>
      <c r="V360" s="1" t="s">
        <v>913</v>
      </c>
      <c r="W360" s="1" t="s">
        <v>1425</v>
      </c>
      <c r="X360" s="1" t="s">
        <v>301</v>
      </c>
      <c r="Y360" s="14">
        <v>45666</v>
      </c>
      <c r="Z360" s="9" t="s">
        <v>817</v>
      </c>
      <c r="AB360" s="14">
        <v>45665</v>
      </c>
      <c r="AC360" s="9" t="s">
        <v>817</v>
      </c>
      <c r="AD360" s="9" t="s">
        <v>818</v>
      </c>
      <c r="AE360" s="1" t="s">
        <v>819</v>
      </c>
      <c r="AF360" s="14" t="s">
        <v>820</v>
      </c>
      <c r="AG360" s="9" t="s">
        <v>821</v>
      </c>
      <c r="AH360" s="1" t="s">
        <v>9</v>
      </c>
      <c r="AI360" s="9" t="s">
        <v>10</v>
      </c>
      <c r="AJ360" s="1" t="s">
        <v>11</v>
      </c>
      <c r="AK360" s="1" t="s">
        <v>1856</v>
      </c>
      <c r="AL360" s="1" t="s">
        <v>1857</v>
      </c>
      <c r="AM360" s="9">
        <v>11443</v>
      </c>
      <c r="AN360" s="1" t="s">
        <v>114</v>
      </c>
      <c r="AO360" s="1" t="s">
        <v>439</v>
      </c>
      <c r="AP360" s="1" t="s">
        <v>1748</v>
      </c>
      <c r="AQ360" s="14">
        <v>45665</v>
      </c>
      <c r="AU360" s="14">
        <v>45803</v>
      </c>
      <c r="AV360" s="16">
        <v>0</v>
      </c>
      <c r="AW360" s="16">
        <v>0</v>
      </c>
      <c r="BA360" s="1" t="s">
        <v>911</v>
      </c>
      <c r="BB360" s="9">
        <v>1</v>
      </c>
      <c r="BC360" s="1" t="s">
        <v>862</v>
      </c>
      <c r="BD360" s="9" t="s">
        <v>807</v>
      </c>
      <c r="BE360" s="1" t="s">
        <v>1766</v>
      </c>
      <c r="BF360" s="1" t="s">
        <v>450</v>
      </c>
      <c r="BG360" s="1" t="s">
        <v>1767</v>
      </c>
      <c r="BH360" s="1" t="s">
        <v>1768</v>
      </c>
      <c r="BI360" s="20" t="s">
        <v>983</v>
      </c>
      <c r="BJ360" s="21" t="str">
        <f t="shared" si="6"/>
        <v>FIXO</v>
      </c>
    </row>
    <row r="361" spans="1:62" x14ac:dyDescent="0.25">
      <c r="A361" s="7">
        <v>6</v>
      </c>
      <c r="B361" s="1" t="s">
        <v>41</v>
      </c>
      <c r="C361" s="8">
        <v>5</v>
      </c>
      <c r="D361" s="9" t="s">
        <v>807</v>
      </c>
      <c r="E361" s="10">
        <v>19784</v>
      </c>
      <c r="F361" s="11" t="s">
        <v>1992</v>
      </c>
      <c r="G361" s="1" t="s">
        <v>41</v>
      </c>
      <c r="H361" s="13" t="str">
        <f>VLOOKUP(AP361,[1]Listas!A:B,2,0)</f>
        <v xml:space="preserve">FESP </v>
      </c>
      <c r="I361" s="1" t="s">
        <v>38</v>
      </c>
      <c r="J361" s="1" t="s">
        <v>37</v>
      </c>
      <c r="K361" s="1" t="s">
        <v>207</v>
      </c>
      <c r="L361" s="12"/>
      <c r="M361" s="1" t="s">
        <v>545</v>
      </c>
      <c r="N361" s="14">
        <v>35983</v>
      </c>
      <c r="O361" s="1" t="s">
        <v>855</v>
      </c>
      <c r="P361" s="1" t="s">
        <v>856</v>
      </c>
      <c r="Q361" s="15" t="s">
        <v>807</v>
      </c>
      <c r="R361" s="1" t="s">
        <v>857</v>
      </c>
      <c r="S361" s="1" t="s">
        <v>868</v>
      </c>
      <c r="T361" s="1" t="s">
        <v>869</v>
      </c>
      <c r="U361" s="9" t="s">
        <v>832</v>
      </c>
      <c r="V361" s="1" t="s">
        <v>833</v>
      </c>
      <c r="W361" s="1" t="s">
        <v>1196</v>
      </c>
      <c r="X361" s="1" t="s">
        <v>211</v>
      </c>
      <c r="Y361" s="14">
        <v>45824</v>
      </c>
      <c r="Z361" s="9" t="s">
        <v>817</v>
      </c>
      <c r="AB361" s="14">
        <v>45666</v>
      </c>
      <c r="AC361" s="9" t="s">
        <v>817</v>
      </c>
      <c r="AD361" s="9" t="s">
        <v>818</v>
      </c>
      <c r="AE361" s="1" t="s">
        <v>819</v>
      </c>
      <c r="AF361" s="14" t="s">
        <v>820</v>
      </c>
      <c r="AG361" s="9" t="s">
        <v>999</v>
      </c>
      <c r="AH361" s="1" t="s">
        <v>105</v>
      </c>
      <c r="AI361" s="9" t="s">
        <v>10</v>
      </c>
      <c r="AJ361" s="1" t="s">
        <v>11</v>
      </c>
      <c r="AK361" s="1" t="s">
        <v>1993</v>
      </c>
      <c r="AL361" s="1" t="s">
        <v>1198</v>
      </c>
      <c r="AM361" s="9">
        <v>11337</v>
      </c>
      <c r="AN361" s="1" t="s">
        <v>185</v>
      </c>
      <c r="AO361" s="1" t="s">
        <v>212</v>
      </c>
      <c r="AP361" s="1" t="s">
        <v>1199</v>
      </c>
      <c r="AQ361" s="14">
        <v>45668</v>
      </c>
      <c r="AU361" s="14">
        <v>45824</v>
      </c>
      <c r="AV361" s="16">
        <v>0</v>
      </c>
      <c r="AW361" s="16">
        <v>0</v>
      </c>
      <c r="BA361" s="1" t="s">
        <v>911</v>
      </c>
      <c r="BB361" s="9">
        <v>1</v>
      </c>
      <c r="BC361" s="1" t="s">
        <v>862</v>
      </c>
      <c r="BD361" s="9" t="s">
        <v>807</v>
      </c>
      <c r="BE361" s="1" t="s">
        <v>875</v>
      </c>
      <c r="BF361" s="1" t="s">
        <v>37</v>
      </c>
      <c r="BG361" s="1" t="s">
        <v>876</v>
      </c>
      <c r="BH361" s="1" t="s">
        <v>877</v>
      </c>
      <c r="BI361" s="1" t="s">
        <v>1044</v>
      </c>
      <c r="BJ361" s="21" t="str">
        <f t="shared" si="6"/>
        <v>FIXO</v>
      </c>
    </row>
    <row r="362" spans="1:62" x14ac:dyDescent="0.25">
      <c r="A362" s="7">
        <v>6</v>
      </c>
      <c r="B362" s="1" t="s">
        <v>41</v>
      </c>
      <c r="C362" s="8">
        <v>6</v>
      </c>
      <c r="D362" s="9" t="s">
        <v>807</v>
      </c>
      <c r="E362" s="10">
        <v>19806</v>
      </c>
      <c r="F362" s="11" t="s">
        <v>1994</v>
      </c>
      <c r="G362" s="12" t="s">
        <v>271</v>
      </c>
      <c r="H362" s="13" t="str">
        <f>VLOOKUP(AP362,[1]Listas!A:B,2,0)</f>
        <v xml:space="preserve">FSTV </v>
      </c>
      <c r="I362" s="1" t="s">
        <v>440</v>
      </c>
      <c r="J362" s="12"/>
      <c r="K362" s="1" t="s">
        <v>450</v>
      </c>
      <c r="L362" s="12"/>
      <c r="M362" s="1" t="s">
        <v>546</v>
      </c>
      <c r="N362" s="14">
        <v>37302</v>
      </c>
      <c r="O362" s="1" t="s">
        <v>855</v>
      </c>
      <c r="P362" s="1" t="s">
        <v>856</v>
      </c>
      <c r="Q362" s="15" t="s">
        <v>807</v>
      </c>
      <c r="R362" s="1" t="s">
        <v>857</v>
      </c>
      <c r="S362" s="1" t="s">
        <v>868</v>
      </c>
      <c r="T362" s="1" t="s">
        <v>869</v>
      </c>
      <c r="U362" s="9" t="s">
        <v>814</v>
      </c>
      <c r="V362" s="1" t="s">
        <v>815</v>
      </c>
      <c r="W362" s="1" t="s">
        <v>871</v>
      </c>
      <c r="X362" s="1" t="s">
        <v>34</v>
      </c>
      <c r="Y362" s="14">
        <v>45779</v>
      </c>
      <c r="Z362" s="9" t="s">
        <v>817</v>
      </c>
      <c r="AB362" s="14">
        <v>45667</v>
      </c>
      <c r="AC362" s="9" t="s">
        <v>817</v>
      </c>
      <c r="AD362" s="9" t="s">
        <v>818</v>
      </c>
      <c r="AE362" s="1" t="s">
        <v>819</v>
      </c>
      <c r="AF362" s="14" t="s">
        <v>820</v>
      </c>
      <c r="AG362" s="9" t="s">
        <v>821</v>
      </c>
      <c r="AH362" s="1" t="s">
        <v>9</v>
      </c>
      <c r="AI362" s="9" t="s">
        <v>10</v>
      </c>
      <c r="AJ362" s="1" t="s">
        <v>11</v>
      </c>
      <c r="AK362" s="1" t="s">
        <v>1784</v>
      </c>
      <c r="AL362" s="1" t="s">
        <v>1785</v>
      </c>
      <c r="AM362" s="9">
        <v>11472</v>
      </c>
      <c r="AN362" s="1" t="s">
        <v>276</v>
      </c>
      <c r="AO362" s="1" t="s">
        <v>439</v>
      </c>
      <c r="AP362" s="1" t="s">
        <v>1748</v>
      </c>
      <c r="AQ362" s="14">
        <v>45779</v>
      </c>
      <c r="AU362" s="14">
        <v>45779</v>
      </c>
      <c r="AV362" s="16">
        <v>0</v>
      </c>
      <c r="AW362" s="16">
        <v>0</v>
      </c>
      <c r="BA362" s="1" t="s">
        <v>911</v>
      </c>
      <c r="BB362" s="9">
        <v>1</v>
      </c>
      <c r="BC362" s="1" t="s">
        <v>862</v>
      </c>
      <c r="BD362" s="9" t="s">
        <v>807</v>
      </c>
      <c r="BE362" s="1" t="s">
        <v>1766</v>
      </c>
      <c r="BF362" s="1" t="s">
        <v>450</v>
      </c>
      <c r="BG362" s="1" t="s">
        <v>1767</v>
      </c>
      <c r="BH362" s="1" t="s">
        <v>1768</v>
      </c>
      <c r="BI362" s="20" t="s">
        <v>916</v>
      </c>
      <c r="BJ362" s="21" t="str">
        <f t="shared" si="6"/>
        <v>FIXO</v>
      </c>
    </row>
    <row r="363" spans="1:62" x14ac:dyDescent="0.25">
      <c r="A363" s="7">
        <v>6</v>
      </c>
      <c r="B363" s="1" t="s">
        <v>41</v>
      </c>
      <c r="C363" s="8">
        <v>5</v>
      </c>
      <c r="D363" s="9" t="s">
        <v>807</v>
      </c>
      <c r="E363" s="10">
        <v>19807</v>
      </c>
      <c r="F363" s="11" t="s">
        <v>1995</v>
      </c>
      <c r="G363" s="1" t="s">
        <v>41</v>
      </c>
      <c r="H363" s="13" t="str">
        <f>VLOOKUP(AP363,[1]Listas!A:B,2,0)</f>
        <v xml:space="preserve">FESP </v>
      </c>
      <c r="I363" s="1" t="s">
        <v>38</v>
      </c>
      <c r="J363" s="12"/>
      <c r="K363" s="1" t="s">
        <v>245</v>
      </c>
      <c r="L363" s="1" t="s">
        <v>455</v>
      </c>
      <c r="M363" s="1" t="s">
        <v>547</v>
      </c>
      <c r="N363" s="14">
        <v>26036</v>
      </c>
      <c r="O363" s="1" t="s">
        <v>855</v>
      </c>
      <c r="P363" s="1" t="s">
        <v>856</v>
      </c>
      <c r="Q363" s="15" t="s">
        <v>811</v>
      </c>
      <c r="R363" s="1" t="s">
        <v>812</v>
      </c>
      <c r="S363" s="1" t="s">
        <v>868</v>
      </c>
      <c r="T363" s="1" t="s">
        <v>869</v>
      </c>
      <c r="U363" s="9" t="s">
        <v>811</v>
      </c>
      <c r="V363" s="1" t="s">
        <v>870</v>
      </c>
      <c r="W363" s="1" t="s">
        <v>1406</v>
      </c>
      <c r="X363" s="1" t="s">
        <v>294</v>
      </c>
      <c r="Y363" s="14">
        <v>45668</v>
      </c>
      <c r="Z363" s="9" t="s">
        <v>817</v>
      </c>
      <c r="AB363" s="14">
        <v>45667</v>
      </c>
      <c r="AC363" s="9" t="s">
        <v>817</v>
      </c>
      <c r="AD363" s="9" t="s">
        <v>818</v>
      </c>
      <c r="AE363" s="1" t="s">
        <v>819</v>
      </c>
      <c r="AF363" s="14" t="s">
        <v>820</v>
      </c>
      <c r="AG363" s="9" t="s">
        <v>821</v>
      </c>
      <c r="AH363" s="1" t="s">
        <v>9</v>
      </c>
      <c r="AI363" s="9" t="s">
        <v>10</v>
      </c>
      <c r="AJ363" s="1" t="s">
        <v>11</v>
      </c>
      <c r="AK363" s="1" t="s">
        <v>1996</v>
      </c>
      <c r="AL363" s="1" t="s">
        <v>1997</v>
      </c>
      <c r="AM363" s="9">
        <v>11370</v>
      </c>
      <c r="AN363" s="1" t="s">
        <v>453</v>
      </c>
      <c r="AO363" s="1" t="s">
        <v>472</v>
      </c>
      <c r="AP363" s="1" t="s">
        <v>1831</v>
      </c>
      <c r="AQ363" s="14">
        <v>45668</v>
      </c>
      <c r="AU363" s="14">
        <v>45799</v>
      </c>
      <c r="AV363" s="16">
        <v>0</v>
      </c>
      <c r="AW363" s="16">
        <v>0</v>
      </c>
      <c r="BA363" s="1" t="s">
        <v>911</v>
      </c>
      <c r="BB363" s="9">
        <v>1</v>
      </c>
      <c r="BC363" s="1" t="s">
        <v>862</v>
      </c>
      <c r="BD363" s="9" t="s">
        <v>807</v>
      </c>
      <c r="BE363" s="1" t="s">
        <v>1791</v>
      </c>
      <c r="BF363" s="1" t="s">
        <v>455</v>
      </c>
      <c r="BG363" s="1" t="s">
        <v>1792</v>
      </c>
      <c r="BH363" s="1" t="s">
        <v>1793</v>
      </c>
      <c r="BI363" s="1" t="s">
        <v>1073</v>
      </c>
      <c r="BJ363" s="21" t="str">
        <f t="shared" si="6"/>
        <v>FIXO</v>
      </c>
    </row>
    <row r="364" spans="1:62" x14ac:dyDescent="0.25">
      <c r="A364" s="7">
        <v>6</v>
      </c>
      <c r="B364" s="1" t="s">
        <v>41</v>
      </c>
      <c r="C364" s="8">
        <v>5</v>
      </c>
      <c r="D364" s="9" t="s">
        <v>807</v>
      </c>
      <c r="E364" s="10">
        <v>19817</v>
      </c>
      <c r="F364" s="11" t="s">
        <v>1998</v>
      </c>
      <c r="G364" s="1" t="s">
        <v>41</v>
      </c>
      <c r="H364" s="13" t="str">
        <f>VLOOKUP(AP364,[1]Listas!A:B,2,0)</f>
        <v xml:space="preserve">FESP </v>
      </c>
      <c r="I364" s="1" t="s">
        <v>38</v>
      </c>
      <c r="J364" s="12"/>
      <c r="K364" s="1" t="s">
        <v>245</v>
      </c>
      <c r="L364" s="12"/>
      <c r="M364" s="1" t="s">
        <v>455</v>
      </c>
      <c r="N364" s="14">
        <v>32259</v>
      </c>
      <c r="O364" s="1" t="s">
        <v>855</v>
      </c>
      <c r="P364" s="1" t="s">
        <v>856</v>
      </c>
      <c r="Q364" s="15" t="s">
        <v>814</v>
      </c>
      <c r="R364" s="1" t="s">
        <v>1075</v>
      </c>
      <c r="S364" s="1" t="s">
        <v>868</v>
      </c>
      <c r="T364" s="1" t="s">
        <v>869</v>
      </c>
      <c r="U364" s="9" t="s">
        <v>951</v>
      </c>
      <c r="V364" s="1" t="s">
        <v>952</v>
      </c>
      <c r="W364" s="1" t="s">
        <v>1069</v>
      </c>
      <c r="X364" s="1" t="s">
        <v>137</v>
      </c>
      <c r="Y364" s="14">
        <v>45671</v>
      </c>
      <c r="Z364" s="9" t="s">
        <v>817</v>
      </c>
      <c r="AB364" s="14">
        <v>45670</v>
      </c>
      <c r="AC364" s="9" t="s">
        <v>817</v>
      </c>
      <c r="AD364" s="9" t="s">
        <v>818</v>
      </c>
      <c r="AE364" s="1" t="s">
        <v>819</v>
      </c>
      <c r="AF364" s="14" t="s">
        <v>820</v>
      </c>
      <c r="AG364" s="9" t="s">
        <v>821</v>
      </c>
      <c r="AH364" s="1" t="s">
        <v>9</v>
      </c>
      <c r="AI364" s="9" t="s">
        <v>10</v>
      </c>
      <c r="AJ364" s="1" t="s">
        <v>11</v>
      </c>
      <c r="AK364" s="1" t="s">
        <v>1792</v>
      </c>
      <c r="AL364" s="1" t="s">
        <v>1793</v>
      </c>
      <c r="AM364" s="9">
        <v>11370</v>
      </c>
      <c r="AN364" s="1" t="s">
        <v>453</v>
      </c>
      <c r="AO364" s="1" t="s">
        <v>139</v>
      </c>
      <c r="AP364" s="1" t="s">
        <v>1072</v>
      </c>
      <c r="AQ364" s="14">
        <v>45671</v>
      </c>
      <c r="AU364" s="14">
        <v>45799</v>
      </c>
      <c r="AV364" s="16">
        <v>0</v>
      </c>
      <c r="AW364" s="16">
        <v>0</v>
      </c>
      <c r="BA364" s="1" t="s">
        <v>911</v>
      </c>
      <c r="BB364" s="9">
        <v>1</v>
      </c>
      <c r="BC364" s="1" t="s">
        <v>862</v>
      </c>
      <c r="BD364" s="9" t="s">
        <v>807</v>
      </c>
      <c r="BE364" s="1" t="s">
        <v>893</v>
      </c>
      <c r="BF364" s="1" t="s">
        <v>38</v>
      </c>
      <c r="BG364" s="1" t="s">
        <v>883</v>
      </c>
      <c r="BH364" s="1" t="s">
        <v>884</v>
      </c>
      <c r="BI364" s="20" t="s">
        <v>1073</v>
      </c>
      <c r="BJ364" s="21" t="str">
        <f t="shared" si="6"/>
        <v>FIXO</v>
      </c>
    </row>
    <row r="365" spans="1:62" x14ac:dyDescent="0.25">
      <c r="A365" s="7">
        <v>6</v>
      </c>
      <c r="B365" s="1" t="s">
        <v>41</v>
      </c>
      <c r="C365" s="8">
        <v>6</v>
      </c>
      <c r="D365" s="9" t="s">
        <v>807</v>
      </c>
      <c r="E365" s="10">
        <v>19887</v>
      </c>
      <c r="F365" s="11" t="s">
        <v>1999</v>
      </c>
      <c r="G365" s="12" t="s">
        <v>271</v>
      </c>
      <c r="H365" s="13" t="str">
        <f>VLOOKUP(AP365,[1]Listas!A:B,2,0)</f>
        <v xml:space="preserve">FSTV </v>
      </c>
      <c r="I365" s="1" t="s">
        <v>440</v>
      </c>
      <c r="J365" s="12"/>
      <c r="K365" s="12"/>
      <c r="L365" s="1" t="s">
        <v>440</v>
      </c>
      <c r="M365" s="1" t="s">
        <v>548</v>
      </c>
      <c r="N365" s="14">
        <v>29582</v>
      </c>
      <c r="O365" s="1" t="s">
        <v>809</v>
      </c>
      <c r="P365" s="1" t="s">
        <v>810</v>
      </c>
      <c r="Q365" s="15" t="s">
        <v>811</v>
      </c>
      <c r="R365" s="1" t="s">
        <v>812</v>
      </c>
      <c r="S365" s="1" t="s">
        <v>868</v>
      </c>
      <c r="T365" s="1" t="s">
        <v>869</v>
      </c>
      <c r="U365" s="9" t="s">
        <v>811</v>
      </c>
      <c r="V365" s="1" t="s">
        <v>870</v>
      </c>
      <c r="W365" s="1" t="s">
        <v>1220</v>
      </c>
      <c r="X365" s="1" t="s">
        <v>220</v>
      </c>
      <c r="Y365" s="14">
        <v>45751</v>
      </c>
      <c r="Z365" s="9" t="s">
        <v>817</v>
      </c>
      <c r="AB365" s="14">
        <v>45751</v>
      </c>
      <c r="AC365" s="9" t="s">
        <v>817</v>
      </c>
      <c r="AD365" s="9" t="s">
        <v>818</v>
      </c>
      <c r="AE365" s="1" t="s">
        <v>819</v>
      </c>
      <c r="AF365" s="14" t="s">
        <v>820</v>
      </c>
      <c r="AG365" s="9" t="s">
        <v>821</v>
      </c>
      <c r="AH365" s="1" t="s">
        <v>9</v>
      </c>
      <c r="AI365" s="9" t="s">
        <v>10</v>
      </c>
      <c r="AJ365" s="1" t="s">
        <v>11</v>
      </c>
      <c r="AK365" s="1" t="s">
        <v>1833</v>
      </c>
      <c r="AL365" s="1" t="s">
        <v>1834</v>
      </c>
      <c r="AM365" s="9">
        <v>11418</v>
      </c>
      <c r="AN365" s="1" t="s">
        <v>122</v>
      </c>
      <c r="AO365" s="1" t="s">
        <v>474</v>
      </c>
      <c r="AP365" s="1" t="s">
        <v>1835</v>
      </c>
      <c r="AQ365" s="14">
        <v>45751</v>
      </c>
      <c r="AU365" s="14">
        <v>45799</v>
      </c>
      <c r="AV365" s="16">
        <v>0</v>
      </c>
      <c r="AW365" s="16">
        <v>0</v>
      </c>
      <c r="BA365" s="1" t="s">
        <v>911</v>
      </c>
      <c r="BB365" s="9">
        <v>24</v>
      </c>
      <c r="BC365" s="1" t="s">
        <v>1533</v>
      </c>
      <c r="BD365" s="9" t="s">
        <v>807</v>
      </c>
      <c r="BE365" s="1" t="s">
        <v>850</v>
      </c>
      <c r="BF365" s="1" t="s">
        <v>27</v>
      </c>
      <c r="BG365" s="1" t="s">
        <v>851</v>
      </c>
      <c r="BH365" s="1" t="s">
        <v>852</v>
      </c>
      <c r="BI365" s="20" t="s">
        <v>1055</v>
      </c>
      <c r="BJ365" s="21" t="str">
        <f t="shared" si="6"/>
        <v>FIXO</v>
      </c>
    </row>
    <row r="366" spans="1:62" x14ac:dyDescent="0.25">
      <c r="A366" s="7">
        <v>6</v>
      </c>
      <c r="B366" s="1" t="s">
        <v>41</v>
      </c>
      <c r="C366" s="8">
        <v>9</v>
      </c>
      <c r="D366" s="9" t="s">
        <v>807</v>
      </c>
      <c r="E366" s="10">
        <v>19895</v>
      </c>
      <c r="F366" s="11" t="s">
        <v>2000</v>
      </c>
      <c r="G366" s="12" t="s">
        <v>71</v>
      </c>
      <c r="H366" s="13" t="str">
        <f>VLOOKUP(AP366,[1]Listas!A:B,2,0)</f>
        <v xml:space="preserve">FBLA </v>
      </c>
      <c r="I366" s="1" t="s">
        <v>27</v>
      </c>
      <c r="J366" s="12"/>
      <c r="K366" s="12"/>
      <c r="L366" s="12"/>
      <c r="M366" s="1" t="s">
        <v>2001</v>
      </c>
      <c r="N366" s="14">
        <v>35219</v>
      </c>
      <c r="O366" s="1" t="s">
        <v>855</v>
      </c>
      <c r="P366" s="1" t="s">
        <v>856</v>
      </c>
      <c r="Q366" s="15" t="s">
        <v>807</v>
      </c>
      <c r="R366" s="1" t="s">
        <v>857</v>
      </c>
      <c r="S366" s="1" t="s">
        <v>868</v>
      </c>
      <c r="T366" s="1" t="s">
        <v>869</v>
      </c>
      <c r="U366" s="9" t="s">
        <v>951</v>
      </c>
      <c r="V366" s="1" t="s">
        <v>952</v>
      </c>
      <c r="W366" s="1" t="s">
        <v>1229</v>
      </c>
      <c r="X366" s="1" t="s">
        <v>224</v>
      </c>
      <c r="Y366" s="14">
        <v>45678</v>
      </c>
      <c r="Z366" s="9" t="s">
        <v>817</v>
      </c>
      <c r="AB366" s="14">
        <v>45678</v>
      </c>
      <c r="AC366" s="9" t="s">
        <v>817</v>
      </c>
      <c r="AD366" s="9" t="s">
        <v>818</v>
      </c>
      <c r="AE366" s="1" t="s">
        <v>819</v>
      </c>
      <c r="AF366" s="14" t="s">
        <v>820</v>
      </c>
      <c r="AG366" s="9" t="s">
        <v>821</v>
      </c>
      <c r="AH366" s="1" t="s">
        <v>9</v>
      </c>
      <c r="AI366" s="9" t="s">
        <v>10</v>
      </c>
      <c r="AJ366" s="1" t="s">
        <v>11</v>
      </c>
      <c r="AK366" s="1" t="s">
        <v>2002</v>
      </c>
      <c r="AL366" s="1" t="s">
        <v>2003</v>
      </c>
      <c r="AM366" s="9">
        <v>11704</v>
      </c>
      <c r="AN366" s="1" t="s">
        <v>526</v>
      </c>
      <c r="AO366" s="1" t="s">
        <v>607</v>
      </c>
      <c r="AP366" s="1" t="s">
        <v>2004</v>
      </c>
      <c r="AQ366" s="14">
        <v>45678</v>
      </c>
      <c r="AU366" s="14">
        <v>45799</v>
      </c>
      <c r="AV366" s="16">
        <v>30</v>
      </c>
      <c r="AW366" s="16">
        <v>0</v>
      </c>
      <c r="BA366" s="1" t="s">
        <v>911</v>
      </c>
      <c r="BB366" s="9">
        <v>1</v>
      </c>
      <c r="BC366" s="1" t="s">
        <v>862</v>
      </c>
      <c r="BD366" s="9" t="s">
        <v>807</v>
      </c>
      <c r="BE366" s="1" t="s">
        <v>850</v>
      </c>
      <c r="BF366" s="1" t="s">
        <v>27</v>
      </c>
      <c r="BG366" s="1" t="s">
        <v>851</v>
      </c>
      <c r="BH366" s="1" t="s">
        <v>852</v>
      </c>
      <c r="BI366" s="20" t="s">
        <v>853</v>
      </c>
      <c r="BJ366" s="21" t="str">
        <f t="shared" si="6"/>
        <v>FIXO</v>
      </c>
    </row>
    <row r="367" spans="1:62" x14ac:dyDescent="0.25">
      <c r="A367" s="7">
        <v>6</v>
      </c>
      <c r="B367" s="1" t="s">
        <v>41</v>
      </c>
      <c r="C367" s="8">
        <v>9</v>
      </c>
      <c r="D367" s="9" t="s">
        <v>807</v>
      </c>
      <c r="E367" s="10">
        <v>19896</v>
      </c>
      <c r="F367" s="11" t="s">
        <v>2005</v>
      </c>
      <c r="G367" s="12" t="s">
        <v>71</v>
      </c>
      <c r="H367" s="13" t="str">
        <f>VLOOKUP(AP367,[1]Listas!A:B,2,0)</f>
        <v xml:space="preserve">FBLA </v>
      </c>
      <c r="I367" s="1" t="s">
        <v>27</v>
      </c>
      <c r="J367" s="12"/>
      <c r="K367" s="12"/>
      <c r="L367" s="12"/>
      <c r="M367" s="1" t="s">
        <v>549</v>
      </c>
      <c r="N367" s="14">
        <v>35814</v>
      </c>
      <c r="O367" s="1" t="s">
        <v>809</v>
      </c>
      <c r="P367" s="1" t="s">
        <v>810</v>
      </c>
      <c r="Q367" s="15" t="s">
        <v>807</v>
      </c>
      <c r="R367" s="1" t="s">
        <v>857</v>
      </c>
      <c r="S367" s="1" t="s">
        <v>868</v>
      </c>
      <c r="T367" s="1" t="s">
        <v>869</v>
      </c>
      <c r="U367" s="9" t="s">
        <v>814</v>
      </c>
      <c r="V367" s="1" t="s">
        <v>815</v>
      </c>
      <c r="W367" s="1" t="s">
        <v>998</v>
      </c>
      <c r="X367" s="1" t="s">
        <v>104</v>
      </c>
      <c r="Y367" s="14">
        <v>45678</v>
      </c>
      <c r="Z367" s="9" t="s">
        <v>817</v>
      </c>
      <c r="AB367" s="14">
        <v>45678</v>
      </c>
      <c r="AC367" s="9" t="s">
        <v>817</v>
      </c>
      <c r="AD367" s="9" t="s">
        <v>818</v>
      </c>
      <c r="AE367" s="1" t="s">
        <v>819</v>
      </c>
      <c r="AF367" s="14" t="s">
        <v>820</v>
      </c>
      <c r="AG367" s="9" t="s">
        <v>821</v>
      </c>
      <c r="AH367" s="1" t="s">
        <v>9</v>
      </c>
      <c r="AI367" s="9" t="s">
        <v>10</v>
      </c>
      <c r="AJ367" s="1" t="s">
        <v>11</v>
      </c>
      <c r="AK367" s="1" t="s">
        <v>2006</v>
      </c>
      <c r="AL367" s="1" t="s">
        <v>2007</v>
      </c>
      <c r="AM367" s="9">
        <v>11701</v>
      </c>
      <c r="AN367" s="1" t="s">
        <v>83</v>
      </c>
      <c r="AO367" s="1" t="s">
        <v>550</v>
      </c>
      <c r="AP367" s="1" t="s">
        <v>2008</v>
      </c>
      <c r="AQ367" s="14">
        <v>45678</v>
      </c>
      <c r="AU367" s="14">
        <v>45799</v>
      </c>
      <c r="AV367" s="16">
        <v>0</v>
      </c>
      <c r="AW367" s="16">
        <v>0</v>
      </c>
      <c r="BA367" s="1" t="s">
        <v>911</v>
      </c>
      <c r="BB367" s="9">
        <v>1</v>
      </c>
      <c r="BC367" s="1" t="s">
        <v>862</v>
      </c>
      <c r="BD367" s="9" t="s">
        <v>807</v>
      </c>
      <c r="BE367" s="1" t="s">
        <v>850</v>
      </c>
      <c r="BF367" s="1" t="s">
        <v>27</v>
      </c>
      <c r="BG367" s="1" t="s">
        <v>851</v>
      </c>
      <c r="BH367" s="1" t="s">
        <v>852</v>
      </c>
      <c r="BI367" s="20" t="s">
        <v>853</v>
      </c>
      <c r="BJ367" s="21" t="str">
        <f t="shared" si="6"/>
        <v>FIXO</v>
      </c>
    </row>
    <row r="368" spans="1:62" x14ac:dyDescent="0.25">
      <c r="A368" s="7">
        <v>6</v>
      </c>
      <c r="B368" s="1" t="s">
        <v>41</v>
      </c>
      <c r="C368" s="8">
        <v>5</v>
      </c>
      <c r="D368" s="9" t="s">
        <v>807</v>
      </c>
      <c r="E368" s="10">
        <v>19903</v>
      </c>
      <c r="F368" s="11" t="s">
        <v>2009</v>
      </c>
      <c r="G368" s="1" t="s">
        <v>41</v>
      </c>
      <c r="H368" s="13" t="str">
        <f>VLOOKUP(AP368,[1]Listas!A:B,2,0)</f>
        <v xml:space="preserve">FESP </v>
      </c>
      <c r="I368" s="1" t="s">
        <v>38</v>
      </c>
      <c r="J368" s="12"/>
      <c r="K368" s="1" t="s">
        <v>245</v>
      </c>
      <c r="L368" s="1" t="s">
        <v>136</v>
      </c>
      <c r="M368" s="1" t="s">
        <v>551</v>
      </c>
      <c r="N368" s="14">
        <v>35785</v>
      </c>
      <c r="O368" s="1" t="s">
        <v>855</v>
      </c>
      <c r="P368" s="1" t="s">
        <v>856</v>
      </c>
      <c r="Q368" s="15" t="s">
        <v>807</v>
      </c>
      <c r="R368" s="1" t="s">
        <v>857</v>
      </c>
      <c r="S368" s="1" t="s">
        <v>868</v>
      </c>
      <c r="T368" s="1" t="s">
        <v>869</v>
      </c>
      <c r="U368" s="9" t="s">
        <v>814</v>
      </c>
      <c r="V368" s="1" t="s">
        <v>815</v>
      </c>
      <c r="W368" s="1" t="s">
        <v>1430</v>
      </c>
      <c r="X368" s="1" t="s">
        <v>303</v>
      </c>
      <c r="Y368" s="14">
        <v>45778</v>
      </c>
      <c r="Z368" s="9" t="s">
        <v>817</v>
      </c>
      <c r="AB368" s="14">
        <v>45678</v>
      </c>
      <c r="AC368" s="9" t="s">
        <v>817</v>
      </c>
      <c r="AD368" s="9" t="s">
        <v>818</v>
      </c>
      <c r="AE368" s="1" t="s">
        <v>819</v>
      </c>
      <c r="AF368" s="14" t="s">
        <v>820</v>
      </c>
      <c r="AG368" s="9" t="s">
        <v>821</v>
      </c>
      <c r="AH368" s="1" t="s">
        <v>9</v>
      </c>
      <c r="AI368" s="9" t="s">
        <v>10</v>
      </c>
      <c r="AJ368" s="1" t="s">
        <v>11</v>
      </c>
      <c r="AK368" s="1" t="s">
        <v>1795</v>
      </c>
      <c r="AL368" s="1" t="s">
        <v>1796</v>
      </c>
      <c r="AM368" s="9">
        <v>11369</v>
      </c>
      <c r="AN368" s="1" t="s">
        <v>138</v>
      </c>
      <c r="AO368" s="1" t="s">
        <v>454</v>
      </c>
      <c r="AP368" s="1" t="s">
        <v>1790</v>
      </c>
      <c r="AQ368" s="14">
        <v>45778</v>
      </c>
      <c r="AU368" s="14">
        <v>45799</v>
      </c>
      <c r="AV368" s="16">
        <v>0</v>
      </c>
      <c r="AW368" s="16">
        <v>0</v>
      </c>
      <c r="BA368" s="1" t="s">
        <v>911</v>
      </c>
      <c r="BB368" s="9">
        <v>22</v>
      </c>
      <c r="BC368" s="1" t="s">
        <v>1244</v>
      </c>
      <c r="BD368" s="9" t="s">
        <v>807</v>
      </c>
      <c r="BE368" s="1" t="s">
        <v>1797</v>
      </c>
      <c r="BF368" s="1" t="s">
        <v>136</v>
      </c>
      <c r="BG368" s="1" t="s">
        <v>1070</v>
      </c>
      <c r="BH368" s="1" t="s">
        <v>1071</v>
      </c>
      <c r="BI368" s="1" t="s">
        <v>1073</v>
      </c>
      <c r="BJ368" s="21" t="str">
        <f t="shared" si="6"/>
        <v>FIXO</v>
      </c>
    </row>
    <row r="369" spans="1:62" x14ac:dyDescent="0.25">
      <c r="A369" s="7">
        <v>6</v>
      </c>
      <c r="B369" s="1" t="s">
        <v>41</v>
      </c>
      <c r="C369" s="8">
        <v>9</v>
      </c>
      <c r="D369" s="9" t="s">
        <v>807</v>
      </c>
      <c r="E369" s="10">
        <v>19926</v>
      </c>
      <c r="F369" s="11" t="s">
        <v>2010</v>
      </c>
      <c r="G369" s="12" t="s">
        <v>71</v>
      </c>
      <c r="H369" s="13" t="str">
        <f>VLOOKUP(AP369,[1]Listas!A:B,2,0)</f>
        <v xml:space="preserve">FBLA </v>
      </c>
      <c r="I369" s="1" t="s">
        <v>384</v>
      </c>
      <c r="J369" s="12"/>
      <c r="K369" s="12"/>
      <c r="L369" s="12" t="s">
        <v>612</v>
      </c>
      <c r="M369" s="1" t="s">
        <v>552</v>
      </c>
      <c r="N369" s="14">
        <v>34633</v>
      </c>
      <c r="O369" s="1" t="s">
        <v>855</v>
      </c>
      <c r="P369" s="1" t="s">
        <v>856</v>
      </c>
      <c r="Q369" s="15" t="s">
        <v>807</v>
      </c>
      <c r="R369" s="1" t="s">
        <v>857</v>
      </c>
      <c r="S369" s="1" t="s">
        <v>868</v>
      </c>
      <c r="T369" s="1" t="s">
        <v>869</v>
      </c>
      <c r="U369" s="9" t="s">
        <v>880</v>
      </c>
      <c r="V369" s="1" t="s">
        <v>881</v>
      </c>
      <c r="W369" s="1" t="s">
        <v>1638</v>
      </c>
      <c r="X369" s="1" t="s">
        <v>388</v>
      </c>
      <c r="Y369" s="14">
        <v>45692</v>
      </c>
      <c r="Z369" s="9" t="s">
        <v>817</v>
      </c>
      <c r="AB369" s="14">
        <v>45692</v>
      </c>
      <c r="AC369" s="9" t="s">
        <v>817</v>
      </c>
      <c r="AD369" s="9" t="s">
        <v>818</v>
      </c>
      <c r="AE369" s="1" t="s">
        <v>819</v>
      </c>
      <c r="AF369" s="14" t="s">
        <v>820</v>
      </c>
      <c r="AG369" s="9" t="s">
        <v>999</v>
      </c>
      <c r="AH369" s="1" t="s">
        <v>105</v>
      </c>
      <c r="AI369" s="9" t="s">
        <v>10</v>
      </c>
      <c r="AJ369" s="1" t="s">
        <v>11</v>
      </c>
      <c r="AK369" s="1" t="s">
        <v>2011</v>
      </c>
      <c r="AL369" s="1" t="s">
        <v>2012</v>
      </c>
      <c r="AM369" s="9">
        <v>11741</v>
      </c>
      <c r="AN369" s="1" t="s">
        <v>516</v>
      </c>
      <c r="AO369" s="1" t="s">
        <v>517</v>
      </c>
      <c r="AP369" s="1" t="s">
        <v>1929</v>
      </c>
      <c r="AQ369" s="14">
        <v>45854</v>
      </c>
      <c r="AU369" s="14">
        <v>45799</v>
      </c>
      <c r="AV369" s="16">
        <v>0</v>
      </c>
      <c r="AW369" s="16">
        <v>0</v>
      </c>
      <c r="BA369" s="1" t="s">
        <v>911</v>
      </c>
      <c r="BB369" s="9">
        <v>21</v>
      </c>
      <c r="BC369" s="1" t="s">
        <v>1731</v>
      </c>
      <c r="BD369" s="9" t="s">
        <v>807</v>
      </c>
      <c r="BE369" s="1" t="s">
        <v>1630</v>
      </c>
      <c r="BF369" s="1" t="s">
        <v>384</v>
      </c>
      <c r="BG369" s="1" t="s">
        <v>1631</v>
      </c>
      <c r="BH369" s="1" t="s">
        <v>1632</v>
      </c>
      <c r="BI369" s="20" t="s">
        <v>2013</v>
      </c>
      <c r="BJ369" s="21" t="str">
        <f t="shared" si="6"/>
        <v>FIXO</v>
      </c>
    </row>
    <row r="370" spans="1:62" x14ac:dyDescent="0.25">
      <c r="A370" s="7">
        <v>6</v>
      </c>
      <c r="B370" s="1" t="s">
        <v>41</v>
      </c>
      <c r="C370" s="8">
        <v>5</v>
      </c>
      <c r="D370" s="9" t="s">
        <v>807</v>
      </c>
      <c r="E370" s="10">
        <v>20012</v>
      </c>
      <c r="F370" s="11" t="s">
        <v>2014</v>
      </c>
      <c r="G370" s="1" t="s">
        <v>41</v>
      </c>
      <c r="H370" s="13" t="str">
        <f>VLOOKUP(AP370,[1]Listas!A:B,2,0)</f>
        <v xml:space="preserve">FESP </v>
      </c>
      <c r="I370" s="1" t="s">
        <v>38</v>
      </c>
      <c r="J370" s="12"/>
      <c r="K370" s="1" t="s">
        <v>245</v>
      </c>
      <c r="L370" s="1" t="s">
        <v>455</v>
      </c>
      <c r="M370" s="1" t="s">
        <v>553</v>
      </c>
      <c r="N370" s="14">
        <v>25638</v>
      </c>
      <c r="O370" s="1" t="s">
        <v>855</v>
      </c>
      <c r="P370" s="1" t="s">
        <v>856</v>
      </c>
      <c r="Q370" s="15" t="s">
        <v>1031</v>
      </c>
      <c r="R370" s="1" t="s">
        <v>1032</v>
      </c>
      <c r="S370" s="1" t="s">
        <v>868</v>
      </c>
      <c r="T370" s="1" t="s">
        <v>869</v>
      </c>
      <c r="U370" s="9" t="s">
        <v>811</v>
      </c>
      <c r="V370" s="1" t="s">
        <v>870</v>
      </c>
      <c r="W370" s="1" t="s">
        <v>1430</v>
      </c>
      <c r="X370" s="1" t="s">
        <v>303</v>
      </c>
      <c r="Y370" s="14">
        <v>45779</v>
      </c>
      <c r="Z370" s="9" t="s">
        <v>817</v>
      </c>
      <c r="AB370" s="14">
        <v>45691</v>
      </c>
      <c r="AC370" s="9" t="s">
        <v>817</v>
      </c>
      <c r="AD370" s="9" t="s">
        <v>818</v>
      </c>
      <c r="AE370" s="1" t="s">
        <v>819</v>
      </c>
      <c r="AF370" s="14" t="s">
        <v>820</v>
      </c>
      <c r="AG370" s="9" t="s">
        <v>821</v>
      </c>
      <c r="AH370" s="1" t="s">
        <v>9</v>
      </c>
      <c r="AI370" s="9" t="s">
        <v>10</v>
      </c>
      <c r="AJ370" s="1" t="s">
        <v>11</v>
      </c>
      <c r="AK370" s="1" t="s">
        <v>1788</v>
      </c>
      <c r="AL370" s="1" t="s">
        <v>1789</v>
      </c>
      <c r="AM370" s="9">
        <v>11370</v>
      </c>
      <c r="AN370" s="1" t="s">
        <v>453</v>
      </c>
      <c r="AO370" s="1" t="s">
        <v>454</v>
      </c>
      <c r="AP370" s="1" t="s">
        <v>1790</v>
      </c>
      <c r="AQ370" s="14">
        <v>45780</v>
      </c>
      <c r="AU370" s="14">
        <v>45691</v>
      </c>
      <c r="AV370" s="16">
        <v>0</v>
      </c>
      <c r="AW370" s="16">
        <v>0</v>
      </c>
      <c r="BA370" s="1" t="s">
        <v>911</v>
      </c>
      <c r="BB370" s="9">
        <v>1</v>
      </c>
      <c r="BC370" s="1" t="s">
        <v>862</v>
      </c>
      <c r="BD370" s="9" t="s">
        <v>807</v>
      </c>
      <c r="BE370" s="1" t="s">
        <v>1791</v>
      </c>
      <c r="BF370" s="1" t="s">
        <v>455</v>
      </c>
      <c r="BG370" s="1" t="s">
        <v>1792</v>
      </c>
      <c r="BH370" s="1" t="s">
        <v>1793</v>
      </c>
      <c r="BI370" s="1" t="s">
        <v>1073</v>
      </c>
      <c r="BJ370" s="21" t="str">
        <f t="shared" si="6"/>
        <v>FIXO</v>
      </c>
    </row>
    <row r="371" spans="1:62" x14ac:dyDescent="0.25">
      <c r="A371" s="7">
        <v>6</v>
      </c>
      <c r="B371" s="1" t="s">
        <v>41</v>
      </c>
      <c r="C371" s="8">
        <v>6</v>
      </c>
      <c r="D371" s="9" t="s">
        <v>807</v>
      </c>
      <c r="E371" s="10">
        <v>20046</v>
      </c>
      <c r="F371" s="11" t="s">
        <v>2015</v>
      </c>
      <c r="G371" s="12" t="s">
        <v>271</v>
      </c>
      <c r="H371" s="13" t="str">
        <f>VLOOKUP(AP371,[1]Listas!A:B,2,0)</f>
        <v xml:space="preserve">FSTV </v>
      </c>
      <c r="I371" s="1" t="s">
        <v>440</v>
      </c>
      <c r="J371" s="12"/>
      <c r="K371" s="1" t="s">
        <v>450</v>
      </c>
      <c r="L371" s="12"/>
      <c r="M371" s="1" t="s">
        <v>554</v>
      </c>
      <c r="N371" s="14">
        <v>33749</v>
      </c>
      <c r="O371" s="1" t="s">
        <v>855</v>
      </c>
      <c r="P371" s="1" t="s">
        <v>856</v>
      </c>
      <c r="Q371" s="15" t="s">
        <v>811</v>
      </c>
      <c r="R371" s="1" t="s">
        <v>812</v>
      </c>
      <c r="S371" s="1" t="s">
        <v>807</v>
      </c>
      <c r="T371" s="1" t="s">
        <v>813</v>
      </c>
      <c r="U371" s="9" t="s">
        <v>880</v>
      </c>
      <c r="V371" s="1" t="s">
        <v>881</v>
      </c>
      <c r="W371" s="1" t="s">
        <v>871</v>
      </c>
      <c r="X371" s="1" t="s">
        <v>34</v>
      </c>
      <c r="Y371" s="14">
        <v>45692</v>
      </c>
      <c r="Z371" s="9" t="s">
        <v>817</v>
      </c>
      <c r="AB371" s="14">
        <v>45692</v>
      </c>
      <c r="AC371" s="9" t="s">
        <v>817</v>
      </c>
      <c r="AD371" s="9" t="s">
        <v>818</v>
      </c>
      <c r="AE371" s="1" t="s">
        <v>819</v>
      </c>
      <c r="AF371" s="14" t="s">
        <v>820</v>
      </c>
      <c r="AG371" s="9" t="s">
        <v>821</v>
      </c>
      <c r="AH371" s="1" t="s">
        <v>9</v>
      </c>
      <c r="AI371" s="9" t="s">
        <v>10</v>
      </c>
      <c r="AJ371" s="1" t="s">
        <v>11</v>
      </c>
      <c r="AK371" s="1" t="s">
        <v>1784</v>
      </c>
      <c r="AL371" s="1" t="s">
        <v>1785</v>
      </c>
      <c r="AM371" s="9">
        <v>11472</v>
      </c>
      <c r="AN371" s="1" t="s">
        <v>276</v>
      </c>
      <c r="AO371" s="1" t="s">
        <v>439</v>
      </c>
      <c r="AP371" s="1" t="s">
        <v>1748</v>
      </c>
      <c r="AQ371" s="14">
        <v>45692</v>
      </c>
      <c r="AU371" s="14">
        <v>45692</v>
      </c>
      <c r="AV371" s="16">
        <v>0</v>
      </c>
      <c r="AW371" s="16">
        <v>0</v>
      </c>
      <c r="BA371" s="1" t="s">
        <v>911</v>
      </c>
      <c r="BB371" s="9">
        <v>1</v>
      </c>
      <c r="BC371" s="1" t="s">
        <v>862</v>
      </c>
      <c r="BD371" s="9" t="s">
        <v>807</v>
      </c>
      <c r="BE371" s="1" t="s">
        <v>1766</v>
      </c>
      <c r="BF371" s="1" t="s">
        <v>450</v>
      </c>
      <c r="BG371" s="1" t="s">
        <v>1767</v>
      </c>
      <c r="BH371" s="1" t="s">
        <v>1768</v>
      </c>
      <c r="BI371" s="20" t="s">
        <v>916</v>
      </c>
      <c r="BJ371" s="21" t="str">
        <f t="shared" si="6"/>
        <v>FIXO</v>
      </c>
    </row>
    <row r="372" spans="1:62" x14ac:dyDescent="0.25">
      <c r="A372" s="7">
        <v>6</v>
      </c>
      <c r="B372" s="1" t="s">
        <v>41</v>
      </c>
      <c r="C372" s="8">
        <v>9</v>
      </c>
      <c r="D372" s="9" t="s">
        <v>807</v>
      </c>
      <c r="E372" s="10">
        <v>20081</v>
      </c>
      <c r="F372" s="11" t="s">
        <v>2016</v>
      </c>
      <c r="G372" s="12" t="s">
        <v>41</v>
      </c>
      <c r="H372" s="13" t="str">
        <f>VLOOKUP(AP372,[1]Listas!A:B,2,0)</f>
        <v xml:space="preserve">FBLA </v>
      </c>
      <c r="I372" s="1" t="s">
        <v>444</v>
      </c>
      <c r="J372" s="12"/>
      <c r="K372" s="12"/>
      <c r="L372" s="1" t="s">
        <v>458</v>
      </c>
      <c r="M372" s="1" t="s">
        <v>555</v>
      </c>
      <c r="N372" s="14">
        <v>35361</v>
      </c>
      <c r="O372" s="1" t="s">
        <v>855</v>
      </c>
      <c r="P372" s="1" t="s">
        <v>856</v>
      </c>
      <c r="Q372" s="15" t="s">
        <v>807</v>
      </c>
      <c r="R372" s="1" t="s">
        <v>857</v>
      </c>
      <c r="S372" s="1" t="s">
        <v>868</v>
      </c>
      <c r="T372" s="1" t="s">
        <v>869</v>
      </c>
      <c r="U372" s="9" t="s">
        <v>880</v>
      </c>
      <c r="V372" s="1" t="s">
        <v>881</v>
      </c>
      <c r="W372" s="1" t="s">
        <v>1334</v>
      </c>
      <c r="X372" s="1" t="s">
        <v>274</v>
      </c>
      <c r="Y372" s="14">
        <v>45846</v>
      </c>
      <c r="Z372" s="9" t="s">
        <v>817</v>
      </c>
      <c r="AB372" s="14">
        <v>45846</v>
      </c>
      <c r="AC372" s="9" t="s">
        <v>817</v>
      </c>
      <c r="AD372" s="9" t="s">
        <v>818</v>
      </c>
      <c r="AE372" s="1" t="s">
        <v>819</v>
      </c>
      <c r="AF372" s="14" t="s">
        <v>820</v>
      </c>
      <c r="AG372" s="9" t="s">
        <v>821</v>
      </c>
      <c r="AH372" s="1" t="s">
        <v>9</v>
      </c>
      <c r="AI372" s="9" t="s">
        <v>10</v>
      </c>
      <c r="AJ372" s="1" t="s">
        <v>11</v>
      </c>
      <c r="AK372" s="1" t="s">
        <v>2017</v>
      </c>
      <c r="AL372" s="1" t="s">
        <v>2018</v>
      </c>
      <c r="AM372" s="9">
        <v>11738</v>
      </c>
      <c r="AN372" s="1" t="s">
        <v>275</v>
      </c>
      <c r="AO372" s="1" t="s">
        <v>556</v>
      </c>
      <c r="AP372" s="1" t="s">
        <v>2019</v>
      </c>
      <c r="AQ372" s="14">
        <v>45846</v>
      </c>
      <c r="AU372" s="14">
        <v>45846</v>
      </c>
      <c r="AV372" s="16">
        <v>0</v>
      </c>
      <c r="AW372" s="16">
        <v>0</v>
      </c>
      <c r="BA372" s="1" t="s">
        <v>911</v>
      </c>
      <c r="BB372" s="9">
        <v>7</v>
      </c>
      <c r="BC372" s="1" t="s">
        <v>826</v>
      </c>
      <c r="BD372" s="9" t="s">
        <v>807</v>
      </c>
      <c r="BE372" s="1" t="s">
        <v>1738</v>
      </c>
      <c r="BF372" s="1" t="s">
        <v>437</v>
      </c>
      <c r="BG372" s="1" t="s">
        <v>1739</v>
      </c>
      <c r="BH372" s="1" t="s">
        <v>1740</v>
      </c>
      <c r="BI372" s="25" t="s">
        <v>1118</v>
      </c>
      <c r="BJ372" s="21" t="str">
        <f t="shared" si="6"/>
        <v>FIXO</v>
      </c>
    </row>
    <row r="373" spans="1:62" x14ac:dyDescent="0.25">
      <c r="A373" s="7">
        <v>6</v>
      </c>
      <c r="B373" s="1" t="s">
        <v>41</v>
      </c>
      <c r="C373" s="8">
        <v>9</v>
      </c>
      <c r="D373" s="9" t="s">
        <v>807</v>
      </c>
      <c r="E373" s="10">
        <v>20185</v>
      </c>
      <c r="F373" s="11" t="s">
        <v>2020</v>
      </c>
      <c r="G373" s="12" t="s">
        <v>41</v>
      </c>
      <c r="H373" s="13" t="str">
        <f>VLOOKUP(AP373,[1]Listas!A:B,2,0)</f>
        <v xml:space="preserve">FBLA </v>
      </c>
      <c r="I373" s="1" t="s">
        <v>444</v>
      </c>
      <c r="J373" s="12"/>
      <c r="K373" s="12"/>
      <c r="L373" s="1" t="s">
        <v>458</v>
      </c>
      <c r="M373" s="1" t="s">
        <v>2021</v>
      </c>
      <c r="N373" s="14">
        <v>33794</v>
      </c>
      <c r="O373" s="1" t="s">
        <v>855</v>
      </c>
      <c r="P373" s="1" t="s">
        <v>856</v>
      </c>
      <c r="Q373" s="15" t="s">
        <v>807</v>
      </c>
      <c r="R373" s="1" t="s">
        <v>857</v>
      </c>
      <c r="S373" s="1" t="s">
        <v>868</v>
      </c>
      <c r="T373" s="1" t="s">
        <v>869</v>
      </c>
      <c r="U373" s="9" t="s">
        <v>951</v>
      </c>
      <c r="V373" s="1" t="s">
        <v>952</v>
      </c>
      <c r="W373" s="1" t="s">
        <v>871</v>
      </c>
      <c r="X373" s="1" t="s">
        <v>34</v>
      </c>
      <c r="Y373" s="14">
        <v>45701</v>
      </c>
      <c r="Z373" s="9" t="s">
        <v>817</v>
      </c>
      <c r="AB373" s="14">
        <v>45701</v>
      </c>
      <c r="AC373" s="9" t="s">
        <v>817</v>
      </c>
      <c r="AD373" s="9" t="s">
        <v>818</v>
      </c>
      <c r="AE373" s="1" t="s">
        <v>819</v>
      </c>
      <c r="AF373" s="14" t="s">
        <v>820</v>
      </c>
      <c r="AG373" s="9" t="s">
        <v>821</v>
      </c>
      <c r="AH373" s="1" t="s">
        <v>9</v>
      </c>
      <c r="AI373" s="9" t="s">
        <v>10</v>
      </c>
      <c r="AJ373" s="1" t="s">
        <v>11</v>
      </c>
      <c r="AK373" s="1" t="s">
        <v>1810</v>
      </c>
      <c r="AL373" s="1" t="s">
        <v>1811</v>
      </c>
      <c r="AM373" s="9">
        <v>11778</v>
      </c>
      <c r="AN373" s="1" t="s">
        <v>272</v>
      </c>
      <c r="AO373" s="1" t="s">
        <v>436</v>
      </c>
      <c r="AP373" s="1" t="s">
        <v>1737</v>
      </c>
      <c r="AQ373" s="14">
        <v>45701</v>
      </c>
      <c r="AU373" s="14">
        <v>45701</v>
      </c>
      <c r="AV373" s="16">
        <v>0</v>
      </c>
      <c r="AW373" s="16">
        <v>0</v>
      </c>
      <c r="BA373" s="1" t="s">
        <v>911</v>
      </c>
      <c r="BB373" s="9">
        <v>1</v>
      </c>
      <c r="BC373" s="1" t="s">
        <v>862</v>
      </c>
      <c r="BD373" s="9" t="s">
        <v>807</v>
      </c>
      <c r="BE373" s="1" t="s">
        <v>1017</v>
      </c>
      <c r="BI373" s="25" t="s">
        <v>878</v>
      </c>
      <c r="BJ373" s="21" t="str">
        <f t="shared" si="6"/>
        <v>FIXO</v>
      </c>
    </row>
    <row r="374" spans="1:62" x14ac:dyDescent="0.25">
      <c r="A374" s="7">
        <v>6</v>
      </c>
      <c r="B374" s="1" t="s">
        <v>41</v>
      </c>
      <c r="C374" s="8">
        <v>9</v>
      </c>
      <c r="D374" s="9" t="s">
        <v>807</v>
      </c>
      <c r="E374" s="10">
        <v>20442</v>
      </c>
      <c r="F374" s="11" t="s">
        <v>2022</v>
      </c>
      <c r="G374" s="12" t="s">
        <v>41</v>
      </c>
      <c r="H374" s="13" t="str">
        <f>VLOOKUP(AP374,[1]Listas!A:B,2,0)</f>
        <v xml:space="preserve">FBLA </v>
      </c>
      <c r="I374" s="1" t="s">
        <v>444</v>
      </c>
      <c r="J374" s="12"/>
      <c r="K374" s="12"/>
      <c r="L374" s="1" t="s">
        <v>437</v>
      </c>
      <c r="M374" s="1" t="s">
        <v>557</v>
      </c>
      <c r="N374" s="14">
        <v>35524</v>
      </c>
      <c r="O374" s="1" t="s">
        <v>855</v>
      </c>
      <c r="P374" s="1" t="s">
        <v>856</v>
      </c>
      <c r="Q374" s="15" t="s">
        <v>807</v>
      </c>
      <c r="R374" s="1" t="s">
        <v>857</v>
      </c>
      <c r="S374" s="1" t="s">
        <v>868</v>
      </c>
      <c r="T374" s="1" t="s">
        <v>869</v>
      </c>
      <c r="U374" s="9" t="s">
        <v>868</v>
      </c>
      <c r="V374" s="1" t="s">
        <v>913</v>
      </c>
      <c r="W374" s="1" t="s">
        <v>871</v>
      </c>
      <c r="X374" s="1" t="s">
        <v>34</v>
      </c>
      <c r="Y374" s="14">
        <v>45748</v>
      </c>
      <c r="Z374" s="9" t="s">
        <v>817</v>
      </c>
      <c r="AB374" s="14">
        <v>45748</v>
      </c>
      <c r="AC374" s="9" t="s">
        <v>817</v>
      </c>
      <c r="AD374" s="9" t="s">
        <v>818</v>
      </c>
      <c r="AE374" s="1" t="s">
        <v>819</v>
      </c>
      <c r="AF374" s="14" t="s">
        <v>820</v>
      </c>
      <c r="AG374" s="9" t="s">
        <v>821</v>
      </c>
      <c r="AH374" s="1" t="s">
        <v>9</v>
      </c>
      <c r="AI374" s="9" t="s">
        <v>10</v>
      </c>
      <c r="AJ374" s="1" t="s">
        <v>11</v>
      </c>
      <c r="AK374" s="1" t="s">
        <v>1777</v>
      </c>
      <c r="AL374" s="1" t="s">
        <v>1778</v>
      </c>
      <c r="AM374" s="9">
        <v>11780</v>
      </c>
      <c r="AN374" s="1" t="s">
        <v>293</v>
      </c>
      <c r="AO374" s="1" t="s">
        <v>436</v>
      </c>
      <c r="AP374" s="1" t="s">
        <v>1737</v>
      </c>
      <c r="AQ374" s="14">
        <v>45748</v>
      </c>
      <c r="AU374" s="14">
        <v>45748</v>
      </c>
      <c r="AV374" s="16">
        <v>0</v>
      </c>
      <c r="AW374" s="16">
        <v>0</v>
      </c>
      <c r="BA374" s="1" t="s">
        <v>911</v>
      </c>
      <c r="BB374" s="9">
        <v>1</v>
      </c>
      <c r="BC374" s="1" t="s">
        <v>862</v>
      </c>
      <c r="BD374" s="9" t="s">
        <v>807</v>
      </c>
      <c r="BE374" s="1" t="s">
        <v>1738</v>
      </c>
      <c r="BF374" s="1" t="s">
        <v>437</v>
      </c>
      <c r="BG374" s="1" t="s">
        <v>1739</v>
      </c>
      <c r="BH374" s="1" t="s">
        <v>1740</v>
      </c>
      <c r="BI374" s="20" t="s">
        <v>866</v>
      </c>
      <c r="BJ374" s="21" t="str">
        <f t="shared" si="6"/>
        <v>FIXO</v>
      </c>
    </row>
    <row r="375" spans="1:62" x14ac:dyDescent="0.25">
      <c r="A375" s="7">
        <v>6</v>
      </c>
      <c r="B375" s="1" t="s">
        <v>41</v>
      </c>
      <c r="C375" s="8">
        <v>9</v>
      </c>
      <c r="D375" s="9" t="s">
        <v>807</v>
      </c>
      <c r="E375" s="10">
        <v>20478</v>
      </c>
      <c r="F375" s="11" t="s">
        <v>2023</v>
      </c>
      <c r="G375" s="12" t="s">
        <v>41</v>
      </c>
      <c r="H375" s="13" t="str">
        <f>VLOOKUP(AP375,[1]Listas!A:B,2,0)</f>
        <v xml:space="preserve">FBLA </v>
      </c>
      <c r="I375" s="1" t="s">
        <v>444</v>
      </c>
      <c r="J375" s="12"/>
      <c r="K375" s="12"/>
      <c r="L375" s="1" t="s">
        <v>444</v>
      </c>
      <c r="M375" s="1" t="s">
        <v>558</v>
      </c>
      <c r="N375" s="14">
        <v>26922</v>
      </c>
      <c r="O375" s="1" t="s">
        <v>855</v>
      </c>
      <c r="P375" s="1" t="s">
        <v>856</v>
      </c>
      <c r="Q375" s="15" t="s">
        <v>1031</v>
      </c>
      <c r="R375" s="1" t="s">
        <v>1032</v>
      </c>
      <c r="S375" s="1" t="s">
        <v>868</v>
      </c>
      <c r="T375" s="1" t="s">
        <v>869</v>
      </c>
      <c r="U375" s="9" t="s">
        <v>868</v>
      </c>
      <c r="V375" s="1" t="s">
        <v>913</v>
      </c>
      <c r="W375" s="1" t="s">
        <v>1101</v>
      </c>
      <c r="X375" s="1" t="s">
        <v>153</v>
      </c>
      <c r="Y375" s="14">
        <v>45750</v>
      </c>
      <c r="Z375" s="9" t="s">
        <v>817</v>
      </c>
      <c r="AB375" s="14">
        <v>45750</v>
      </c>
      <c r="AC375" s="9" t="s">
        <v>817</v>
      </c>
      <c r="AD375" s="9" t="s">
        <v>818</v>
      </c>
      <c r="AE375" s="1" t="s">
        <v>819</v>
      </c>
      <c r="AF375" s="14" t="s">
        <v>820</v>
      </c>
      <c r="AG375" s="9" t="s">
        <v>821</v>
      </c>
      <c r="AH375" s="1" t="s">
        <v>9</v>
      </c>
      <c r="AI375" s="9" t="s">
        <v>10</v>
      </c>
      <c r="AJ375" s="1" t="s">
        <v>11</v>
      </c>
      <c r="AK375" s="1" t="s">
        <v>2024</v>
      </c>
      <c r="AL375" s="1" t="s">
        <v>2025</v>
      </c>
      <c r="AM375" s="9">
        <v>11740</v>
      </c>
      <c r="AN375" s="1" t="s">
        <v>154</v>
      </c>
      <c r="AO375" s="1" t="s">
        <v>556</v>
      </c>
      <c r="AP375" s="1" t="s">
        <v>2019</v>
      </c>
      <c r="AQ375" s="14">
        <v>45750</v>
      </c>
      <c r="AU375" s="14">
        <v>45750</v>
      </c>
      <c r="AV375" s="16">
        <v>30</v>
      </c>
      <c r="AW375" s="16">
        <v>0</v>
      </c>
      <c r="BA375" s="1" t="s">
        <v>911</v>
      </c>
      <c r="BB375" s="9">
        <v>7</v>
      </c>
      <c r="BC375" s="1" t="s">
        <v>826</v>
      </c>
      <c r="BD375" s="9" t="s">
        <v>807</v>
      </c>
      <c r="BE375" s="1" t="s">
        <v>1738</v>
      </c>
      <c r="BF375" s="1" t="s">
        <v>437</v>
      </c>
      <c r="BG375" s="1" t="s">
        <v>1739</v>
      </c>
      <c r="BH375" s="1" t="s">
        <v>1740</v>
      </c>
      <c r="BI375" s="20" t="s">
        <v>983</v>
      </c>
      <c r="BJ375" s="21" t="str">
        <f t="shared" si="6"/>
        <v>FIXO</v>
      </c>
    </row>
    <row r="376" spans="1:62" x14ac:dyDescent="0.25">
      <c r="A376" s="7">
        <v>6</v>
      </c>
      <c r="B376" s="1" t="s">
        <v>41</v>
      </c>
      <c r="C376" s="8">
        <v>9</v>
      </c>
      <c r="D376" s="9" t="s">
        <v>807</v>
      </c>
      <c r="E376" s="10">
        <v>20503</v>
      </c>
      <c r="F376" s="11" t="s">
        <v>2026</v>
      </c>
      <c r="G376" s="12" t="s">
        <v>41</v>
      </c>
      <c r="H376" s="13" t="str">
        <f>VLOOKUP(AP376,[1]Listas!A:B,2,0)</f>
        <v xml:space="preserve">FBLA </v>
      </c>
      <c r="I376" s="1" t="s">
        <v>444</v>
      </c>
      <c r="J376" s="12"/>
      <c r="K376" s="12"/>
      <c r="L376" s="1" t="s">
        <v>444</v>
      </c>
      <c r="M376" s="1" t="s">
        <v>559</v>
      </c>
      <c r="N376" s="14">
        <v>27618</v>
      </c>
      <c r="O376" s="1" t="s">
        <v>855</v>
      </c>
      <c r="P376" s="1" t="s">
        <v>856</v>
      </c>
      <c r="Q376" s="15" t="s">
        <v>807</v>
      </c>
      <c r="R376" s="1" t="s">
        <v>857</v>
      </c>
      <c r="S376" s="1" t="s">
        <v>868</v>
      </c>
      <c r="T376" s="1" t="s">
        <v>869</v>
      </c>
      <c r="U376" s="9" t="s">
        <v>811</v>
      </c>
      <c r="V376" s="1" t="s">
        <v>870</v>
      </c>
      <c r="W376" s="1" t="s">
        <v>1123</v>
      </c>
      <c r="X376" s="1" t="s">
        <v>168</v>
      </c>
      <c r="Y376" s="14">
        <v>45755</v>
      </c>
      <c r="Z376" s="9" t="s">
        <v>817</v>
      </c>
      <c r="AB376" s="14">
        <v>45755</v>
      </c>
      <c r="AC376" s="9" t="s">
        <v>817</v>
      </c>
      <c r="AD376" s="9" t="s">
        <v>818</v>
      </c>
      <c r="AE376" s="1" t="s">
        <v>819</v>
      </c>
      <c r="AF376" s="14" t="s">
        <v>820</v>
      </c>
      <c r="AG376" s="9" t="s">
        <v>821</v>
      </c>
      <c r="AH376" s="1" t="s">
        <v>9</v>
      </c>
      <c r="AI376" s="9" t="s">
        <v>10</v>
      </c>
      <c r="AJ376" s="1" t="s">
        <v>11</v>
      </c>
      <c r="AK376" s="1" t="s">
        <v>1919</v>
      </c>
      <c r="AL376" s="1" t="s">
        <v>1920</v>
      </c>
      <c r="AM376" s="9">
        <v>11743</v>
      </c>
      <c r="AN376" s="1" t="s">
        <v>114</v>
      </c>
      <c r="AO376" s="1" t="s">
        <v>512</v>
      </c>
      <c r="AP376" s="1" t="s">
        <v>1921</v>
      </c>
      <c r="AQ376" s="14">
        <v>45755</v>
      </c>
      <c r="AU376" s="14">
        <v>45779</v>
      </c>
      <c r="AV376" s="16">
        <v>0</v>
      </c>
      <c r="AW376" s="16">
        <v>0</v>
      </c>
      <c r="BA376" s="1" t="s">
        <v>911</v>
      </c>
      <c r="BB376" s="9">
        <v>7</v>
      </c>
      <c r="BC376" s="1" t="s">
        <v>826</v>
      </c>
      <c r="BD376" s="9" t="s">
        <v>807</v>
      </c>
      <c r="BE376" s="1" t="s">
        <v>1738</v>
      </c>
      <c r="BF376" s="1" t="s">
        <v>437</v>
      </c>
      <c r="BG376" s="1" t="s">
        <v>1739</v>
      </c>
      <c r="BH376" s="1" t="s">
        <v>1740</v>
      </c>
      <c r="BI376" s="20" t="s">
        <v>983</v>
      </c>
      <c r="BJ376" s="21" t="str">
        <f t="shared" si="6"/>
        <v>FIXO</v>
      </c>
    </row>
    <row r="377" spans="1:62" x14ac:dyDescent="0.25">
      <c r="A377" s="7">
        <v>6</v>
      </c>
      <c r="B377" s="1" t="s">
        <v>41</v>
      </c>
      <c r="C377" s="8">
        <v>9</v>
      </c>
      <c r="D377" s="9" t="s">
        <v>807</v>
      </c>
      <c r="E377" s="10">
        <v>20504</v>
      </c>
      <c r="F377" s="11" t="s">
        <v>2027</v>
      </c>
      <c r="G377" s="12" t="s">
        <v>41</v>
      </c>
      <c r="H377" s="13" t="str">
        <f>VLOOKUP(AP377,[1]Listas!A:B,2,0)</f>
        <v xml:space="preserve">FBLA </v>
      </c>
      <c r="I377" s="1" t="s">
        <v>444</v>
      </c>
      <c r="J377" s="12"/>
      <c r="K377" s="12"/>
      <c r="L377" s="1" t="s">
        <v>444</v>
      </c>
      <c r="M377" s="1" t="s">
        <v>560</v>
      </c>
      <c r="N377" s="14">
        <v>27006</v>
      </c>
      <c r="O377" s="1" t="s">
        <v>855</v>
      </c>
      <c r="P377" s="1" t="s">
        <v>856</v>
      </c>
      <c r="Q377" s="15" t="s">
        <v>807</v>
      </c>
      <c r="R377" s="1" t="s">
        <v>857</v>
      </c>
      <c r="S377" s="1" t="s">
        <v>868</v>
      </c>
      <c r="T377" s="1" t="s">
        <v>869</v>
      </c>
      <c r="U377" s="9" t="s">
        <v>880</v>
      </c>
      <c r="V377" s="1" t="s">
        <v>881</v>
      </c>
      <c r="W377" s="1" t="s">
        <v>1123</v>
      </c>
      <c r="X377" s="1" t="s">
        <v>168</v>
      </c>
      <c r="Y377" s="14">
        <v>45755</v>
      </c>
      <c r="Z377" s="9" t="s">
        <v>817</v>
      </c>
      <c r="AB377" s="14">
        <v>45755</v>
      </c>
      <c r="AC377" s="9" t="s">
        <v>817</v>
      </c>
      <c r="AD377" s="9" t="s">
        <v>818</v>
      </c>
      <c r="AE377" s="1" t="s">
        <v>819</v>
      </c>
      <c r="AF377" s="14" t="s">
        <v>820</v>
      </c>
      <c r="AG377" s="9" t="s">
        <v>821</v>
      </c>
      <c r="AH377" s="1" t="s">
        <v>9</v>
      </c>
      <c r="AI377" s="9" t="s">
        <v>10</v>
      </c>
      <c r="AJ377" s="1" t="s">
        <v>11</v>
      </c>
      <c r="AK377" s="1" t="s">
        <v>1919</v>
      </c>
      <c r="AL377" s="1" t="s">
        <v>1920</v>
      </c>
      <c r="AM377" s="9">
        <v>11743</v>
      </c>
      <c r="AN377" s="1" t="s">
        <v>114</v>
      </c>
      <c r="AO377" s="1" t="s">
        <v>512</v>
      </c>
      <c r="AP377" s="1" t="s">
        <v>1921</v>
      </c>
      <c r="AQ377" s="14">
        <v>45755</v>
      </c>
      <c r="AU377" s="14">
        <v>45755</v>
      </c>
      <c r="AV377" s="16">
        <v>0</v>
      </c>
      <c r="AW377" s="16">
        <v>0</v>
      </c>
      <c r="BA377" s="1" t="s">
        <v>911</v>
      </c>
      <c r="BB377" s="9">
        <v>7</v>
      </c>
      <c r="BC377" s="1" t="s">
        <v>826</v>
      </c>
      <c r="BD377" s="9" t="s">
        <v>807</v>
      </c>
      <c r="BE377" s="1" t="s">
        <v>1738</v>
      </c>
      <c r="BF377" s="1" t="s">
        <v>437</v>
      </c>
      <c r="BG377" s="1" t="s">
        <v>1739</v>
      </c>
      <c r="BH377" s="1" t="s">
        <v>1740</v>
      </c>
      <c r="BI377" s="20" t="s">
        <v>983</v>
      </c>
      <c r="BJ377" s="21" t="str">
        <f t="shared" si="6"/>
        <v>FIXO</v>
      </c>
    </row>
    <row r="378" spans="1:62" x14ac:dyDescent="0.25">
      <c r="A378" s="7">
        <v>6</v>
      </c>
      <c r="B378" s="1" t="s">
        <v>41</v>
      </c>
      <c r="C378" s="8">
        <v>9</v>
      </c>
      <c r="D378" s="9" t="s">
        <v>807</v>
      </c>
      <c r="E378" s="10">
        <v>20505</v>
      </c>
      <c r="F378" s="11" t="s">
        <v>2028</v>
      </c>
      <c r="G378" s="12" t="s">
        <v>71</v>
      </c>
      <c r="H378" s="13" t="str">
        <f>VLOOKUP(AP378,[1]Listas!A:B,2,0)</f>
        <v xml:space="preserve">FBLA </v>
      </c>
      <c r="I378" s="1" t="s">
        <v>384</v>
      </c>
      <c r="J378" s="12"/>
      <c r="K378" s="12"/>
      <c r="L378" s="12" t="s">
        <v>612</v>
      </c>
      <c r="M378" s="1" t="s">
        <v>561</v>
      </c>
      <c r="N378" s="14">
        <v>36117</v>
      </c>
      <c r="O378" s="1" t="s">
        <v>855</v>
      </c>
      <c r="P378" s="1" t="s">
        <v>856</v>
      </c>
      <c r="Q378" s="15" t="s">
        <v>807</v>
      </c>
      <c r="R378" s="1" t="s">
        <v>857</v>
      </c>
      <c r="S378" s="1" t="s">
        <v>811</v>
      </c>
      <c r="T378" s="1" t="s">
        <v>906</v>
      </c>
      <c r="U378" s="9" t="s">
        <v>880</v>
      </c>
      <c r="V378" s="1" t="s">
        <v>881</v>
      </c>
      <c r="W378" s="1" t="s">
        <v>2029</v>
      </c>
      <c r="X378" s="1" t="s">
        <v>562</v>
      </c>
      <c r="Y378" s="14">
        <v>45755</v>
      </c>
      <c r="Z378" s="9" t="s">
        <v>817</v>
      </c>
      <c r="AB378" s="14">
        <v>45755</v>
      </c>
      <c r="AC378" s="9" t="s">
        <v>817</v>
      </c>
      <c r="AD378" s="9" t="s">
        <v>818</v>
      </c>
      <c r="AE378" s="1" t="s">
        <v>819</v>
      </c>
      <c r="AF378" s="14" t="s">
        <v>820</v>
      </c>
      <c r="AG378" s="9" t="s">
        <v>821</v>
      </c>
      <c r="AH378" s="1" t="s">
        <v>9</v>
      </c>
      <c r="AI378" s="9" t="s">
        <v>10</v>
      </c>
      <c r="AJ378" s="1" t="s">
        <v>11</v>
      </c>
      <c r="AK378" s="1" t="s">
        <v>2030</v>
      </c>
      <c r="AL378" s="1" t="s">
        <v>2031</v>
      </c>
      <c r="AM378" s="9">
        <v>11748</v>
      </c>
      <c r="AN378" s="1" t="s">
        <v>389</v>
      </c>
      <c r="AO378" s="1" t="s">
        <v>500</v>
      </c>
      <c r="AP378" s="1" t="s">
        <v>1896</v>
      </c>
      <c r="AQ378" s="14">
        <v>45755</v>
      </c>
      <c r="AU378" s="14">
        <v>45755</v>
      </c>
      <c r="AV378" s="16">
        <v>0</v>
      </c>
      <c r="AW378" s="16">
        <v>0</v>
      </c>
      <c r="BA378" s="1" t="s">
        <v>911</v>
      </c>
      <c r="BB378" s="9">
        <v>21</v>
      </c>
      <c r="BC378" s="1" t="s">
        <v>1731</v>
      </c>
      <c r="BD378" s="9" t="s">
        <v>807</v>
      </c>
      <c r="BE378" s="1" t="s">
        <v>1630</v>
      </c>
      <c r="BF378" s="1" t="s">
        <v>384</v>
      </c>
      <c r="BG378" s="1" t="s">
        <v>1631</v>
      </c>
      <c r="BH378" s="1" t="s">
        <v>1632</v>
      </c>
      <c r="BI378" s="20" t="s">
        <v>2032</v>
      </c>
      <c r="BJ378" s="21" t="str">
        <f t="shared" si="6"/>
        <v>FIXO</v>
      </c>
    </row>
    <row r="379" spans="1:62" x14ac:dyDescent="0.25">
      <c r="A379" s="7">
        <v>6</v>
      </c>
      <c r="B379" s="1" t="s">
        <v>41</v>
      </c>
      <c r="C379" s="8">
        <v>9</v>
      </c>
      <c r="D379" s="9" t="s">
        <v>807</v>
      </c>
      <c r="E379" s="10">
        <v>20506</v>
      </c>
      <c r="F379" s="11" t="s">
        <v>2033</v>
      </c>
      <c r="G379" s="12" t="s">
        <v>71</v>
      </c>
      <c r="H379" s="13" t="str">
        <f>VLOOKUP(AP379,[1]Listas!A:B,2,0)</f>
        <v xml:space="preserve">FBLA </v>
      </c>
      <c r="I379" s="1" t="s">
        <v>384</v>
      </c>
      <c r="J379" s="12"/>
      <c r="K379" s="12"/>
      <c r="L379" s="12" t="s">
        <v>612</v>
      </c>
      <c r="M379" s="1" t="s">
        <v>563</v>
      </c>
      <c r="N379" s="14">
        <v>37294</v>
      </c>
      <c r="O379" s="1" t="s">
        <v>855</v>
      </c>
      <c r="P379" s="1" t="s">
        <v>856</v>
      </c>
      <c r="Q379" s="15" t="s">
        <v>807</v>
      </c>
      <c r="R379" s="1" t="s">
        <v>857</v>
      </c>
      <c r="S379" s="1" t="s">
        <v>868</v>
      </c>
      <c r="T379" s="1" t="s">
        <v>869</v>
      </c>
      <c r="U379" s="9" t="s">
        <v>1031</v>
      </c>
      <c r="V379" s="1" t="s">
        <v>1100</v>
      </c>
      <c r="W379" s="1" t="s">
        <v>1638</v>
      </c>
      <c r="X379" s="1" t="s">
        <v>388</v>
      </c>
      <c r="Y379" s="14">
        <v>45763</v>
      </c>
      <c r="Z379" s="9" t="s">
        <v>817</v>
      </c>
      <c r="AB379" s="14">
        <v>45763</v>
      </c>
      <c r="AC379" s="9" t="s">
        <v>817</v>
      </c>
      <c r="AD379" s="9" t="s">
        <v>818</v>
      </c>
      <c r="AE379" s="1" t="s">
        <v>819</v>
      </c>
      <c r="AF379" s="14" t="s">
        <v>820</v>
      </c>
      <c r="AG379" s="9" t="s">
        <v>821</v>
      </c>
      <c r="AH379" s="1" t="s">
        <v>9</v>
      </c>
      <c r="AI379" s="9" t="s">
        <v>10</v>
      </c>
      <c r="AJ379" s="1" t="s">
        <v>11</v>
      </c>
      <c r="AK379" s="1" t="s">
        <v>2011</v>
      </c>
      <c r="AL379" s="1" t="s">
        <v>2012</v>
      </c>
      <c r="AM379" s="9">
        <v>11741</v>
      </c>
      <c r="AN379" s="1" t="s">
        <v>516</v>
      </c>
      <c r="AO379" s="1" t="s">
        <v>517</v>
      </c>
      <c r="AP379" s="1" t="s">
        <v>1929</v>
      </c>
      <c r="AQ379" s="14">
        <v>45854</v>
      </c>
      <c r="AU379" s="14">
        <v>45763</v>
      </c>
      <c r="AV379" s="16">
        <v>0</v>
      </c>
      <c r="AW379" s="16">
        <v>0</v>
      </c>
      <c r="BA379" s="1" t="s">
        <v>911</v>
      </c>
      <c r="BB379" s="9">
        <v>20</v>
      </c>
      <c r="BC379" s="1" t="s">
        <v>2034</v>
      </c>
      <c r="BD379" s="9" t="s">
        <v>807</v>
      </c>
      <c r="BE379" s="1" t="s">
        <v>1630</v>
      </c>
      <c r="BF379" s="1" t="s">
        <v>384</v>
      </c>
      <c r="BG379" s="1" t="s">
        <v>1631</v>
      </c>
      <c r="BH379" s="1" t="s">
        <v>1632</v>
      </c>
      <c r="BI379" s="20" t="s">
        <v>2013</v>
      </c>
      <c r="BJ379" s="21" t="str">
        <f t="shared" si="6"/>
        <v>FIXO</v>
      </c>
    </row>
    <row r="380" spans="1:62" x14ac:dyDescent="0.25">
      <c r="A380" s="7">
        <v>6</v>
      </c>
      <c r="B380" s="1" t="s">
        <v>41</v>
      </c>
      <c r="C380" s="8">
        <v>6</v>
      </c>
      <c r="D380" s="9" t="s">
        <v>807</v>
      </c>
      <c r="E380" s="10">
        <v>20561</v>
      </c>
      <c r="F380" s="11" t="s">
        <v>2035</v>
      </c>
      <c r="G380" s="12" t="s">
        <v>271</v>
      </c>
      <c r="H380" s="13" t="str">
        <f>VLOOKUP(AP380,[1]Listas!A:B,2,0)</f>
        <v xml:space="preserve">FSTV </v>
      </c>
      <c r="I380" s="1" t="s">
        <v>440</v>
      </c>
      <c r="J380" s="12"/>
      <c r="K380" s="12"/>
      <c r="L380" s="12" t="s">
        <v>1744</v>
      </c>
      <c r="M380" s="1" t="s">
        <v>481</v>
      </c>
      <c r="N380" s="14">
        <v>36979</v>
      </c>
      <c r="O380" s="1" t="s">
        <v>855</v>
      </c>
      <c r="P380" s="1" t="s">
        <v>856</v>
      </c>
      <c r="Q380" s="15" t="s">
        <v>807</v>
      </c>
      <c r="R380" s="1" t="s">
        <v>857</v>
      </c>
      <c r="S380" s="1" t="s">
        <v>807</v>
      </c>
      <c r="T380" s="1" t="s">
        <v>813</v>
      </c>
      <c r="U380" s="9" t="s">
        <v>832</v>
      </c>
      <c r="V380" s="1" t="s">
        <v>833</v>
      </c>
      <c r="W380" s="1" t="s">
        <v>1196</v>
      </c>
      <c r="X380" s="1" t="s">
        <v>211</v>
      </c>
      <c r="Y380" s="14">
        <v>45761</v>
      </c>
      <c r="Z380" s="9" t="s">
        <v>817</v>
      </c>
      <c r="AB380" s="14">
        <v>45761</v>
      </c>
      <c r="AC380" s="9" t="s">
        <v>817</v>
      </c>
      <c r="AD380" s="9" t="s">
        <v>818</v>
      </c>
      <c r="AE380" s="1" t="s">
        <v>819</v>
      </c>
      <c r="AF380" s="14" t="s">
        <v>820</v>
      </c>
      <c r="AG380" s="9" t="s">
        <v>835</v>
      </c>
      <c r="AH380" s="1" t="s">
        <v>17</v>
      </c>
      <c r="AI380" s="9" t="s">
        <v>10</v>
      </c>
      <c r="AJ380" s="1" t="s">
        <v>11</v>
      </c>
      <c r="AK380" s="1" t="s">
        <v>1849</v>
      </c>
      <c r="AL380" s="1" t="s">
        <v>1850</v>
      </c>
      <c r="AM380" s="9">
        <v>11470</v>
      </c>
      <c r="AN380" s="1" t="s">
        <v>564</v>
      </c>
      <c r="AO380" s="1" t="s">
        <v>565</v>
      </c>
      <c r="AP380" s="1" t="s">
        <v>2036</v>
      </c>
      <c r="AQ380" s="14">
        <v>45818</v>
      </c>
      <c r="AU380" s="14">
        <v>45761</v>
      </c>
      <c r="AV380" s="16">
        <v>0</v>
      </c>
      <c r="AW380" s="16">
        <v>0</v>
      </c>
      <c r="BA380" s="1" t="s">
        <v>911</v>
      </c>
      <c r="BB380" s="9">
        <v>7</v>
      </c>
      <c r="BC380" s="1" t="s">
        <v>826</v>
      </c>
      <c r="BD380" s="9" t="s">
        <v>807</v>
      </c>
      <c r="BE380" s="1" t="s">
        <v>1869</v>
      </c>
      <c r="BF380" s="1" t="s">
        <v>440</v>
      </c>
      <c r="BG380" s="1" t="s">
        <v>1752</v>
      </c>
      <c r="BH380" s="1" t="s">
        <v>1753</v>
      </c>
      <c r="BI380" s="20" t="s">
        <v>1044</v>
      </c>
      <c r="BJ380" s="21" t="str">
        <f t="shared" si="6"/>
        <v>FIXO</v>
      </c>
    </row>
    <row r="381" spans="1:62" x14ac:dyDescent="0.25">
      <c r="A381" s="7">
        <v>6</v>
      </c>
      <c r="B381" s="1" t="s">
        <v>41</v>
      </c>
      <c r="C381" s="8">
        <v>9</v>
      </c>
      <c r="D381" s="9" t="s">
        <v>807</v>
      </c>
      <c r="E381" s="10">
        <v>20591</v>
      </c>
      <c r="F381" s="11" t="s">
        <v>2037</v>
      </c>
      <c r="G381" s="12" t="s">
        <v>41</v>
      </c>
      <c r="H381" s="13" t="str">
        <f>VLOOKUP(AP381,[1]Listas!A:B,2,0)</f>
        <v xml:space="preserve">FBLA </v>
      </c>
      <c r="I381" s="1" t="s">
        <v>444</v>
      </c>
      <c r="J381" s="12"/>
      <c r="K381" s="12"/>
      <c r="L381" s="1" t="s">
        <v>444</v>
      </c>
      <c r="M381" s="1" t="s">
        <v>566</v>
      </c>
      <c r="N381" s="14">
        <v>28840</v>
      </c>
      <c r="O381" s="1" t="s">
        <v>809</v>
      </c>
      <c r="P381" s="1" t="s">
        <v>810</v>
      </c>
      <c r="Q381" s="15" t="s">
        <v>807</v>
      </c>
      <c r="R381" s="1" t="s">
        <v>857</v>
      </c>
      <c r="S381" s="1" t="s">
        <v>868</v>
      </c>
      <c r="T381" s="1" t="s">
        <v>869</v>
      </c>
      <c r="U381" s="9" t="s">
        <v>811</v>
      </c>
      <c r="V381" s="1" t="s">
        <v>870</v>
      </c>
      <c r="W381" s="1" t="s">
        <v>1051</v>
      </c>
      <c r="X381" s="1" t="s">
        <v>126</v>
      </c>
      <c r="Y381" s="14">
        <v>45763</v>
      </c>
      <c r="Z381" s="9" t="s">
        <v>817</v>
      </c>
      <c r="AB381" s="14">
        <v>45763</v>
      </c>
      <c r="AC381" s="9" t="s">
        <v>817</v>
      </c>
      <c r="AD381" s="9" t="s">
        <v>818</v>
      </c>
      <c r="AE381" s="1" t="s">
        <v>819</v>
      </c>
      <c r="AF381" s="14" t="s">
        <v>820</v>
      </c>
      <c r="AG381" s="9" t="s">
        <v>821</v>
      </c>
      <c r="AH381" s="1" t="s">
        <v>9</v>
      </c>
      <c r="AI381" s="9" t="s">
        <v>10</v>
      </c>
      <c r="AJ381" s="1" t="s">
        <v>11</v>
      </c>
      <c r="AK381" s="1" t="s">
        <v>1913</v>
      </c>
      <c r="AL381" s="1" t="s">
        <v>1914</v>
      </c>
      <c r="AM381" s="9">
        <v>11755</v>
      </c>
      <c r="AN381" s="1" t="s">
        <v>127</v>
      </c>
      <c r="AO381" s="1" t="s">
        <v>510</v>
      </c>
      <c r="AP381" s="1" t="s">
        <v>1915</v>
      </c>
      <c r="AQ381" s="14">
        <v>45763</v>
      </c>
      <c r="AU381" s="14">
        <v>45763</v>
      </c>
      <c r="AV381" s="16">
        <v>0</v>
      </c>
      <c r="AW381" s="16">
        <v>0</v>
      </c>
      <c r="BA381" s="1" t="s">
        <v>911</v>
      </c>
      <c r="BB381" s="9">
        <v>32</v>
      </c>
      <c r="BC381" s="1" t="s">
        <v>1547</v>
      </c>
      <c r="BD381" s="9" t="s">
        <v>807</v>
      </c>
      <c r="BE381" s="1" t="s">
        <v>850</v>
      </c>
      <c r="BF381" s="23" t="s">
        <v>27</v>
      </c>
      <c r="BG381" s="1" t="s">
        <v>851</v>
      </c>
      <c r="BH381" s="1" t="s">
        <v>852</v>
      </c>
      <c r="BI381" s="20" t="s">
        <v>1055</v>
      </c>
      <c r="BJ381" s="21" t="str">
        <f t="shared" ref="BJ381:BJ412" si="7">IF(NOT(ISERROR(SEARCH("SAFRISTA",X381))),"SAFRISTA","FIXO")</f>
        <v>FIXO</v>
      </c>
    </row>
    <row r="382" spans="1:62" x14ac:dyDescent="0.25">
      <c r="A382" s="7">
        <v>6</v>
      </c>
      <c r="B382" s="1" t="s">
        <v>41</v>
      </c>
      <c r="C382" s="8">
        <v>9</v>
      </c>
      <c r="D382" s="9" t="s">
        <v>807</v>
      </c>
      <c r="E382" s="10">
        <v>20641</v>
      </c>
      <c r="F382" s="11" t="s">
        <v>2038</v>
      </c>
      <c r="G382" s="12" t="s">
        <v>71</v>
      </c>
      <c r="H382" s="13" t="str">
        <f>VLOOKUP(AP382,[1]Listas!A:B,2,0)</f>
        <v xml:space="preserve">FBLA </v>
      </c>
      <c r="I382" s="1" t="s">
        <v>384</v>
      </c>
      <c r="J382" s="12"/>
      <c r="K382" s="12"/>
      <c r="L382" s="12" t="s">
        <v>612</v>
      </c>
      <c r="M382" s="1" t="s">
        <v>2039</v>
      </c>
      <c r="N382" s="14">
        <v>36678</v>
      </c>
      <c r="O382" s="1" t="s">
        <v>855</v>
      </c>
      <c r="P382" s="1" t="s">
        <v>856</v>
      </c>
      <c r="Q382" s="15" t="s">
        <v>807</v>
      </c>
      <c r="R382" s="1" t="s">
        <v>857</v>
      </c>
      <c r="S382" s="1" t="s">
        <v>868</v>
      </c>
      <c r="T382" s="1" t="s">
        <v>869</v>
      </c>
      <c r="U382" s="9" t="s">
        <v>880</v>
      </c>
      <c r="V382" s="1" t="s">
        <v>881</v>
      </c>
      <c r="W382" s="1" t="s">
        <v>1638</v>
      </c>
      <c r="X382" s="1" t="s">
        <v>388</v>
      </c>
      <c r="Y382" s="14">
        <v>45783</v>
      </c>
      <c r="Z382" s="9" t="s">
        <v>817</v>
      </c>
      <c r="AB382" s="14">
        <v>45783</v>
      </c>
      <c r="AC382" s="9" t="s">
        <v>817</v>
      </c>
      <c r="AD382" s="9" t="s">
        <v>818</v>
      </c>
      <c r="AE382" s="1" t="s">
        <v>819</v>
      </c>
      <c r="AF382" s="14" t="s">
        <v>820</v>
      </c>
      <c r="AG382" s="9" t="s">
        <v>821</v>
      </c>
      <c r="AH382" s="1" t="s">
        <v>9</v>
      </c>
      <c r="AI382" s="9" t="s">
        <v>10</v>
      </c>
      <c r="AJ382" s="1" t="s">
        <v>11</v>
      </c>
      <c r="AK382" s="1" t="s">
        <v>2011</v>
      </c>
      <c r="AL382" s="1" t="s">
        <v>2012</v>
      </c>
      <c r="AM382" s="9">
        <v>11741</v>
      </c>
      <c r="AN382" s="1" t="s">
        <v>516</v>
      </c>
      <c r="AO382" s="1" t="s">
        <v>517</v>
      </c>
      <c r="AP382" s="1" t="s">
        <v>1929</v>
      </c>
      <c r="AQ382" s="14">
        <v>45783</v>
      </c>
      <c r="AU382" s="14">
        <v>45783</v>
      </c>
      <c r="AV382" s="16">
        <v>0</v>
      </c>
      <c r="AW382" s="16">
        <v>0</v>
      </c>
      <c r="BA382" s="1" t="s">
        <v>911</v>
      </c>
      <c r="BB382" s="9">
        <v>20</v>
      </c>
      <c r="BC382" s="1" t="s">
        <v>2034</v>
      </c>
      <c r="BD382" s="9" t="s">
        <v>807</v>
      </c>
      <c r="BE382" s="1" t="s">
        <v>1630</v>
      </c>
      <c r="BF382" s="1" t="s">
        <v>384</v>
      </c>
      <c r="BG382" s="1" t="s">
        <v>1631</v>
      </c>
      <c r="BH382" s="1" t="s">
        <v>1632</v>
      </c>
      <c r="BI382" s="20" t="s">
        <v>2013</v>
      </c>
      <c r="BJ382" s="21" t="str">
        <f t="shared" si="7"/>
        <v>FIXO</v>
      </c>
    </row>
    <row r="383" spans="1:62" x14ac:dyDescent="0.25">
      <c r="A383" s="7">
        <v>6</v>
      </c>
      <c r="B383" s="1" t="s">
        <v>41</v>
      </c>
      <c r="C383" s="8">
        <v>9</v>
      </c>
      <c r="D383" s="9" t="s">
        <v>807</v>
      </c>
      <c r="E383" s="10">
        <v>20643</v>
      </c>
      <c r="F383" s="11" t="s">
        <v>2040</v>
      </c>
      <c r="G383" s="12" t="s">
        <v>71</v>
      </c>
      <c r="H383" s="13" t="str">
        <f>VLOOKUP(AP383,[1]Listas!A:B,2,0)</f>
        <v xml:space="preserve">FBLA </v>
      </c>
      <c r="I383" s="1" t="s">
        <v>384</v>
      </c>
      <c r="J383" s="12"/>
      <c r="K383" s="12"/>
      <c r="L383" s="12" t="s">
        <v>612</v>
      </c>
      <c r="M383" s="1" t="s">
        <v>567</v>
      </c>
      <c r="N383" s="14">
        <v>36404</v>
      </c>
      <c r="O383" s="1" t="s">
        <v>855</v>
      </c>
      <c r="P383" s="1" t="s">
        <v>856</v>
      </c>
      <c r="Q383" s="15" t="s">
        <v>807</v>
      </c>
      <c r="R383" s="1" t="s">
        <v>857</v>
      </c>
      <c r="S383" s="1" t="s">
        <v>868</v>
      </c>
      <c r="T383" s="1" t="s">
        <v>869</v>
      </c>
      <c r="U383" s="9" t="s">
        <v>811</v>
      </c>
      <c r="V383" s="1" t="s">
        <v>870</v>
      </c>
      <c r="W383" s="1" t="s">
        <v>1638</v>
      </c>
      <c r="X383" s="1" t="s">
        <v>388</v>
      </c>
      <c r="Y383" s="14">
        <v>45785</v>
      </c>
      <c r="Z383" s="9" t="s">
        <v>817</v>
      </c>
      <c r="AB383" s="14">
        <v>45785</v>
      </c>
      <c r="AC383" s="9" t="s">
        <v>817</v>
      </c>
      <c r="AD383" s="9" t="s">
        <v>818</v>
      </c>
      <c r="AE383" s="1" t="s">
        <v>819</v>
      </c>
      <c r="AF383" s="14" t="s">
        <v>820</v>
      </c>
      <c r="AG383" s="9" t="s">
        <v>999</v>
      </c>
      <c r="AH383" s="1" t="s">
        <v>105</v>
      </c>
      <c r="AI383" s="9" t="s">
        <v>10</v>
      </c>
      <c r="AJ383" s="1" t="s">
        <v>11</v>
      </c>
      <c r="AK383" s="1" t="s">
        <v>2011</v>
      </c>
      <c r="AL383" s="1" t="s">
        <v>2012</v>
      </c>
      <c r="AM383" s="9">
        <v>11741</v>
      </c>
      <c r="AN383" s="1" t="s">
        <v>516</v>
      </c>
      <c r="AO383" s="1" t="s">
        <v>517</v>
      </c>
      <c r="AP383" s="1" t="s">
        <v>1929</v>
      </c>
      <c r="AQ383" s="14">
        <v>45839</v>
      </c>
      <c r="AU383" s="14">
        <v>45785</v>
      </c>
      <c r="AV383" s="16">
        <v>0</v>
      </c>
      <c r="AW383" s="16">
        <v>0</v>
      </c>
      <c r="BA383" s="1" t="s">
        <v>911</v>
      </c>
      <c r="BB383" s="9">
        <v>20</v>
      </c>
      <c r="BC383" s="1" t="s">
        <v>2034</v>
      </c>
      <c r="BD383" s="9" t="s">
        <v>807</v>
      </c>
      <c r="BE383" s="1" t="s">
        <v>1630</v>
      </c>
      <c r="BF383" s="1" t="s">
        <v>384</v>
      </c>
      <c r="BG383" s="1" t="s">
        <v>1631</v>
      </c>
      <c r="BH383" s="1" t="s">
        <v>1632</v>
      </c>
      <c r="BI383" s="20" t="s">
        <v>2041</v>
      </c>
      <c r="BJ383" s="21" t="str">
        <f t="shared" si="7"/>
        <v>FIXO</v>
      </c>
    </row>
    <row r="384" spans="1:62" x14ac:dyDescent="0.25">
      <c r="A384" s="7">
        <v>6</v>
      </c>
      <c r="B384" s="1" t="s">
        <v>41</v>
      </c>
      <c r="C384" s="8">
        <v>9</v>
      </c>
      <c r="D384" s="9" t="s">
        <v>807</v>
      </c>
      <c r="E384" s="10">
        <v>20644</v>
      </c>
      <c r="F384" s="11" t="s">
        <v>2042</v>
      </c>
      <c r="G384" s="12" t="s">
        <v>71</v>
      </c>
      <c r="H384" s="13" t="str">
        <f>VLOOKUP(AP384,[1]Listas!A:B,2,0)</f>
        <v xml:space="preserve">FBLA </v>
      </c>
      <c r="I384" s="1" t="s">
        <v>384</v>
      </c>
      <c r="J384" s="12"/>
      <c r="K384" s="12"/>
      <c r="L384" s="12" t="s">
        <v>612</v>
      </c>
      <c r="M384" s="1" t="s">
        <v>568</v>
      </c>
      <c r="N384" s="14">
        <v>27406</v>
      </c>
      <c r="O384" s="1" t="s">
        <v>855</v>
      </c>
      <c r="P384" s="1" t="s">
        <v>856</v>
      </c>
      <c r="Q384" s="15" t="s">
        <v>807</v>
      </c>
      <c r="R384" s="1" t="s">
        <v>857</v>
      </c>
      <c r="S384" s="1" t="s">
        <v>868</v>
      </c>
      <c r="T384" s="1" t="s">
        <v>869</v>
      </c>
      <c r="U384" s="9" t="s">
        <v>868</v>
      </c>
      <c r="V384" s="1" t="s">
        <v>913</v>
      </c>
      <c r="W384" s="1" t="s">
        <v>1658</v>
      </c>
      <c r="X384" s="1" t="s">
        <v>400</v>
      </c>
      <c r="Y384" s="14">
        <v>45799</v>
      </c>
      <c r="Z384" s="9" t="s">
        <v>817</v>
      </c>
      <c r="AB384" s="14">
        <v>45783</v>
      </c>
      <c r="AC384" s="9" t="s">
        <v>817</v>
      </c>
      <c r="AD384" s="9" t="s">
        <v>818</v>
      </c>
      <c r="AE384" s="1" t="s">
        <v>819</v>
      </c>
      <c r="AF384" s="14" t="s">
        <v>820</v>
      </c>
      <c r="AG384" s="9" t="s">
        <v>821</v>
      </c>
      <c r="AH384" s="1" t="s">
        <v>9</v>
      </c>
      <c r="AI384" s="9" t="s">
        <v>10</v>
      </c>
      <c r="AJ384" s="1" t="s">
        <v>11</v>
      </c>
      <c r="AK384" s="1" t="s">
        <v>1927</v>
      </c>
      <c r="AL384" s="1" t="s">
        <v>1928</v>
      </c>
      <c r="AM384" s="9">
        <v>11741</v>
      </c>
      <c r="AN384" s="1" t="s">
        <v>516</v>
      </c>
      <c r="AO384" s="1" t="s">
        <v>517</v>
      </c>
      <c r="AP384" s="1" t="s">
        <v>1929</v>
      </c>
      <c r="AQ384" s="14">
        <v>45783</v>
      </c>
      <c r="AU384" s="14">
        <v>45799</v>
      </c>
      <c r="AV384" s="16">
        <v>0</v>
      </c>
      <c r="AW384" s="16">
        <v>0</v>
      </c>
      <c r="BA384" s="1" t="s">
        <v>911</v>
      </c>
      <c r="BB384" s="9">
        <v>5</v>
      </c>
      <c r="BC384" s="1" t="s">
        <v>1930</v>
      </c>
      <c r="BD384" s="9" t="s">
        <v>807</v>
      </c>
      <c r="BE384" s="1" t="s">
        <v>1630</v>
      </c>
      <c r="BF384" s="1" t="s">
        <v>384</v>
      </c>
      <c r="BG384" s="1" t="s">
        <v>1631</v>
      </c>
      <c r="BH384" s="1" t="s">
        <v>1632</v>
      </c>
      <c r="BI384" s="20" t="s">
        <v>1931</v>
      </c>
      <c r="BJ384" s="21" t="str">
        <f t="shared" si="7"/>
        <v>FIXO</v>
      </c>
    </row>
    <row r="385" spans="1:62" x14ac:dyDescent="0.25">
      <c r="A385" s="7">
        <v>6</v>
      </c>
      <c r="B385" s="1" t="s">
        <v>41</v>
      </c>
      <c r="C385" s="8">
        <v>6</v>
      </c>
      <c r="D385" s="9" t="s">
        <v>807</v>
      </c>
      <c r="E385" s="10">
        <v>20645</v>
      </c>
      <c r="F385" s="11" t="s">
        <v>2043</v>
      </c>
      <c r="G385" s="12" t="s">
        <v>271</v>
      </c>
      <c r="H385" s="13" t="str">
        <f>VLOOKUP(AP385,[1]Listas!A:B,2,0)</f>
        <v xml:space="preserve">FSTV </v>
      </c>
      <c r="I385" s="1" t="s">
        <v>440</v>
      </c>
      <c r="J385" s="12"/>
      <c r="K385" s="12"/>
      <c r="L385" s="1" t="s">
        <v>488</v>
      </c>
      <c r="M385" s="1" t="s">
        <v>569</v>
      </c>
      <c r="N385" s="14">
        <v>31955</v>
      </c>
      <c r="O385" s="1" t="s">
        <v>855</v>
      </c>
      <c r="P385" s="1" t="s">
        <v>856</v>
      </c>
      <c r="Q385" s="15" t="s">
        <v>807</v>
      </c>
      <c r="R385" s="1" t="s">
        <v>857</v>
      </c>
      <c r="S385" s="1" t="s">
        <v>868</v>
      </c>
      <c r="T385" s="1" t="s">
        <v>869</v>
      </c>
      <c r="U385" s="9" t="s">
        <v>814</v>
      </c>
      <c r="V385" s="1" t="s">
        <v>815</v>
      </c>
      <c r="W385" s="1" t="s">
        <v>871</v>
      </c>
      <c r="X385" s="1" t="s">
        <v>34</v>
      </c>
      <c r="Y385" s="14">
        <v>45784</v>
      </c>
      <c r="Z385" s="9" t="s">
        <v>817</v>
      </c>
      <c r="AB385" s="14">
        <v>45784</v>
      </c>
      <c r="AC385" s="9" t="s">
        <v>817</v>
      </c>
      <c r="AD385" s="9" t="s">
        <v>818</v>
      </c>
      <c r="AE385" s="1" t="s">
        <v>819</v>
      </c>
      <c r="AF385" s="14" t="s">
        <v>820</v>
      </c>
      <c r="AG385" s="9" t="s">
        <v>821</v>
      </c>
      <c r="AH385" s="1" t="s">
        <v>9</v>
      </c>
      <c r="AI385" s="9" t="s">
        <v>10</v>
      </c>
      <c r="AJ385" s="1" t="s">
        <v>11</v>
      </c>
      <c r="AK385" s="1" t="s">
        <v>2044</v>
      </c>
      <c r="AL385" s="1" t="s">
        <v>2045</v>
      </c>
      <c r="AM385" s="9">
        <v>11443</v>
      </c>
      <c r="AN385" s="1" t="s">
        <v>114</v>
      </c>
      <c r="AO385" s="1" t="s">
        <v>439</v>
      </c>
      <c r="AP385" s="1" t="s">
        <v>1748</v>
      </c>
      <c r="AQ385" s="14">
        <v>45784</v>
      </c>
      <c r="AU385" s="14">
        <v>45784</v>
      </c>
      <c r="AV385" s="16">
        <v>0</v>
      </c>
      <c r="AW385" s="16">
        <v>0</v>
      </c>
      <c r="BA385" s="1" t="s">
        <v>911</v>
      </c>
      <c r="BB385" s="9">
        <v>7</v>
      </c>
      <c r="BC385" s="1" t="s">
        <v>826</v>
      </c>
      <c r="BD385" s="9" t="s">
        <v>807</v>
      </c>
      <c r="BE385" s="1" t="s">
        <v>1869</v>
      </c>
      <c r="BF385" s="1" t="s">
        <v>440</v>
      </c>
      <c r="BG385" s="1" t="s">
        <v>1752</v>
      </c>
      <c r="BH385" s="1" t="s">
        <v>1753</v>
      </c>
      <c r="BI385" s="25" t="s">
        <v>866</v>
      </c>
      <c r="BJ385" s="21" t="str">
        <f t="shared" si="7"/>
        <v>FIXO</v>
      </c>
    </row>
    <row r="386" spans="1:62" x14ac:dyDescent="0.25">
      <c r="A386" s="7">
        <v>6</v>
      </c>
      <c r="B386" s="1" t="s">
        <v>41</v>
      </c>
      <c r="C386" s="8">
        <v>6</v>
      </c>
      <c r="D386" s="9" t="s">
        <v>807</v>
      </c>
      <c r="E386" s="10">
        <v>20646</v>
      </c>
      <c r="F386" s="11" t="s">
        <v>2046</v>
      </c>
      <c r="G386" s="12" t="s">
        <v>271</v>
      </c>
      <c r="H386" s="13" t="str">
        <f>VLOOKUP(AP386,[1]Listas!A:B,2,0)</f>
        <v xml:space="preserve">FSTV </v>
      </c>
      <c r="I386" s="1" t="s">
        <v>440</v>
      </c>
      <c r="J386" s="12"/>
      <c r="K386" s="12"/>
      <c r="L386" s="1" t="s">
        <v>440</v>
      </c>
      <c r="M386" s="1" t="s">
        <v>570</v>
      </c>
      <c r="N386" s="14">
        <v>31778</v>
      </c>
      <c r="O386" s="1" t="s">
        <v>809</v>
      </c>
      <c r="P386" s="1" t="s">
        <v>810</v>
      </c>
      <c r="Q386" s="15" t="s">
        <v>811</v>
      </c>
      <c r="R386" s="1" t="s">
        <v>812</v>
      </c>
      <c r="S386" s="1" t="s">
        <v>868</v>
      </c>
      <c r="T386" s="1" t="s">
        <v>869</v>
      </c>
      <c r="U386" s="9" t="s">
        <v>814</v>
      </c>
      <c r="V386" s="1" t="s">
        <v>815</v>
      </c>
      <c r="W386" s="1" t="s">
        <v>1518</v>
      </c>
      <c r="X386" s="1" t="s">
        <v>339</v>
      </c>
      <c r="Y386" s="14">
        <v>45790</v>
      </c>
      <c r="Z386" s="9" t="s">
        <v>817</v>
      </c>
      <c r="AB386" s="14">
        <v>45790</v>
      </c>
      <c r="AC386" s="9" t="s">
        <v>817</v>
      </c>
      <c r="AD386" s="9" t="s">
        <v>818</v>
      </c>
      <c r="AE386" s="1" t="s">
        <v>819</v>
      </c>
      <c r="AF386" s="14" t="s">
        <v>820</v>
      </c>
      <c r="AG386" s="9" t="s">
        <v>821</v>
      </c>
      <c r="AH386" s="1" t="s">
        <v>9</v>
      </c>
      <c r="AI386" s="9" t="s">
        <v>10</v>
      </c>
      <c r="AJ386" s="1" t="s">
        <v>11</v>
      </c>
      <c r="AK386" s="1" t="s">
        <v>1822</v>
      </c>
      <c r="AL386" s="1" t="s">
        <v>1823</v>
      </c>
      <c r="AM386" s="9">
        <v>11455</v>
      </c>
      <c r="AN386" s="1" t="s">
        <v>127</v>
      </c>
      <c r="AO386" s="1" t="s">
        <v>468</v>
      </c>
      <c r="AP386" s="1" t="s">
        <v>1824</v>
      </c>
      <c r="AQ386" s="14">
        <v>45790</v>
      </c>
      <c r="AU386" s="14">
        <v>45790</v>
      </c>
      <c r="AV386" s="16">
        <v>0</v>
      </c>
      <c r="AW386" s="16">
        <v>0</v>
      </c>
      <c r="BA386" s="1" t="s">
        <v>911</v>
      </c>
      <c r="BB386" s="9">
        <v>33</v>
      </c>
      <c r="BC386" s="1" t="s">
        <v>1825</v>
      </c>
      <c r="BD386" s="9" t="s">
        <v>807</v>
      </c>
      <c r="BE386" s="1" t="s">
        <v>850</v>
      </c>
      <c r="BF386" s="1" t="s">
        <v>27</v>
      </c>
      <c r="BG386" s="1" t="s">
        <v>851</v>
      </c>
      <c r="BH386" s="1" t="s">
        <v>852</v>
      </c>
      <c r="BI386" s="20" t="s">
        <v>1055</v>
      </c>
      <c r="BJ386" s="21" t="str">
        <f t="shared" si="7"/>
        <v>FIXO</v>
      </c>
    </row>
    <row r="387" spans="1:62" x14ac:dyDescent="0.25">
      <c r="A387" s="7">
        <v>6</v>
      </c>
      <c r="B387" s="1" t="s">
        <v>41</v>
      </c>
      <c r="C387" s="8">
        <v>9</v>
      </c>
      <c r="D387" s="9" t="s">
        <v>807</v>
      </c>
      <c r="E387" s="10">
        <v>20702</v>
      </c>
      <c r="F387" s="11" t="s">
        <v>2047</v>
      </c>
      <c r="G387" s="12" t="s">
        <v>41</v>
      </c>
      <c r="H387" s="13" t="str">
        <f>VLOOKUP(AP387,[1]Listas!A:B,2,0)</f>
        <v xml:space="preserve">FBLA </v>
      </c>
      <c r="I387" s="1" t="s">
        <v>444</v>
      </c>
      <c r="J387" s="12"/>
      <c r="K387" s="12"/>
      <c r="L387" s="1" t="s">
        <v>444</v>
      </c>
      <c r="M387" s="1" t="s">
        <v>571</v>
      </c>
      <c r="N387" s="14">
        <v>38701</v>
      </c>
      <c r="O387" s="1" t="s">
        <v>809</v>
      </c>
      <c r="P387" s="1" t="s">
        <v>810</v>
      </c>
      <c r="Q387" s="15" t="s">
        <v>807</v>
      </c>
      <c r="R387" s="1" t="s">
        <v>857</v>
      </c>
      <c r="S387" s="1" t="s">
        <v>868</v>
      </c>
      <c r="T387" s="1" t="s">
        <v>869</v>
      </c>
      <c r="U387" s="9" t="s">
        <v>814</v>
      </c>
      <c r="V387" s="1" t="s">
        <v>815</v>
      </c>
      <c r="W387" s="1" t="s">
        <v>1220</v>
      </c>
      <c r="X387" s="1" t="s">
        <v>220</v>
      </c>
      <c r="Y387" s="14">
        <v>45785</v>
      </c>
      <c r="Z387" s="9" t="s">
        <v>817</v>
      </c>
      <c r="AB387" s="14">
        <v>45785</v>
      </c>
      <c r="AC387" s="9" t="s">
        <v>817</v>
      </c>
      <c r="AD387" s="9" t="s">
        <v>818</v>
      </c>
      <c r="AE387" s="1" t="s">
        <v>819</v>
      </c>
      <c r="AF387" s="14" t="s">
        <v>820</v>
      </c>
      <c r="AG387" s="9" t="s">
        <v>999</v>
      </c>
      <c r="AH387" s="1" t="s">
        <v>105</v>
      </c>
      <c r="AI387" s="9" t="s">
        <v>10</v>
      </c>
      <c r="AJ387" s="1" t="s">
        <v>11</v>
      </c>
      <c r="AK387" s="1" t="s">
        <v>2048</v>
      </c>
      <c r="AL387" s="1" t="s">
        <v>2049</v>
      </c>
      <c r="AM387" s="9">
        <v>11718</v>
      </c>
      <c r="AN387" s="1" t="s">
        <v>122</v>
      </c>
      <c r="AO387" s="1" t="s">
        <v>529</v>
      </c>
      <c r="AP387" s="1" t="s">
        <v>1957</v>
      </c>
      <c r="AQ387" s="14">
        <v>45785</v>
      </c>
      <c r="AU387" s="14">
        <v>45785</v>
      </c>
      <c r="AV387" s="16">
        <v>0</v>
      </c>
      <c r="AW387" s="16">
        <v>0</v>
      </c>
      <c r="BA387" s="1" t="s">
        <v>911</v>
      </c>
      <c r="BB387" s="9">
        <v>1</v>
      </c>
      <c r="BC387" s="1" t="s">
        <v>862</v>
      </c>
      <c r="BD387" s="9" t="s">
        <v>807</v>
      </c>
      <c r="BE387" s="1" t="s">
        <v>850</v>
      </c>
      <c r="BF387" s="1" t="s">
        <v>27</v>
      </c>
      <c r="BG387" s="1" t="s">
        <v>851</v>
      </c>
      <c r="BH387" s="1" t="s">
        <v>852</v>
      </c>
      <c r="BI387" s="20" t="s">
        <v>1055</v>
      </c>
      <c r="BJ387" s="21" t="str">
        <f t="shared" si="7"/>
        <v>FIXO</v>
      </c>
    </row>
    <row r="388" spans="1:62" x14ac:dyDescent="0.25">
      <c r="A388" s="7">
        <v>6</v>
      </c>
      <c r="B388" s="1" t="s">
        <v>41</v>
      </c>
      <c r="C388" s="8">
        <v>9</v>
      </c>
      <c r="D388" s="9" t="s">
        <v>807</v>
      </c>
      <c r="E388" s="10">
        <v>20816</v>
      </c>
      <c r="F388" s="11" t="s">
        <v>2050</v>
      </c>
      <c r="G388" s="12" t="s">
        <v>71</v>
      </c>
      <c r="H388" s="13" t="str">
        <f>VLOOKUP(AP388,[1]Listas!A:B,2,0)</f>
        <v xml:space="preserve">FBLA </v>
      </c>
      <c r="I388" s="1" t="s">
        <v>384</v>
      </c>
      <c r="J388" s="12"/>
      <c r="K388" s="12"/>
      <c r="L388" s="12" t="s">
        <v>612</v>
      </c>
      <c r="M388" s="1" t="s">
        <v>572</v>
      </c>
      <c r="N388" s="14">
        <v>35642</v>
      </c>
      <c r="O388" s="1" t="s">
        <v>855</v>
      </c>
      <c r="P388" s="1" t="s">
        <v>856</v>
      </c>
      <c r="Q388" s="15" t="s">
        <v>807</v>
      </c>
      <c r="R388" s="1" t="s">
        <v>857</v>
      </c>
      <c r="S388" s="1" t="s">
        <v>868</v>
      </c>
      <c r="T388" s="1" t="s">
        <v>869</v>
      </c>
      <c r="U388" s="9" t="s">
        <v>811</v>
      </c>
      <c r="V388" s="1" t="s">
        <v>870</v>
      </c>
      <c r="W388" s="1" t="s">
        <v>2029</v>
      </c>
      <c r="X388" s="1" t="s">
        <v>562</v>
      </c>
      <c r="Y388" s="14">
        <v>45798</v>
      </c>
      <c r="Z388" s="9" t="s">
        <v>817</v>
      </c>
      <c r="AB388" s="14">
        <v>45798</v>
      </c>
      <c r="AC388" s="9" t="s">
        <v>817</v>
      </c>
      <c r="AD388" s="9" t="s">
        <v>818</v>
      </c>
      <c r="AE388" s="1" t="s">
        <v>819</v>
      </c>
      <c r="AF388" s="14" t="s">
        <v>820</v>
      </c>
      <c r="AG388" s="9" t="s">
        <v>821</v>
      </c>
      <c r="AH388" s="1" t="s">
        <v>9</v>
      </c>
      <c r="AI388" s="9" t="s">
        <v>10</v>
      </c>
      <c r="AJ388" s="1" t="s">
        <v>11</v>
      </c>
      <c r="AK388" s="1" t="s">
        <v>2030</v>
      </c>
      <c r="AL388" s="1" t="s">
        <v>2031</v>
      </c>
      <c r="AM388" s="9">
        <v>11748</v>
      </c>
      <c r="AN388" s="1" t="s">
        <v>389</v>
      </c>
      <c r="AO388" s="1" t="s">
        <v>500</v>
      </c>
      <c r="AP388" s="1" t="s">
        <v>1896</v>
      </c>
      <c r="AQ388" s="14">
        <v>45798</v>
      </c>
      <c r="AU388" s="14">
        <v>45798</v>
      </c>
      <c r="AV388" s="16">
        <v>0</v>
      </c>
      <c r="AW388" s="16">
        <v>0</v>
      </c>
      <c r="BA388" s="1" t="s">
        <v>911</v>
      </c>
      <c r="BB388" s="9">
        <v>21</v>
      </c>
      <c r="BC388" s="1" t="s">
        <v>1731</v>
      </c>
      <c r="BD388" s="9" t="s">
        <v>807</v>
      </c>
      <c r="BE388" s="1" t="s">
        <v>1630</v>
      </c>
      <c r="BF388" s="1" t="s">
        <v>384</v>
      </c>
      <c r="BG388" s="1" t="s">
        <v>1631</v>
      </c>
      <c r="BH388" s="1" t="s">
        <v>1632</v>
      </c>
      <c r="BI388" s="25" t="s">
        <v>2051</v>
      </c>
      <c r="BJ388" s="21" t="str">
        <f t="shared" si="7"/>
        <v>FIXO</v>
      </c>
    </row>
    <row r="389" spans="1:62" x14ac:dyDescent="0.25">
      <c r="A389" s="7">
        <v>6</v>
      </c>
      <c r="B389" s="1" t="s">
        <v>41</v>
      </c>
      <c r="C389" s="8">
        <v>9</v>
      </c>
      <c r="D389" s="9" t="s">
        <v>807</v>
      </c>
      <c r="E389" s="10">
        <v>20817</v>
      </c>
      <c r="F389" s="11" t="s">
        <v>2052</v>
      </c>
      <c r="G389" s="12" t="s">
        <v>71</v>
      </c>
      <c r="H389" s="13" t="str">
        <f>VLOOKUP(AP389,[1]Listas!A:B,2,0)</f>
        <v xml:space="preserve">FBLA </v>
      </c>
      <c r="I389" s="1" t="s">
        <v>384</v>
      </c>
      <c r="J389" s="12"/>
      <c r="K389" s="12"/>
      <c r="L389" s="12"/>
      <c r="M389" s="1" t="s">
        <v>573</v>
      </c>
      <c r="N389" s="14">
        <v>36904</v>
      </c>
      <c r="O389" s="1" t="s">
        <v>855</v>
      </c>
      <c r="P389" s="1" t="s">
        <v>856</v>
      </c>
      <c r="Q389" s="15" t="s">
        <v>807</v>
      </c>
      <c r="R389" s="1" t="s">
        <v>857</v>
      </c>
      <c r="S389" s="1" t="s">
        <v>868</v>
      </c>
      <c r="T389" s="1" t="s">
        <v>869</v>
      </c>
      <c r="U389" s="9" t="s">
        <v>832</v>
      </c>
      <c r="V389" s="1" t="s">
        <v>833</v>
      </c>
      <c r="W389" s="1" t="s">
        <v>1182</v>
      </c>
      <c r="X389" s="1" t="s">
        <v>203</v>
      </c>
      <c r="Y389" s="14">
        <v>45797</v>
      </c>
      <c r="Z389" s="9" t="s">
        <v>817</v>
      </c>
      <c r="AB389" s="14">
        <v>45797</v>
      </c>
      <c r="AC389" s="9" t="s">
        <v>817</v>
      </c>
      <c r="AD389" s="9" t="s">
        <v>818</v>
      </c>
      <c r="AE389" s="1" t="s">
        <v>819</v>
      </c>
      <c r="AF389" s="14" t="s">
        <v>820</v>
      </c>
      <c r="AG389" s="9" t="s">
        <v>821</v>
      </c>
      <c r="AH389" s="1" t="s">
        <v>9</v>
      </c>
      <c r="AI389" s="9" t="s">
        <v>10</v>
      </c>
      <c r="AJ389" s="1" t="s">
        <v>11</v>
      </c>
      <c r="AK389" s="1" t="s">
        <v>2053</v>
      </c>
      <c r="AL389" s="1" t="s">
        <v>2054</v>
      </c>
      <c r="AM389" s="9">
        <v>11722</v>
      </c>
      <c r="AN389" s="1" t="s">
        <v>574</v>
      </c>
      <c r="AO389" s="1" t="s">
        <v>575</v>
      </c>
      <c r="AP389" s="1" t="s">
        <v>2055</v>
      </c>
      <c r="AQ389" s="14">
        <v>45797</v>
      </c>
      <c r="AU389" s="14">
        <v>45797</v>
      </c>
      <c r="AV389" s="16">
        <v>0</v>
      </c>
      <c r="AW389" s="16">
        <v>0</v>
      </c>
      <c r="BA389" s="1" t="s">
        <v>911</v>
      </c>
      <c r="BB389" s="9">
        <v>23</v>
      </c>
      <c r="BC389" s="1" t="s">
        <v>1773</v>
      </c>
      <c r="BD389" s="9" t="s">
        <v>807</v>
      </c>
      <c r="BE389" s="1" t="s">
        <v>1630</v>
      </c>
      <c r="BF389" s="1" t="s">
        <v>384</v>
      </c>
      <c r="BG389" s="1" t="s">
        <v>1631</v>
      </c>
      <c r="BH389" s="1" t="s">
        <v>1632</v>
      </c>
      <c r="BI389" s="20" t="s">
        <v>853</v>
      </c>
      <c r="BJ389" s="21" t="str">
        <f t="shared" si="7"/>
        <v>FIXO</v>
      </c>
    </row>
    <row r="390" spans="1:62" x14ac:dyDescent="0.25">
      <c r="A390" s="7">
        <v>6</v>
      </c>
      <c r="B390" s="1" t="s">
        <v>41</v>
      </c>
      <c r="C390" s="8">
        <v>9</v>
      </c>
      <c r="D390" s="9" t="s">
        <v>807</v>
      </c>
      <c r="E390" s="10">
        <v>20818</v>
      </c>
      <c r="F390" s="11" t="s">
        <v>2056</v>
      </c>
      <c r="G390" s="12" t="s">
        <v>71</v>
      </c>
      <c r="H390" s="13" t="str">
        <f>VLOOKUP(AP390,[1]Listas!A:B,2,0)</f>
        <v xml:space="preserve">FBLA </v>
      </c>
      <c r="I390" s="1" t="s">
        <v>384</v>
      </c>
      <c r="J390" s="12"/>
      <c r="K390" s="12"/>
      <c r="L390" s="12" t="s">
        <v>612</v>
      </c>
      <c r="M390" s="1" t="s">
        <v>576</v>
      </c>
      <c r="N390" s="14">
        <v>35254</v>
      </c>
      <c r="O390" s="1" t="s">
        <v>855</v>
      </c>
      <c r="P390" s="1" t="s">
        <v>856</v>
      </c>
      <c r="Q390" s="15" t="s">
        <v>807</v>
      </c>
      <c r="R390" s="1" t="s">
        <v>857</v>
      </c>
      <c r="S390" s="1" t="s">
        <v>811</v>
      </c>
      <c r="T390" s="1" t="s">
        <v>906</v>
      </c>
      <c r="U390" s="9" t="s">
        <v>811</v>
      </c>
      <c r="V390" s="1" t="s">
        <v>870</v>
      </c>
      <c r="W390" s="1" t="s">
        <v>1638</v>
      </c>
      <c r="X390" s="1" t="s">
        <v>388</v>
      </c>
      <c r="Y390" s="14">
        <v>45854</v>
      </c>
      <c r="Z390" s="9" t="s">
        <v>817</v>
      </c>
      <c r="AB390" s="14">
        <v>45797</v>
      </c>
      <c r="AC390" s="9" t="s">
        <v>817</v>
      </c>
      <c r="AD390" s="9" t="s">
        <v>818</v>
      </c>
      <c r="AE390" s="1" t="s">
        <v>819</v>
      </c>
      <c r="AF390" s="14" t="s">
        <v>820</v>
      </c>
      <c r="AG390" s="9" t="s">
        <v>821</v>
      </c>
      <c r="AH390" s="1" t="s">
        <v>9</v>
      </c>
      <c r="AI390" s="9" t="s">
        <v>10</v>
      </c>
      <c r="AJ390" s="1" t="s">
        <v>11</v>
      </c>
      <c r="AK390" s="1" t="s">
        <v>2011</v>
      </c>
      <c r="AL390" s="1" t="s">
        <v>2012</v>
      </c>
      <c r="AM390" s="9">
        <v>11741</v>
      </c>
      <c r="AN390" s="1" t="s">
        <v>516</v>
      </c>
      <c r="AO390" s="1" t="s">
        <v>517</v>
      </c>
      <c r="AP390" s="1" t="s">
        <v>1929</v>
      </c>
      <c r="AQ390" s="14">
        <v>45854</v>
      </c>
      <c r="AU390" s="14">
        <v>45797</v>
      </c>
      <c r="AV390" s="16">
        <v>0</v>
      </c>
      <c r="AW390" s="16">
        <v>0</v>
      </c>
      <c r="BA390" s="1" t="s">
        <v>911</v>
      </c>
      <c r="BB390" s="9">
        <v>20</v>
      </c>
      <c r="BC390" s="1" t="s">
        <v>2034</v>
      </c>
      <c r="BD390" s="9" t="s">
        <v>807</v>
      </c>
      <c r="BE390" s="1" t="s">
        <v>1630</v>
      </c>
      <c r="BF390" s="1" t="s">
        <v>384</v>
      </c>
      <c r="BG390" s="1" t="s">
        <v>1631</v>
      </c>
      <c r="BH390" s="1" t="s">
        <v>1632</v>
      </c>
      <c r="BI390" s="20" t="s">
        <v>2013</v>
      </c>
      <c r="BJ390" s="21" t="str">
        <f t="shared" si="7"/>
        <v>FIXO</v>
      </c>
    </row>
    <row r="391" spans="1:62" x14ac:dyDescent="0.25">
      <c r="A391" s="7">
        <v>6</v>
      </c>
      <c r="B391" s="1" t="s">
        <v>41</v>
      </c>
      <c r="C391" s="8">
        <v>6</v>
      </c>
      <c r="D391" s="9" t="s">
        <v>807</v>
      </c>
      <c r="E391" s="10">
        <v>20827</v>
      </c>
      <c r="F391" s="11" t="s">
        <v>2057</v>
      </c>
      <c r="G391" s="12" t="s">
        <v>271</v>
      </c>
      <c r="H391" s="13" t="str">
        <f>VLOOKUP(AP391,[1]Listas!A:B,2,0)</f>
        <v xml:space="preserve">FSTV </v>
      </c>
      <c r="I391" s="1" t="s">
        <v>440</v>
      </c>
      <c r="J391" s="12"/>
      <c r="K391" s="12"/>
      <c r="L391" s="1" t="s">
        <v>440</v>
      </c>
      <c r="M391" s="1" t="s">
        <v>577</v>
      </c>
      <c r="N391" s="14">
        <v>33171</v>
      </c>
      <c r="O391" s="1" t="s">
        <v>809</v>
      </c>
      <c r="P391" s="1" t="s">
        <v>810</v>
      </c>
      <c r="Q391" s="15" t="s">
        <v>807</v>
      </c>
      <c r="R391" s="1" t="s">
        <v>857</v>
      </c>
      <c r="S391" s="1" t="s">
        <v>868</v>
      </c>
      <c r="T391" s="1" t="s">
        <v>869</v>
      </c>
      <c r="U391" s="9" t="s">
        <v>951</v>
      </c>
      <c r="V391" s="1" t="s">
        <v>952</v>
      </c>
      <c r="W391" s="1" t="s">
        <v>1051</v>
      </c>
      <c r="X391" s="1" t="s">
        <v>126</v>
      </c>
      <c r="Y391" s="14">
        <v>45798</v>
      </c>
      <c r="Z391" s="9" t="s">
        <v>817</v>
      </c>
      <c r="AB391" s="14">
        <v>45798</v>
      </c>
      <c r="AC391" s="9" t="s">
        <v>817</v>
      </c>
      <c r="AD391" s="9" t="s">
        <v>818</v>
      </c>
      <c r="AE391" s="1" t="s">
        <v>819</v>
      </c>
      <c r="AF391" s="14" t="s">
        <v>820</v>
      </c>
      <c r="AG391" s="9" t="s">
        <v>821</v>
      </c>
      <c r="AH391" s="1" t="s">
        <v>9</v>
      </c>
      <c r="AI391" s="9" t="s">
        <v>10</v>
      </c>
      <c r="AJ391" s="1" t="s">
        <v>11</v>
      </c>
      <c r="AK391" s="1" t="s">
        <v>1864</v>
      </c>
      <c r="AL391" s="1" t="s">
        <v>1865</v>
      </c>
      <c r="AM391" s="9">
        <v>11455</v>
      </c>
      <c r="AN391" s="1" t="s">
        <v>127</v>
      </c>
      <c r="AO391" s="1" t="s">
        <v>468</v>
      </c>
      <c r="AP391" s="1" t="s">
        <v>1824</v>
      </c>
      <c r="AQ391" s="14">
        <v>45798</v>
      </c>
      <c r="AU391" s="14">
        <v>45798</v>
      </c>
      <c r="AV391" s="16">
        <v>0</v>
      </c>
      <c r="AW391" s="16">
        <v>0</v>
      </c>
      <c r="BA391" s="1" t="s">
        <v>911</v>
      </c>
      <c r="BB391" s="9">
        <v>33</v>
      </c>
      <c r="BC391" s="1" t="s">
        <v>1825</v>
      </c>
      <c r="BD391" s="9" t="s">
        <v>807</v>
      </c>
      <c r="BE391" s="1" t="s">
        <v>850</v>
      </c>
      <c r="BF391" s="1" t="s">
        <v>27</v>
      </c>
      <c r="BG391" s="1" t="s">
        <v>851</v>
      </c>
      <c r="BH391" s="1" t="s">
        <v>852</v>
      </c>
      <c r="BI391" s="20" t="s">
        <v>1055</v>
      </c>
      <c r="BJ391" s="21" t="str">
        <f t="shared" si="7"/>
        <v>FIXO</v>
      </c>
    </row>
    <row r="392" spans="1:62" x14ac:dyDescent="0.25">
      <c r="A392" s="7">
        <v>6</v>
      </c>
      <c r="B392" s="1" t="s">
        <v>41</v>
      </c>
      <c r="C392" s="8">
        <v>9</v>
      </c>
      <c r="D392" s="9" t="s">
        <v>807</v>
      </c>
      <c r="E392" s="10">
        <v>20836</v>
      </c>
      <c r="F392" s="11" t="s">
        <v>2058</v>
      </c>
      <c r="G392" s="12" t="s">
        <v>71</v>
      </c>
      <c r="H392" s="13" t="str">
        <f>VLOOKUP(AP392,[1]Listas!A:B,2,0)</f>
        <v xml:space="preserve">FBLA </v>
      </c>
      <c r="I392" s="1" t="s">
        <v>384</v>
      </c>
      <c r="J392" s="12"/>
      <c r="K392" s="12"/>
      <c r="L392" s="12" t="s">
        <v>612</v>
      </c>
      <c r="M392" s="1" t="s">
        <v>2059</v>
      </c>
      <c r="N392" s="14">
        <v>36902</v>
      </c>
      <c r="O392" s="1" t="s">
        <v>855</v>
      </c>
      <c r="P392" s="1" t="s">
        <v>856</v>
      </c>
      <c r="Q392" s="15" t="s">
        <v>807</v>
      </c>
      <c r="R392" s="1" t="s">
        <v>857</v>
      </c>
      <c r="S392" s="1" t="s">
        <v>868</v>
      </c>
      <c r="T392" s="1" t="s">
        <v>869</v>
      </c>
      <c r="U392" s="9" t="s">
        <v>811</v>
      </c>
      <c r="V392" s="1" t="s">
        <v>870</v>
      </c>
      <c r="W392" s="1" t="s">
        <v>1638</v>
      </c>
      <c r="X392" s="1" t="s">
        <v>388</v>
      </c>
      <c r="Y392" s="14">
        <v>45799</v>
      </c>
      <c r="Z392" s="9" t="s">
        <v>817</v>
      </c>
      <c r="AB392" s="14">
        <v>45799</v>
      </c>
      <c r="AC392" s="9" t="s">
        <v>817</v>
      </c>
      <c r="AD392" s="9" t="s">
        <v>818</v>
      </c>
      <c r="AE392" s="1" t="s">
        <v>819</v>
      </c>
      <c r="AF392" s="14" t="s">
        <v>820</v>
      </c>
      <c r="AG392" s="9" t="s">
        <v>821</v>
      </c>
      <c r="AH392" s="1" t="s">
        <v>9</v>
      </c>
      <c r="AI392" s="9" t="s">
        <v>10</v>
      </c>
      <c r="AJ392" s="1" t="s">
        <v>11</v>
      </c>
      <c r="AK392" s="1" t="s">
        <v>1894</v>
      </c>
      <c r="AL392" s="1" t="s">
        <v>1895</v>
      </c>
      <c r="AM392" s="9">
        <v>11748</v>
      </c>
      <c r="AN392" s="1" t="s">
        <v>389</v>
      </c>
      <c r="AO392" s="1" t="s">
        <v>500</v>
      </c>
      <c r="AP392" s="1" t="s">
        <v>1896</v>
      </c>
      <c r="AQ392" s="14">
        <v>45799</v>
      </c>
      <c r="AU392" s="14">
        <v>45799</v>
      </c>
      <c r="AV392" s="16">
        <v>0</v>
      </c>
      <c r="AW392" s="16">
        <v>0</v>
      </c>
      <c r="BA392" s="1" t="s">
        <v>911</v>
      </c>
      <c r="BB392" s="9">
        <v>21</v>
      </c>
      <c r="BC392" s="1" t="s">
        <v>1731</v>
      </c>
      <c r="BD392" s="9" t="s">
        <v>807</v>
      </c>
      <c r="BE392" s="1" t="s">
        <v>1630</v>
      </c>
      <c r="BF392" s="1" t="s">
        <v>384</v>
      </c>
      <c r="BG392" s="1" t="s">
        <v>1631</v>
      </c>
      <c r="BH392" s="1" t="s">
        <v>1632</v>
      </c>
      <c r="BI392" s="20" t="s">
        <v>1897</v>
      </c>
      <c r="BJ392" s="21" t="str">
        <f t="shared" si="7"/>
        <v>FIXO</v>
      </c>
    </row>
    <row r="393" spans="1:62" x14ac:dyDescent="0.25">
      <c r="A393" s="7">
        <v>6</v>
      </c>
      <c r="B393" s="1" t="s">
        <v>41</v>
      </c>
      <c r="C393" s="8">
        <v>9</v>
      </c>
      <c r="D393" s="9" t="s">
        <v>807</v>
      </c>
      <c r="E393" s="10">
        <v>20857</v>
      </c>
      <c r="F393" s="11" t="s">
        <v>2060</v>
      </c>
      <c r="G393" s="12" t="s">
        <v>41</v>
      </c>
      <c r="H393" s="13" t="str">
        <f>VLOOKUP(AP393,[1]Listas!A:B,2,0)</f>
        <v xml:space="preserve">FBLA </v>
      </c>
      <c r="I393" s="1" t="s">
        <v>444</v>
      </c>
      <c r="J393" s="12"/>
      <c r="K393" s="12"/>
      <c r="L393" s="1" t="s">
        <v>444</v>
      </c>
      <c r="M393" s="1" t="s">
        <v>578</v>
      </c>
      <c r="N393" s="14">
        <v>34662</v>
      </c>
      <c r="O393" s="1" t="s">
        <v>855</v>
      </c>
      <c r="P393" s="1" t="s">
        <v>856</v>
      </c>
      <c r="Q393" s="15" t="s">
        <v>807</v>
      </c>
      <c r="R393" s="1" t="s">
        <v>857</v>
      </c>
      <c r="S393" s="1" t="s">
        <v>868</v>
      </c>
      <c r="T393" s="1" t="s">
        <v>869</v>
      </c>
      <c r="U393" s="9" t="s">
        <v>868</v>
      </c>
      <c r="V393" s="1" t="s">
        <v>913</v>
      </c>
      <c r="W393" s="1" t="s">
        <v>1123</v>
      </c>
      <c r="X393" s="1" t="s">
        <v>168</v>
      </c>
      <c r="Y393" s="14">
        <v>45800</v>
      </c>
      <c r="Z393" s="9" t="s">
        <v>817</v>
      </c>
      <c r="AB393" s="14">
        <v>45800</v>
      </c>
      <c r="AC393" s="9" t="s">
        <v>817</v>
      </c>
      <c r="AD393" s="9" t="s">
        <v>818</v>
      </c>
      <c r="AE393" s="1" t="s">
        <v>819</v>
      </c>
      <c r="AF393" s="14" t="s">
        <v>820</v>
      </c>
      <c r="AG393" s="9" t="s">
        <v>821</v>
      </c>
      <c r="AH393" s="1" t="s">
        <v>9</v>
      </c>
      <c r="AI393" s="9" t="s">
        <v>10</v>
      </c>
      <c r="AJ393" s="1" t="s">
        <v>11</v>
      </c>
      <c r="AK393" s="1" t="s">
        <v>1919</v>
      </c>
      <c r="AL393" s="1" t="s">
        <v>1920</v>
      </c>
      <c r="AM393" s="9">
        <v>11743</v>
      </c>
      <c r="AN393" s="1" t="s">
        <v>114</v>
      </c>
      <c r="AO393" s="1" t="s">
        <v>512</v>
      </c>
      <c r="AP393" s="1" t="s">
        <v>1921</v>
      </c>
      <c r="AQ393" s="14">
        <v>45800</v>
      </c>
      <c r="AU393" s="14">
        <v>45800</v>
      </c>
      <c r="AV393" s="16">
        <v>0</v>
      </c>
      <c r="AW393" s="16">
        <v>0</v>
      </c>
      <c r="BA393" s="1" t="s">
        <v>911</v>
      </c>
      <c r="BB393" s="9">
        <v>7</v>
      </c>
      <c r="BC393" s="1" t="s">
        <v>826</v>
      </c>
      <c r="BD393" s="9" t="s">
        <v>807</v>
      </c>
      <c r="BE393" s="1" t="s">
        <v>1738</v>
      </c>
      <c r="BF393" s="1" t="s">
        <v>437</v>
      </c>
      <c r="BG393" s="1" t="s">
        <v>1739</v>
      </c>
      <c r="BH393" s="1" t="s">
        <v>1740</v>
      </c>
      <c r="BI393" s="20" t="s">
        <v>983</v>
      </c>
      <c r="BJ393" s="21" t="str">
        <f t="shared" si="7"/>
        <v>FIXO</v>
      </c>
    </row>
    <row r="394" spans="1:62" x14ac:dyDescent="0.25">
      <c r="A394" s="7">
        <v>6</v>
      </c>
      <c r="B394" s="1" t="s">
        <v>41</v>
      </c>
      <c r="C394" s="8">
        <v>9</v>
      </c>
      <c r="D394" s="9" t="s">
        <v>807</v>
      </c>
      <c r="E394" s="10">
        <v>20858</v>
      </c>
      <c r="F394" s="11" t="s">
        <v>2061</v>
      </c>
      <c r="G394" s="12" t="s">
        <v>41</v>
      </c>
      <c r="H394" s="13" t="str">
        <f>VLOOKUP(AP394,[1]Listas!A:B,2,0)</f>
        <v xml:space="preserve">FBLA </v>
      </c>
      <c r="I394" s="1" t="s">
        <v>444</v>
      </c>
      <c r="J394" s="12"/>
      <c r="K394" s="12"/>
      <c r="L394" s="1" t="s">
        <v>444</v>
      </c>
      <c r="M394" s="1" t="s">
        <v>579</v>
      </c>
      <c r="N394" s="14">
        <v>33207</v>
      </c>
      <c r="O394" s="1" t="s">
        <v>855</v>
      </c>
      <c r="P394" s="1" t="s">
        <v>856</v>
      </c>
      <c r="Q394" s="15" t="s">
        <v>807</v>
      </c>
      <c r="R394" s="1" t="s">
        <v>857</v>
      </c>
      <c r="S394" s="1" t="s">
        <v>807</v>
      </c>
      <c r="T394" s="1" t="s">
        <v>813</v>
      </c>
      <c r="U394" s="9" t="s">
        <v>1031</v>
      </c>
      <c r="V394" s="1" t="s">
        <v>1100</v>
      </c>
      <c r="W394" s="1" t="s">
        <v>1123</v>
      </c>
      <c r="X394" s="1" t="s">
        <v>168</v>
      </c>
      <c r="Y394" s="14">
        <v>45800</v>
      </c>
      <c r="Z394" s="9" t="s">
        <v>817</v>
      </c>
      <c r="AB394" s="14">
        <v>45800</v>
      </c>
      <c r="AC394" s="9" t="s">
        <v>817</v>
      </c>
      <c r="AD394" s="9" t="s">
        <v>818</v>
      </c>
      <c r="AE394" s="1" t="s">
        <v>819</v>
      </c>
      <c r="AF394" s="14" t="s">
        <v>820</v>
      </c>
      <c r="AG394" s="9" t="s">
        <v>821</v>
      </c>
      <c r="AH394" s="1" t="s">
        <v>9</v>
      </c>
      <c r="AI394" s="9" t="s">
        <v>10</v>
      </c>
      <c r="AJ394" s="1" t="s">
        <v>11</v>
      </c>
      <c r="AK394" s="1" t="s">
        <v>1919</v>
      </c>
      <c r="AL394" s="1" t="s">
        <v>1920</v>
      </c>
      <c r="AM394" s="9">
        <v>11743</v>
      </c>
      <c r="AN394" s="1" t="s">
        <v>114</v>
      </c>
      <c r="AO394" s="1" t="s">
        <v>512</v>
      </c>
      <c r="AP394" s="1" t="s">
        <v>1921</v>
      </c>
      <c r="AQ394" s="14">
        <v>45800</v>
      </c>
      <c r="AU394" s="14">
        <v>45800</v>
      </c>
      <c r="AV394" s="16">
        <v>0</v>
      </c>
      <c r="AW394" s="16">
        <v>0</v>
      </c>
      <c r="BA394" s="1" t="s">
        <v>911</v>
      </c>
      <c r="BB394" s="9">
        <v>7</v>
      </c>
      <c r="BC394" s="1" t="s">
        <v>826</v>
      </c>
      <c r="BD394" s="9" t="s">
        <v>807</v>
      </c>
      <c r="BE394" s="1" t="s">
        <v>1738</v>
      </c>
      <c r="BF394" s="1" t="s">
        <v>437</v>
      </c>
      <c r="BG394" s="1" t="s">
        <v>1739</v>
      </c>
      <c r="BH394" s="1" t="s">
        <v>1740</v>
      </c>
      <c r="BI394" s="20" t="s">
        <v>983</v>
      </c>
      <c r="BJ394" s="21" t="str">
        <f t="shared" si="7"/>
        <v>FIXO</v>
      </c>
    </row>
    <row r="395" spans="1:62" x14ac:dyDescent="0.25">
      <c r="A395" s="7">
        <v>6</v>
      </c>
      <c r="B395" s="1" t="s">
        <v>41</v>
      </c>
      <c r="C395" s="8">
        <v>6</v>
      </c>
      <c r="D395" s="9" t="s">
        <v>807</v>
      </c>
      <c r="E395" s="10">
        <v>20891</v>
      </c>
      <c r="F395" s="11" t="s">
        <v>2062</v>
      </c>
      <c r="G395" s="12" t="s">
        <v>71</v>
      </c>
      <c r="H395" s="13" t="str">
        <f>VLOOKUP(AP395,[1]Listas!A:B,2,0)</f>
        <v xml:space="preserve">FSTV </v>
      </c>
      <c r="I395" s="1" t="s">
        <v>27</v>
      </c>
      <c r="J395" s="12"/>
      <c r="K395" s="12"/>
      <c r="L395" s="12"/>
      <c r="M395" s="1" t="s">
        <v>580</v>
      </c>
      <c r="N395" s="14">
        <v>37289</v>
      </c>
      <c r="O395" s="1" t="s">
        <v>809</v>
      </c>
      <c r="P395" s="1" t="s">
        <v>810</v>
      </c>
      <c r="Q395" s="15" t="s">
        <v>807</v>
      </c>
      <c r="R395" s="1" t="s">
        <v>857</v>
      </c>
      <c r="S395" s="1" t="s">
        <v>868</v>
      </c>
      <c r="T395" s="1" t="s">
        <v>869</v>
      </c>
      <c r="U395" s="9" t="s">
        <v>832</v>
      </c>
      <c r="V395" s="1" t="s">
        <v>833</v>
      </c>
      <c r="W395" s="1" t="s">
        <v>998</v>
      </c>
      <c r="X395" s="1" t="s">
        <v>104</v>
      </c>
      <c r="Y395" s="14">
        <v>45810</v>
      </c>
      <c r="Z395" s="9" t="s">
        <v>817</v>
      </c>
      <c r="AB395" s="14">
        <v>45810</v>
      </c>
      <c r="AC395" s="9" t="s">
        <v>817</v>
      </c>
      <c r="AD395" s="9" t="s">
        <v>818</v>
      </c>
      <c r="AE395" s="1" t="s">
        <v>819</v>
      </c>
      <c r="AF395" s="14" t="s">
        <v>820</v>
      </c>
      <c r="AG395" s="9" t="s">
        <v>821</v>
      </c>
      <c r="AH395" s="1" t="s">
        <v>9</v>
      </c>
      <c r="AI395" s="9" t="s">
        <v>10</v>
      </c>
      <c r="AJ395" s="1" t="s">
        <v>11</v>
      </c>
      <c r="AK395" s="1" t="s">
        <v>1905</v>
      </c>
      <c r="AL395" s="1" t="s">
        <v>1906</v>
      </c>
      <c r="AM395" s="9">
        <v>11401</v>
      </c>
      <c r="AN395" s="1" t="s">
        <v>83</v>
      </c>
      <c r="AO395" s="1" t="s">
        <v>506</v>
      </c>
      <c r="AP395" s="1" t="s">
        <v>1907</v>
      </c>
      <c r="AQ395" s="14">
        <v>45810</v>
      </c>
      <c r="AU395" s="14">
        <v>45810</v>
      </c>
      <c r="AV395" s="16">
        <v>0</v>
      </c>
      <c r="AW395" s="16">
        <v>0</v>
      </c>
      <c r="BA395" s="1" t="s">
        <v>911</v>
      </c>
      <c r="BB395" s="9">
        <v>7</v>
      </c>
      <c r="BC395" s="1" t="s">
        <v>826</v>
      </c>
      <c r="BD395" s="9" t="s">
        <v>807</v>
      </c>
      <c r="BE395" s="1" t="s">
        <v>850</v>
      </c>
      <c r="BF395" s="1" t="s">
        <v>27</v>
      </c>
      <c r="BG395" s="1" t="s">
        <v>851</v>
      </c>
      <c r="BH395" s="1" t="s">
        <v>852</v>
      </c>
      <c r="BI395" s="20" t="s">
        <v>853</v>
      </c>
      <c r="BJ395" s="21" t="str">
        <f t="shared" si="7"/>
        <v>FIXO</v>
      </c>
    </row>
    <row r="396" spans="1:62" x14ac:dyDescent="0.25">
      <c r="A396" s="7">
        <v>6</v>
      </c>
      <c r="B396" s="1" t="s">
        <v>41</v>
      </c>
      <c r="C396" s="8">
        <v>9</v>
      </c>
      <c r="D396" s="9" t="s">
        <v>807</v>
      </c>
      <c r="E396" s="10">
        <v>20901</v>
      </c>
      <c r="F396" s="11" t="s">
        <v>2063</v>
      </c>
      <c r="G396" s="12" t="s">
        <v>71</v>
      </c>
      <c r="H396" s="13" t="str">
        <f>VLOOKUP(AP396,[1]Listas!A:B,2,0)</f>
        <v xml:space="preserve">FBLA </v>
      </c>
      <c r="I396" s="1" t="s">
        <v>384</v>
      </c>
      <c r="J396" s="12"/>
      <c r="K396" s="12"/>
      <c r="L396" s="12" t="s">
        <v>612</v>
      </c>
      <c r="M396" s="1" t="s">
        <v>581</v>
      </c>
      <c r="N396" s="14">
        <v>32508</v>
      </c>
      <c r="O396" s="1" t="s">
        <v>855</v>
      </c>
      <c r="P396" s="1" t="s">
        <v>856</v>
      </c>
      <c r="Q396" s="15" t="s">
        <v>807</v>
      </c>
      <c r="R396" s="1" t="s">
        <v>857</v>
      </c>
      <c r="S396" s="1" t="s">
        <v>807</v>
      </c>
      <c r="T396" s="1" t="s">
        <v>813</v>
      </c>
      <c r="U396" s="9" t="s">
        <v>811</v>
      </c>
      <c r="V396" s="1" t="s">
        <v>870</v>
      </c>
      <c r="W396" s="1" t="s">
        <v>2064</v>
      </c>
      <c r="X396" s="1" t="s">
        <v>582</v>
      </c>
      <c r="Y396" s="14">
        <v>45824</v>
      </c>
      <c r="Z396" s="9" t="s">
        <v>817</v>
      </c>
      <c r="AB396" s="14">
        <v>45824</v>
      </c>
      <c r="AC396" s="9" t="s">
        <v>817</v>
      </c>
      <c r="AD396" s="9" t="s">
        <v>818</v>
      </c>
      <c r="AE396" s="1" t="s">
        <v>819</v>
      </c>
      <c r="AF396" s="14" t="s">
        <v>820</v>
      </c>
      <c r="AG396" s="9" t="s">
        <v>821</v>
      </c>
      <c r="AH396" s="1" t="s">
        <v>9</v>
      </c>
      <c r="AI396" s="9" t="s">
        <v>10</v>
      </c>
      <c r="AJ396" s="1" t="s">
        <v>11</v>
      </c>
      <c r="AK396" s="1" t="s">
        <v>2065</v>
      </c>
      <c r="AL396" s="1" t="s">
        <v>2066</v>
      </c>
      <c r="AM396" s="9">
        <v>11731</v>
      </c>
      <c r="AN396" s="1" t="s">
        <v>382</v>
      </c>
      <c r="AO396" s="1" t="s">
        <v>583</v>
      </c>
      <c r="AP396" s="1" t="s">
        <v>2067</v>
      </c>
      <c r="AQ396" s="14">
        <v>45824</v>
      </c>
      <c r="AU396" s="14">
        <v>45824</v>
      </c>
      <c r="AV396" s="16">
        <v>0</v>
      </c>
      <c r="AW396" s="16">
        <v>0</v>
      </c>
      <c r="BA396" s="1" t="s">
        <v>911</v>
      </c>
      <c r="BB396" s="9">
        <v>23</v>
      </c>
      <c r="BC396" s="1" t="s">
        <v>1773</v>
      </c>
      <c r="BD396" s="9" t="s">
        <v>807</v>
      </c>
      <c r="BE396" s="1" t="s">
        <v>1630</v>
      </c>
      <c r="BF396" s="1" t="s">
        <v>384</v>
      </c>
      <c r="BG396" s="1" t="s">
        <v>1631</v>
      </c>
      <c r="BH396" s="1" t="s">
        <v>1632</v>
      </c>
      <c r="BI396" s="20" t="s">
        <v>2068</v>
      </c>
      <c r="BJ396" s="21" t="str">
        <f t="shared" si="7"/>
        <v>FIXO</v>
      </c>
    </row>
    <row r="397" spans="1:62" x14ac:dyDescent="0.25">
      <c r="A397" s="7">
        <v>6</v>
      </c>
      <c r="B397" s="1" t="s">
        <v>41</v>
      </c>
      <c r="C397" s="8">
        <v>9</v>
      </c>
      <c r="D397" s="9" t="s">
        <v>807</v>
      </c>
      <c r="E397" s="10">
        <v>20908</v>
      </c>
      <c r="F397" s="11" t="s">
        <v>2069</v>
      </c>
      <c r="G397" s="12" t="s">
        <v>71</v>
      </c>
      <c r="H397" s="13" t="str">
        <f>VLOOKUP(AP397,[1]Listas!A:B,2,0)</f>
        <v xml:space="preserve">FBLA </v>
      </c>
      <c r="I397" s="1" t="s">
        <v>384</v>
      </c>
      <c r="J397" s="12"/>
      <c r="K397" s="12"/>
      <c r="L397" s="12" t="s">
        <v>612</v>
      </c>
      <c r="M397" s="1" t="s">
        <v>584</v>
      </c>
      <c r="N397" s="14">
        <v>38566</v>
      </c>
      <c r="O397" s="1" t="s">
        <v>855</v>
      </c>
      <c r="P397" s="1" t="s">
        <v>856</v>
      </c>
      <c r="Q397" s="15" t="s">
        <v>807</v>
      </c>
      <c r="R397" s="1" t="s">
        <v>857</v>
      </c>
      <c r="S397" s="1" t="s">
        <v>807</v>
      </c>
      <c r="T397" s="1" t="s">
        <v>813</v>
      </c>
      <c r="U397" s="9" t="s">
        <v>951</v>
      </c>
      <c r="V397" s="1" t="s">
        <v>952</v>
      </c>
      <c r="W397" s="1" t="s">
        <v>2029</v>
      </c>
      <c r="X397" s="1" t="s">
        <v>562</v>
      </c>
      <c r="Y397" s="14">
        <v>45811</v>
      </c>
      <c r="Z397" s="9" t="s">
        <v>817</v>
      </c>
      <c r="AB397" s="14">
        <v>45811</v>
      </c>
      <c r="AC397" s="9" t="s">
        <v>817</v>
      </c>
      <c r="AD397" s="9" t="s">
        <v>818</v>
      </c>
      <c r="AE397" s="1" t="s">
        <v>819</v>
      </c>
      <c r="AF397" s="14" t="s">
        <v>820</v>
      </c>
      <c r="AG397" s="9" t="s">
        <v>821</v>
      </c>
      <c r="AH397" s="1" t="s">
        <v>9</v>
      </c>
      <c r="AI397" s="9" t="s">
        <v>10</v>
      </c>
      <c r="AJ397" s="1" t="s">
        <v>11</v>
      </c>
      <c r="AK397" s="1" t="s">
        <v>2030</v>
      </c>
      <c r="AL397" s="1" t="s">
        <v>2031</v>
      </c>
      <c r="AM397" s="9">
        <v>11748</v>
      </c>
      <c r="AN397" s="1" t="s">
        <v>389</v>
      </c>
      <c r="AO397" s="1" t="s">
        <v>500</v>
      </c>
      <c r="AP397" s="1" t="s">
        <v>1896</v>
      </c>
      <c r="AQ397" s="14">
        <v>45811</v>
      </c>
      <c r="AU397" s="14">
        <v>45811</v>
      </c>
      <c r="AV397" s="16">
        <v>0</v>
      </c>
      <c r="AW397" s="16">
        <v>0</v>
      </c>
      <c r="BA397" s="1" t="s">
        <v>911</v>
      </c>
      <c r="BB397" s="9">
        <v>21</v>
      </c>
      <c r="BC397" s="1" t="s">
        <v>1731</v>
      </c>
      <c r="BD397" s="9" t="s">
        <v>807</v>
      </c>
      <c r="BE397" s="1" t="s">
        <v>1630</v>
      </c>
      <c r="BF397" s="1" t="s">
        <v>384</v>
      </c>
      <c r="BG397" s="1" t="s">
        <v>1631</v>
      </c>
      <c r="BH397" s="1" t="s">
        <v>1632</v>
      </c>
      <c r="BI397" s="20" t="s">
        <v>2068</v>
      </c>
      <c r="BJ397" s="21" t="str">
        <f t="shared" si="7"/>
        <v>FIXO</v>
      </c>
    </row>
    <row r="398" spans="1:62" x14ac:dyDescent="0.25">
      <c r="A398" s="7">
        <v>6</v>
      </c>
      <c r="B398" s="1" t="s">
        <v>41</v>
      </c>
      <c r="C398" s="8">
        <v>9</v>
      </c>
      <c r="D398" s="9" t="s">
        <v>807</v>
      </c>
      <c r="E398" s="10">
        <v>20909</v>
      </c>
      <c r="F398" s="11" t="s">
        <v>2070</v>
      </c>
      <c r="G398" s="12" t="s">
        <v>71</v>
      </c>
      <c r="H398" s="13" t="str">
        <f>VLOOKUP(AP398,[1]Listas!A:B,2,0)</f>
        <v xml:space="preserve">FBLA </v>
      </c>
      <c r="I398" s="1" t="s">
        <v>384</v>
      </c>
      <c r="J398" s="12"/>
      <c r="K398" s="12"/>
      <c r="L398" s="12" t="s">
        <v>612</v>
      </c>
      <c r="M398" s="1" t="s">
        <v>585</v>
      </c>
      <c r="N398" s="14">
        <v>35338</v>
      </c>
      <c r="O398" s="1" t="s">
        <v>855</v>
      </c>
      <c r="P398" s="1" t="s">
        <v>856</v>
      </c>
      <c r="Q398" s="15" t="s">
        <v>807</v>
      </c>
      <c r="R398" s="1" t="s">
        <v>857</v>
      </c>
      <c r="S398" s="1" t="s">
        <v>868</v>
      </c>
      <c r="T398" s="1" t="s">
        <v>869</v>
      </c>
      <c r="U398" s="9" t="s">
        <v>951</v>
      </c>
      <c r="V398" s="1" t="s">
        <v>952</v>
      </c>
      <c r="W398" s="1" t="s">
        <v>2029</v>
      </c>
      <c r="X398" s="1" t="s">
        <v>562</v>
      </c>
      <c r="Y398" s="14">
        <v>45811</v>
      </c>
      <c r="Z398" s="9" t="s">
        <v>817</v>
      </c>
      <c r="AB398" s="14">
        <v>45811</v>
      </c>
      <c r="AC398" s="9" t="s">
        <v>817</v>
      </c>
      <c r="AD398" s="9" t="s">
        <v>818</v>
      </c>
      <c r="AE398" s="1" t="s">
        <v>819</v>
      </c>
      <c r="AF398" s="14" t="s">
        <v>820</v>
      </c>
      <c r="AG398" s="9" t="s">
        <v>821</v>
      </c>
      <c r="AH398" s="1" t="s">
        <v>9</v>
      </c>
      <c r="AI398" s="9" t="s">
        <v>10</v>
      </c>
      <c r="AJ398" s="1" t="s">
        <v>11</v>
      </c>
      <c r="AK398" s="1" t="s">
        <v>2030</v>
      </c>
      <c r="AL398" s="1" t="s">
        <v>2031</v>
      </c>
      <c r="AM398" s="9">
        <v>11748</v>
      </c>
      <c r="AN398" s="1" t="s">
        <v>389</v>
      </c>
      <c r="AO398" s="1" t="s">
        <v>500</v>
      </c>
      <c r="AP398" s="1" t="s">
        <v>1896</v>
      </c>
      <c r="AQ398" s="14">
        <v>45811</v>
      </c>
      <c r="AU398" s="14">
        <v>45811</v>
      </c>
      <c r="AV398" s="16">
        <v>0</v>
      </c>
      <c r="AW398" s="16">
        <v>0</v>
      </c>
      <c r="BA398" s="1" t="s">
        <v>911</v>
      </c>
      <c r="BB398" s="9">
        <v>21</v>
      </c>
      <c r="BC398" s="1" t="s">
        <v>1731</v>
      </c>
      <c r="BD398" s="9" t="s">
        <v>807</v>
      </c>
      <c r="BE398" s="1" t="s">
        <v>1630</v>
      </c>
      <c r="BF398" s="1" t="s">
        <v>384</v>
      </c>
      <c r="BG398" s="1" t="s">
        <v>1631</v>
      </c>
      <c r="BH398" s="1" t="s">
        <v>1632</v>
      </c>
      <c r="BI398" s="20" t="s">
        <v>894</v>
      </c>
      <c r="BJ398" s="21" t="str">
        <f t="shared" si="7"/>
        <v>FIXO</v>
      </c>
    </row>
    <row r="399" spans="1:62" x14ac:dyDescent="0.25">
      <c r="A399" s="7">
        <v>6</v>
      </c>
      <c r="B399" s="1" t="s">
        <v>41</v>
      </c>
      <c r="C399" s="8">
        <v>6</v>
      </c>
      <c r="D399" s="9" t="s">
        <v>807</v>
      </c>
      <c r="E399" s="10">
        <v>20912</v>
      </c>
      <c r="F399" s="11" t="s">
        <v>2071</v>
      </c>
      <c r="G399" s="12" t="s">
        <v>271</v>
      </c>
      <c r="H399" s="13" t="str">
        <f>VLOOKUP(AP399,[1]Listas!A:B,2,0)</f>
        <v xml:space="preserve">FSTV </v>
      </c>
      <c r="I399" s="1" t="s">
        <v>440</v>
      </c>
      <c r="J399" s="12"/>
      <c r="K399" s="12"/>
      <c r="L399" s="1" t="s">
        <v>440</v>
      </c>
      <c r="M399" s="1" t="s">
        <v>586</v>
      </c>
      <c r="N399" s="14">
        <v>35223</v>
      </c>
      <c r="O399" s="1" t="s">
        <v>809</v>
      </c>
      <c r="P399" s="1" t="s">
        <v>810</v>
      </c>
      <c r="Q399" s="15" t="s">
        <v>811</v>
      </c>
      <c r="R399" s="1" t="s">
        <v>812</v>
      </c>
      <c r="S399" s="1" t="s">
        <v>868</v>
      </c>
      <c r="T399" s="1" t="s">
        <v>869</v>
      </c>
      <c r="U399" s="9" t="s">
        <v>814</v>
      </c>
      <c r="V399" s="1" t="s">
        <v>815</v>
      </c>
      <c r="W399" s="1" t="s">
        <v>1518</v>
      </c>
      <c r="X399" s="1" t="s">
        <v>339</v>
      </c>
      <c r="Y399" s="14">
        <v>45811</v>
      </c>
      <c r="Z399" s="9" t="s">
        <v>817</v>
      </c>
      <c r="AB399" s="14">
        <v>45811</v>
      </c>
      <c r="AC399" s="9" t="s">
        <v>817</v>
      </c>
      <c r="AD399" s="9" t="s">
        <v>818</v>
      </c>
      <c r="AE399" s="1" t="s">
        <v>819</v>
      </c>
      <c r="AF399" s="14" t="s">
        <v>820</v>
      </c>
      <c r="AG399" s="9" t="s">
        <v>999</v>
      </c>
      <c r="AH399" s="1" t="s">
        <v>105</v>
      </c>
      <c r="AI399" s="9" t="s">
        <v>10</v>
      </c>
      <c r="AJ399" s="1" t="s">
        <v>11</v>
      </c>
      <c r="AK399" s="1" t="s">
        <v>1822</v>
      </c>
      <c r="AL399" s="1" t="s">
        <v>1823</v>
      </c>
      <c r="AM399" s="9">
        <v>11455</v>
      </c>
      <c r="AN399" s="1" t="s">
        <v>127</v>
      </c>
      <c r="AO399" s="1" t="s">
        <v>468</v>
      </c>
      <c r="AP399" s="1" t="s">
        <v>1824</v>
      </c>
      <c r="AQ399" s="14">
        <v>45811</v>
      </c>
      <c r="AU399" s="14">
        <v>45811</v>
      </c>
      <c r="AV399" s="16">
        <v>0</v>
      </c>
      <c r="AW399" s="16">
        <v>0</v>
      </c>
      <c r="BA399" s="1" t="s">
        <v>911</v>
      </c>
      <c r="BB399" s="9">
        <v>33</v>
      </c>
      <c r="BC399" s="1" t="s">
        <v>1825</v>
      </c>
      <c r="BD399" s="9" t="s">
        <v>807</v>
      </c>
      <c r="BE399" s="1" t="s">
        <v>850</v>
      </c>
      <c r="BF399" s="1" t="s">
        <v>27</v>
      </c>
      <c r="BG399" s="1" t="s">
        <v>851</v>
      </c>
      <c r="BH399" s="1" t="s">
        <v>852</v>
      </c>
      <c r="BI399" s="20" t="s">
        <v>1055</v>
      </c>
      <c r="BJ399" s="21" t="str">
        <f t="shared" si="7"/>
        <v>FIXO</v>
      </c>
    </row>
    <row r="400" spans="1:62" x14ac:dyDescent="0.25">
      <c r="A400" s="7">
        <v>6</v>
      </c>
      <c r="B400" s="1" t="s">
        <v>41</v>
      </c>
      <c r="C400" s="8">
        <v>6</v>
      </c>
      <c r="D400" s="9" t="s">
        <v>807</v>
      </c>
      <c r="E400" s="10">
        <v>20989</v>
      </c>
      <c r="F400" s="11" t="s">
        <v>2072</v>
      </c>
      <c r="G400" s="12" t="s">
        <v>271</v>
      </c>
      <c r="H400" s="13" t="str">
        <f>VLOOKUP(AP400,[1]Listas!A:B,2,0)</f>
        <v xml:space="preserve">FSTV </v>
      </c>
      <c r="I400" s="1" t="s">
        <v>440</v>
      </c>
      <c r="J400" s="12"/>
      <c r="K400" s="12"/>
      <c r="L400" s="12" t="s">
        <v>1744</v>
      </c>
      <c r="M400" s="1" t="s">
        <v>2073</v>
      </c>
      <c r="N400" s="14">
        <v>38450</v>
      </c>
      <c r="O400" s="1" t="s">
        <v>855</v>
      </c>
      <c r="P400" s="1" t="s">
        <v>856</v>
      </c>
      <c r="Q400" s="15" t="s">
        <v>807</v>
      </c>
      <c r="R400" s="1" t="s">
        <v>857</v>
      </c>
      <c r="S400" s="1" t="s">
        <v>807</v>
      </c>
      <c r="T400" s="1" t="s">
        <v>813</v>
      </c>
      <c r="U400" s="9" t="s">
        <v>868</v>
      </c>
      <c r="V400" s="1" t="s">
        <v>913</v>
      </c>
      <c r="W400" s="1" t="s">
        <v>1334</v>
      </c>
      <c r="X400" s="1" t="s">
        <v>274</v>
      </c>
      <c r="Y400" s="14">
        <v>45818</v>
      </c>
      <c r="Z400" s="9" t="s">
        <v>817</v>
      </c>
      <c r="AB400" s="14">
        <v>45818</v>
      </c>
      <c r="AC400" s="9" t="s">
        <v>817</v>
      </c>
      <c r="AD400" s="9" t="s">
        <v>818</v>
      </c>
      <c r="AE400" s="1" t="s">
        <v>819</v>
      </c>
      <c r="AF400" s="14" t="s">
        <v>820</v>
      </c>
      <c r="AG400" s="9" t="s">
        <v>821</v>
      </c>
      <c r="AH400" s="1" t="s">
        <v>9</v>
      </c>
      <c r="AI400" s="9" t="s">
        <v>10</v>
      </c>
      <c r="AJ400" s="1" t="s">
        <v>11</v>
      </c>
      <c r="AK400" s="1" t="s">
        <v>2074</v>
      </c>
      <c r="AL400" s="1" t="s">
        <v>2075</v>
      </c>
      <c r="AM400" s="9">
        <v>11478</v>
      </c>
      <c r="AN400" s="1" t="s">
        <v>2076</v>
      </c>
      <c r="AO400" s="1" t="s">
        <v>461</v>
      </c>
      <c r="AP400" s="1" t="s">
        <v>1806</v>
      </c>
      <c r="AQ400" s="14">
        <v>45818</v>
      </c>
      <c r="AU400" s="14">
        <v>45818</v>
      </c>
      <c r="AV400" s="16">
        <v>0</v>
      </c>
      <c r="AW400" s="16">
        <v>0</v>
      </c>
      <c r="BA400" s="1" t="s">
        <v>911</v>
      </c>
      <c r="BB400" s="9">
        <v>7</v>
      </c>
      <c r="BC400" s="1" t="s">
        <v>826</v>
      </c>
      <c r="BD400" s="9" t="s">
        <v>807</v>
      </c>
      <c r="BE400" s="1" t="s">
        <v>1017</v>
      </c>
      <c r="BI400" s="20" t="s">
        <v>878</v>
      </c>
      <c r="BJ400" s="21" t="str">
        <f t="shared" si="7"/>
        <v>FIXO</v>
      </c>
    </row>
    <row r="401" spans="1:62" x14ac:dyDescent="0.25">
      <c r="A401" s="7">
        <v>6</v>
      </c>
      <c r="B401" s="1" t="s">
        <v>41</v>
      </c>
      <c r="C401" s="8">
        <v>9</v>
      </c>
      <c r="D401" s="9" t="s">
        <v>807</v>
      </c>
      <c r="E401" s="10">
        <v>21026</v>
      </c>
      <c r="F401" s="11" t="s">
        <v>2077</v>
      </c>
      <c r="G401" s="12" t="s">
        <v>41</v>
      </c>
      <c r="H401" s="13" t="str">
        <f>VLOOKUP(AP401,[1]Listas!A:B,2,0)</f>
        <v xml:space="preserve">FBLA </v>
      </c>
      <c r="I401" s="1" t="s">
        <v>444</v>
      </c>
      <c r="J401" s="12"/>
      <c r="K401" s="12"/>
      <c r="L401" s="1" t="s">
        <v>437</v>
      </c>
      <c r="M401" s="1" t="s">
        <v>587</v>
      </c>
      <c r="N401" s="14">
        <v>34903</v>
      </c>
      <c r="O401" s="1" t="s">
        <v>855</v>
      </c>
      <c r="P401" s="1" t="s">
        <v>856</v>
      </c>
      <c r="Q401" s="15" t="s">
        <v>807</v>
      </c>
      <c r="R401" s="1" t="s">
        <v>857</v>
      </c>
      <c r="S401" s="1" t="s">
        <v>868</v>
      </c>
      <c r="T401" s="1" t="s">
        <v>869</v>
      </c>
      <c r="U401" s="9" t="s">
        <v>868</v>
      </c>
      <c r="V401" s="1" t="s">
        <v>913</v>
      </c>
      <c r="W401" s="1" t="s">
        <v>871</v>
      </c>
      <c r="X401" s="1" t="s">
        <v>34</v>
      </c>
      <c r="Y401" s="14">
        <v>45819</v>
      </c>
      <c r="Z401" s="9" t="s">
        <v>817</v>
      </c>
      <c r="AB401" s="14">
        <v>45819</v>
      </c>
      <c r="AC401" s="9" t="s">
        <v>817</v>
      </c>
      <c r="AD401" s="9" t="s">
        <v>818</v>
      </c>
      <c r="AE401" s="1" t="s">
        <v>819</v>
      </c>
      <c r="AF401" s="14" t="s">
        <v>820</v>
      </c>
      <c r="AG401" s="9" t="s">
        <v>821</v>
      </c>
      <c r="AH401" s="1" t="s">
        <v>9</v>
      </c>
      <c r="AI401" s="9" t="s">
        <v>10</v>
      </c>
      <c r="AJ401" s="1" t="s">
        <v>11</v>
      </c>
      <c r="AK401" s="1" t="s">
        <v>1777</v>
      </c>
      <c r="AL401" s="1" t="s">
        <v>1778</v>
      </c>
      <c r="AM401" s="9">
        <v>11780</v>
      </c>
      <c r="AN401" s="1" t="s">
        <v>293</v>
      </c>
      <c r="AO401" s="1" t="s">
        <v>436</v>
      </c>
      <c r="AP401" s="1" t="s">
        <v>1737</v>
      </c>
      <c r="AQ401" s="14">
        <v>45819</v>
      </c>
      <c r="AU401" s="14">
        <v>45819</v>
      </c>
      <c r="AV401" s="16">
        <v>0</v>
      </c>
      <c r="AW401" s="16">
        <v>0</v>
      </c>
      <c r="BA401" s="1" t="s">
        <v>911</v>
      </c>
      <c r="BB401" s="9">
        <v>7</v>
      </c>
      <c r="BC401" s="1" t="s">
        <v>826</v>
      </c>
      <c r="BD401" s="9" t="s">
        <v>807</v>
      </c>
      <c r="BE401" s="1" t="s">
        <v>1738</v>
      </c>
      <c r="BF401" s="1" t="s">
        <v>437</v>
      </c>
      <c r="BG401" s="1" t="s">
        <v>1739</v>
      </c>
      <c r="BH401" s="1" t="s">
        <v>1740</v>
      </c>
      <c r="BI401" s="20" t="s">
        <v>866</v>
      </c>
      <c r="BJ401" s="21" t="str">
        <f t="shared" si="7"/>
        <v>FIXO</v>
      </c>
    </row>
    <row r="402" spans="1:62" x14ac:dyDescent="0.25">
      <c r="A402" s="7">
        <v>6</v>
      </c>
      <c r="B402" s="1" t="s">
        <v>41</v>
      </c>
      <c r="C402" s="8">
        <v>5</v>
      </c>
      <c r="D402" s="9" t="s">
        <v>807</v>
      </c>
      <c r="E402" s="10">
        <v>21071</v>
      </c>
      <c r="F402" s="11" t="s">
        <v>2078</v>
      </c>
      <c r="G402" s="1" t="s">
        <v>41</v>
      </c>
      <c r="H402" s="13" t="str">
        <f>VLOOKUP(AP402,[1]Listas!A:B,2,0)</f>
        <v xml:space="preserve">FESP </v>
      </c>
      <c r="I402" s="1" t="s">
        <v>38</v>
      </c>
      <c r="J402" s="12"/>
      <c r="K402" s="1" t="s">
        <v>245</v>
      </c>
      <c r="L402" s="1" t="s">
        <v>136</v>
      </c>
      <c r="M402" s="1" t="s">
        <v>588</v>
      </c>
      <c r="N402" s="14">
        <v>34361</v>
      </c>
      <c r="O402" s="1" t="s">
        <v>855</v>
      </c>
      <c r="P402" s="1" t="s">
        <v>856</v>
      </c>
      <c r="Q402" s="15" t="s">
        <v>807</v>
      </c>
      <c r="R402" s="1" t="s">
        <v>857</v>
      </c>
      <c r="S402" s="1" t="s">
        <v>868</v>
      </c>
      <c r="T402" s="1" t="s">
        <v>869</v>
      </c>
      <c r="U402" s="9" t="s">
        <v>814</v>
      </c>
      <c r="V402" s="1" t="s">
        <v>815</v>
      </c>
      <c r="W402" s="1" t="s">
        <v>925</v>
      </c>
      <c r="X402" s="1" t="s">
        <v>61</v>
      </c>
      <c r="Y402" s="14">
        <v>45881</v>
      </c>
      <c r="Z402" s="9" t="s">
        <v>817</v>
      </c>
      <c r="AB402" s="14">
        <v>45881</v>
      </c>
      <c r="AC402" s="9" t="s">
        <v>817</v>
      </c>
      <c r="AD402" s="9" t="s">
        <v>818</v>
      </c>
      <c r="AE402" s="1" t="s">
        <v>819</v>
      </c>
      <c r="AF402" s="14" t="s">
        <v>820</v>
      </c>
      <c r="AG402" s="9" t="s">
        <v>821</v>
      </c>
      <c r="AH402" s="1" t="s">
        <v>9</v>
      </c>
      <c r="AI402" s="9" t="s">
        <v>10</v>
      </c>
      <c r="AJ402" s="1" t="s">
        <v>11</v>
      </c>
      <c r="AK402" s="1" t="s">
        <v>2079</v>
      </c>
      <c r="AL402" s="1" t="s">
        <v>2080</v>
      </c>
      <c r="AM402" s="9">
        <v>11390</v>
      </c>
      <c r="AN402" s="1" t="s">
        <v>589</v>
      </c>
      <c r="AO402" s="1" t="s">
        <v>63</v>
      </c>
      <c r="AP402" s="1" t="s">
        <v>928</v>
      </c>
      <c r="AQ402" s="14">
        <v>45881</v>
      </c>
      <c r="AU402" s="14">
        <v>45881</v>
      </c>
      <c r="AV402" s="16">
        <v>0</v>
      </c>
      <c r="AW402" s="16">
        <v>0</v>
      </c>
      <c r="BA402" s="1" t="s">
        <v>911</v>
      </c>
      <c r="BB402" s="9">
        <v>40</v>
      </c>
      <c r="BC402" s="1" t="s">
        <v>2081</v>
      </c>
      <c r="BD402" s="9" t="s">
        <v>807</v>
      </c>
      <c r="BE402" s="1" t="s">
        <v>1797</v>
      </c>
      <c r="BF402" s="1" t="s">
        <v>136</v>
      </c>
      <c r="BG402" s="1" t="s">
        <v>1070</v>
      </c>
      <c r="BH402" s="1" t="s">
        <v>1071</v>
      </c>
      <c r="BI402" s="1" t="s">
        <v>1073</v>
      </c>
      <c r="BJ402" s="21" t="str">
        <f t="shared" si="7"/>
        <v>FIXO</v>
      </c>
    </row>
    <row r="403" spans="1:62" x14ac:dyDescent="0.25">
      <c r="A403" s="7">
        <v>6</v>
      </c>
      <c r="B403" s="1" t="s">
        <v>41</v>
      </c>
      <c r="C403" s="8">
        <v>9</v>
      </c>
      <c r="D403" s="9" t="s">
        <v>807</v>
      </c>
      <c r="E403" s="10">
        <v>21121</v>
      </c>
      <c r="F403" s="11" t="s">
        <v>2082</v>
      </c>
      <c r="G403" s="12" t="s">
        <v>41</v>
      </c>
      <c r="H403" s="13" t="str">
        <f>VLOOKUP(AP403,[1]Listas!A:B,2,0)</f>
        <v xml:space="preserve">FBLA </v>
      </c>
      <c r="I403" s="1" t="s">
        <v>444</v>
      </c>
      <c r="J403" s="12"/>
      <c r="K403" s="12"/>
      <c r="L403" s="1" t="s">
        <v>444</v>
      </c>
      <c r="M403" s="1" t="s">
        <v>590</v>
      </c>
      <c r="N403" s="14">
        <v>29225</v>
      </c>
      <c r="O403" s="1" t="s">
        <v>855</v>
      </c>
      <c r="P403" s="1" t="s">
        <v>856</v>
      </c>
      <c r="Q403" s="15" t="s">
        <v>811</v>
      </c>
      <c r="R403" s="1" t="s">
        <v>812</v>
      </c>
      <c r="S403" s="1" t="s">
        <v>807</v>
      </c>
      <c r="T403" s="1" t="s">
        <v>813</v>
      </c>
      <c r="U403" s="9" t="s">
        <v>811</v>
      </c>
      <c r="V403" s="1" t="s">
        <v>870</v>
      </c>
      <c r="W403" s="1" t="s">
        <v>1123</v>
      </c>
      <c r="X403" s="1" t="s">
        <v>168</v>
      </c>
      <c r="Y403" s="14">
        <v>45831</v>
      </c>
      <c r="Z403" s="9" t="s">
        <v>817</v>
      </c>
      <c r="AB403" s="14">
        <v>45831</v>
      </c>
      <c r="AC403" s="9" t="s">
        <v>817</v>
      </c>
      <c r="AD403" s="9" t="s">
        <v>818</v>
      </c>
      <c r="AE403" s="1" t="s">
        <v>819</v>
      </c>
      <c r="AF403" s="14" t="s">
        <v>820</v>
      </c>
      <c r="AG403" s="9" t="s">
        <v>821</v>
      </c>
      <c r="AH403" s="1" t="s">
        <v>9</v>
      </c>
      <c r="AI403" s="9" t="s">
        <v>10</v>
      </c>
      <c r="AJ403" s="1" t="s">
        <v>11</v>
      </c>
      <c r="AK403" s="1" t="s">
        <v>1919</v>
      </c>
      <c r="AL403" s="1" t="s">
        <v>1920</v>
      </c>
      <c r="AM403" s="9">
        <v>11743</v>
      </c>
      <c r="AN403" s="1" t="s">
        <v>114</v>
      </c>
      <c r="AO403" s="1" t="s">
        <v>512</v>
      </c>
      <c r="AP403" s="1" t="s">
        <v>1921</v>
      </c>
      <c r="AQ403" s="14">
        <v>45831</v>
      </c>
      <c r="AU403" s="14">
        <v>45831</v>
      </c>
      <c r="AV403" s="16">
        <v>0</v>
      </c>
      <c r="AW403" s="16">
        <v>0</v>
      </c>
      <c r="BA403" s="1" t="s">
        <v>911</v>
      </c>
      <c r="BB403" s="9">
        <v>7</v>
      </c>
      <c r="BC403" s="1" t="s">
        <v>826</v>
      </c>
      <c r="BD403" s="9" t="s">
        <v>807</v>
      </c>
      <c r="BE403" s="1" t="s">
        <v>1738</v>
      </c>
      <c r="BF403" s="1" t="s">
        <v>437</v>
      </c>
      <c r="BG403" s="1" t="s">
        <v>1739</v>
      </c>
      <c r="BH403" s="1" t="s">
        <v>1740</v>
      </c>
      <c r="BI403" s="20" t="s">
        <v>983</v>
      </c>
      <c r="BJ403" s="21" t="str">
        <f t="shared" si="7"/>
        <v>FIXO</v>
      </c>
    </row>
    <row r="404" spans="1:62" x14ac:dyDescent="0.25">
      <c r="A404" s="7">
        <v>6</v>
      </c>
      <c r="B404" s="1" t="s">
        <v>41</v>
      </c>
      <c r="C404" s="8">
        <v>9</v>
      </c>
      <c r="D404" s="9" t="s">
        <v>807</v>
      </c>
      <c r="E404" s="10">
        <v>21193</v>
      </c>
      <c r="F404" s="11" t="s">
        <v>2083</v>
      </c>
      <c r="G404" s="12" t="s">
        <v>41</v>
      </c>
      <c r="H404" s="13" t="str">
        <f>VLOOKUP(AP404,[1]Listas!A:B,2,0)</f>
        <v xml:space="preserve">FBLA </v>
      </c>
      <c r="I404" s="1" t="s">
        <v>444</v>
      </c>
      <c r="J404" s="12"/>
      <c r="K404" s="12"/>
      <c r="L404" s="1" t="s">
        <v>444</v>
      </c>
      <c r="M404" s="1" t="s">
        <v>591</v>
      </c>
      <c r="N404" s="14">
        <v>31109</v>
      </c>
      <c r="O404" s="1" t="s">
        <v>809</v>
      </c>
      <c r="P404" s="1" t="s">
        <v>810</v>
      </c>
      <c r="Q404" s="15" t="s">
        <v>811</v>
      </c>
      <c r="R404" s="1" t="s">
        <v>812</v>
      </c>
      <c r="S404" s="1" t="s">
        <v>807</v>
      </c>
      <c r="T404" s="1" t="s">
        <v>813</v>
      </c>
      <c r="U404" s="9" t="s">
        <v>814</v>
      </c>
      <c r="V404" s="1" t="s">
        <v>815</v>
      </c>
      <c r="W404" s="1" t="s">
        <v>1220</v>
      </c>
      <c r="X404" s="1" t="s">
        <v>220</v>
      </c>
      <c r="Y404" s="14">
        <v>45874</v>
      </c>
      <c r="Z404" s="9" t="s">
        <v>817</v>
      </c>
      <c r="AB404" s="14">
        <v>45874</v>
      </c>
      <c r="AC404" s="9" t="s">
        <v>817</v>
      </c>
      <c r="AD404" s="9" t="s">
        <v>818</v>
      </c>
      <c r="AE404" s="1" t="s">
        <v>819</v>
      </c>
      <c r="AF404" s="14" t="s">
        <v>820</v>
      </c>
      <c r="AG404" s="9" t="s">
        <v>821</v>
      </c>
      <c r="AH404" s="1" t="s">
        <v>9</v>
      </c>
      <c r="AI404" s="9" t="s">
        <v>10</v>
      </c>
      <c r="AJ404" s="1" t="s">
        <v>11</v>
      </c>
      <c r="AK404" s="1" t="s">
        <v>2084</v>
      </c>
      <c r="AL404" s="1" t="s">
        <v>2085</v>
      </c>
      <c r="AM404" s="9">
        <v>11792</v>
      </c>
      <c r="AN404" s="1" t="s">
        <v>420</v>
      </c>
      <c r="AO404" s="1" t="s">
        <v>592</v>
      </c>
      <c r="AP404" s="1" t="s">
        <v>2086</v>
      </c>
      <c r="AQ404" s="14">
        <v>45874</v>
      </c>
      <c r="AU404" s="14">
        <v>45874</v>
      </c>
      <c r="AV404" s="16">
        <v>0</v>
      </c>
      <c r="AW404" s="16">
        <v>0</v>
      </c>
      <c r="BA404" s="1" t="s">
        <v>911</v>
      </c>
      <c r="BB404" s="9">
        <v>21</v>
      </c>
      <c r="BC404" s="1" t="s">
        <v>1731</v>
      </c>
      <c r="BD404" s="9" t="s">
        <v>807</v>
      </c>
      <c r="BE404" s="1" t="s">
        <v>850</v>
      </c>
      <c r="BF404" s="1" t="s">
        <v>27</v>
      </c>
      <c r="BG404" s="1" t="s">
        <v>851</v>
      </c>
      <c r="BH404" s="1" t="s">
        <v>852</v>
      </c>
      <c r="BI404" s="20" t="s">
        <v>1055</v>
      </c>
      <c r="BJ404" s="21" t="str">
        <f t="shared" si="7"/>
        <v>FIXO</v>
      </c>
    </row>
    <row r="405" spans="1:62" x14ac:dyDescent="0.25">
      <c r="A405" s="7">
        <v>6</v>
      </c>
      <c r="B405" s="1" t="s">
        <v>41</v>
      </c>
      <c r="C405" s="8">
        <v>9</v>
      </c>
      <c r="D405" s="9" t="s">
        <v>807</v>
      </c>
      <c r="E405" s="10">
        <v>21213</v>
      </c>
      <c r="F405" s="11" t="s">
        <v>2087</v>
      </c>
      <c r="G405" s="12" t="s">
        <v>41</v>
      </c>
      <c r="H405" s="13" t="str">
        <f>VLOOKUP(AP405,[1]Listas!A:B,2,0)</f>
        <v xml:space="preserve">FBLA </v>
      </c>
      <c r="I405" s="1" t="s">
        <v>444</v>
      </c>
      <c r="J405" s="12"/>
      <c r="K405" s="12"/>
      <c r="L405" s="1" t="s">
        <v>444</v>
      </c>
      <c r="M405" s="1" t="s">
        <v>2088</v>
      </c>
      <c r="N405" s="14">
        <v>34807</v>
      </c>
      <c r="O405" s="1" t="s">
        <v>855</v>
      </c>
      <c r="P405" s="1" t="s">
        <v>856</v>
      </c>
      <c r="Q405" s="15" t="s">
        <v>807</v>
      </c>
      <c r="R405" s="1" t="s">
        <v>857</v>
      </c>
      <c r="S405" s="1" t="s">
        <v>868</v>
      </c>
      <c r="T405" s="1" t="s">
        <v>869</v>
      </c>
      <c r="U405" s="9" t="s">
        <v>880</v>
      </c>
      <c r="V405" s="1" t="s">
        <v>881</v>
      </c>
      <c r="W405" s="1" t="s">
        <v>1123</v>
      </c>
      <c r="X405" s="1" t="s">
        <v>168</v>
      </c>
      <c r="Y405" s="14">
        <v>45846</v>
      </c>
      <c r="Z405" s="9" t="s">
        <v>817</v>
      </c>
      <c r="AB405" s="14">
        <v>45846</v>
      </c>
      <c r="AC405" s="9" t="s">
        <v>817</v>
      </c>
      <c r="AD405" s="9" t="s">
        <v>818</v>
      </c>
      <c r="AE405" s="1" t="s">
        <v>819</v>
      </c>
      <c r="AF405" s="14" t="s">
        <v>820</v>
      </c>
      <c r="AG405" s="9" t="s">
        <v>821</v>
      </c>
      <c r="AH405" s="1" t="s">
        <v>9</v>
      </c>
      <c r="AI405" s="9" t="s">
        <v>10</v>
      </c>
      <c r="AJ405" s="1" t="s">
        <v>11</v>
      </c>
      <c r="AK405" s="1" t="s">
        <v>1919</v>
      </c>
      <c r="AL405" s="1" t="s">
        <v>1920</v>
      </c>
      <c r="AM405" s="9">
        <v>11743</v>
      </c>
      <c r="AN405" s="1" t="s">
        <v>114</v>
      </c>
      <c r="AO405" s="1" t="s">
        <v>512</v>
      </c>
      <c r="AP405" s="1" t="s">
        <v>1921</v>
      </c>
      <c r="AQ405" s="14">
        <v>45846</v>
      </c>
      <c r="AU405" s="14">
        <v>45846</v>
      </c>
      <c r="AV405" s="16">
        <v>0</v>
      </c>
      <c r="AW405" s="16">
        <v>0</v>
      </c>
      <c r="BA405" s="1" t="s">
        <v>911</v>
      </c>
      <c r="BB405" s="9">
        <v>7</v>
      </c>
      <c r="BC405" s="1" t="s">
        <v>826</v>
      </c>
      <c r="BD405" s="9" t="s">
        <v>807</v>
      </c>
      <c r="BE405" s="1" t="s">
        <v>1738</v>
      </c>
      <c r="BF405" s="1" t="s">
        <v>437</v>
      </c>
      <c r="BG405" s="1" t="s">
        <v>1739</v>
      </c>
      <c r="BH405" s="1" t="s">
        <v>1740</v>
      </c>
      <c r="BI405" s="20" t="s">
        <v>983</v>
      </c>
      <c r="BJ405" s="21" t="str">
        <f t="shared" si="7"/>
        <v>FIXO</v>
      </c>
    </row>
    <row r="406" spans="1:62" x14ac:dyDescent="0.25">
      <c r="A406" s="7">
        <v>6</v>
      </c>
      <c r="B406" s="1" t="s">
        <v>41</v>
      </c>
      <c r="C406" s="8">
        <v>6</v>
      </c>
      <c r="D406" s="9" t="s">
        <v>807</v>
      </c>
      <c r="E406" s="10">
        <v>21215</v>
      </c>
      <c r="F406" s="11" t="s">
        <v>2089</v>
      </c>
      <c r="G406" s="12" t="s">
        <v>271</v>
      </c>
      <c r="H406" s="13" t="str">
        <f>VLOOKUP(AP406,[1]Listas!A:B,2,0)</f>
        <v xml:space="preserve">FSTV </v>
      </c>
      <c r="I406" s="1" t="s">
        <v>440</v>
      </c>
      <c r="J406" s="12"/>
      <c r="K406" s="12"/>
      <c r="L406" s="1" t="s">
        <v>440</v>
      </c>
      <c r="M406" s="1" t="s">
        <v>593</v>
      </c>
      <c r="N406" s="14">
        <v>34814</v>
      </c>
      <c r="O406" s="1" t="s">
        <v>855</v>
      </c>
      <c r="P406" s="1" t="s">
        <v>856</v>
      </c>
      <c r="Q406" s="15" t="s">
        <v>807</v>
      </c>
      <c r="R406" s="1" t="s">
        <v>857</v>
      </c>
      <c r="S406" s="1" t="s">
        <v>868</v>
      </c>
      <c r="T406" s="1" t="s">
        <v>869</v>
      </c>
      <c r="U406" s="9" t="s">
        <v>814</v>
      </c>
      <c r="V406" s="1" t="s">
        <v>815</v>
      </c>
      <c r="W406" s="1" t="s">
        <v>1123</v>
      </c>
      <c r="X406" s="1" t="s">
        <v>168</v>
      </c>
      <c r="Y406" s="14">
        <v>45839</v>
      </c>
      <c r="Z406" s="9" t="s">
        <v>817</v>
      </c>
      <c r="AB406" s="14">
        <v>45839</v>
      </c>
      <c r="AC406" s="9" t="s">
        <v>817</v>
      </c>
      <c r="AD406" s="9" t="s">
        <v>818</v>
      </c>
      <c r="AE406" s="1" t="s">
        <v>819</v>
      </c>
      <c r="AF406" s="14" t="s">
        <v>820</v>
      </c>
      <c r="AG406" s="9" t="s">
        <v>821</v>
      </c>
      <c r="AH406" s="1" t="s">
        <v>9</v>
      </c>
      <c r="AI406" s="9" t="s">
        <v>10</v>
      </c>
      <c r="AJ406" s="1" t="s">
        <v>11</v>
      </c>
      <c r="AK406" s="1" t="s">
        <v>1852</v>
      </c>
      <c r="AL406" s="1" t="s">
        <v>1853</v>
      </c>
      <c r="AM406" s="9">
        <v>11443</v>
      </c>
      <c r="AN406" s="1" t="s">
        <v>114</v>
      </c>
      <c r="AO406" s="1" t="s">
        <v>480</v>
      </c>
      <c r="AP406" s="1" t="s">
        <v>1847</v>
      </c>
      <c r="AQ406" s="14">
        <v>45839</v>
      </c>
      <c r="AU406" s="14">
        <v>45839</v>
      </c>
      <c r="AV406" s="16">
        <v>0</v>
      </c>
      <c r="AW406" s="16">
        <v>0</v>
      </c>
      <c r="BA406" s="1" t="s">
        <v>911</v>
      </c>
      <c r="BB406" s="9">
        <v>7</v>
      </c>
      <c r="BC406" s="1" t="s">
        <v>826</v>
      </c>
      <c r="BD406" s="9" t="s">
        <v>807</v>
      </c>
      <c r="BE406" s="1" t="s">
        <v>1766</v>
      </c>
      <c r="BF406" s="1" t="s">
        <v>450</v>
      </c>
      <c r="BG406" s="1" t="s">
        <v>1767</v>
      </c>
      <c r="BH406" s="1" t="s">
        <v>1768</v>
      </c>
      <c r="BI406" s="20" t="s">
        <v>983</v>
      </c>
      <c r="BJ406" s="21" t="str">
        <f t="shared" si="7"/>
        <v>FIXO</v>
      </c>
    </row>
    <row r="407" spans="1:62" x14ac:dyDescent="0.25">
      <c r="A407" s="7">
        <v>6</v>
      </c>
      <c r="B407" s="1" t="s">
        <v>41</v>
      </c>
      <c r="C407" s="8">
        <v>9</v>
      </c>
      <c r="D407" s="9" t="s">
        <v>807</v>
      </c>
      <c r="E407" s="10">
        <v>21262</v>
      </c>
      <c r="F407" s="11" t="s">
        <v>2090</v>
      </c>
      <c r="G407" s="12" t="s">
        <v>41</v>
      </c>
      <c r="H407" s="13" t="str">
        <f>VLOOKUP(AP407,[1]Listas!A:B,2,0)</f>
        <v xml:space="preserve">FBLA </v>
      </c>
      <c r="I407" s="1" t="s">
        <v>444</v>
      </c>
      <c r="J407" s="12"/>
      <c r="K407" s="12"/>
      <c r="L407" s="1" t="s">
        <v>437</v>
      </c>
      <c r="M407" s="1" t="s">
        <v>594</v>
      </c>
      <c r="N407" s="14">
        <v>33997</v>
      </c>
      <c r="O407" s="1" t="s">
        <v>855</v>
      </c>
      <c r="P407" s="1" t="s">
        <v>856</v>
      </c>
      <c r="Q407" s="15" t="s">
        <v>807</v>
      </c>
      <c r="R407" s="1" t="s">
        <v>857</v>
      </c>
      <c r="S407" s="1" t="s">
        <v>868</v>
      </c>
      <c r="T407" s="1" t="s">
        <v>869</v>
      </c>
      <c r="U407" s="9" t="s">
        <v>814</v>
      </c>
      <c r="V407" s="1" t="s">
        <v>815</v>
      </c>
      <c r="W407" s="1" t="s">
        <v>871</v>
      </c>
      <c r="X407" s="1" t="s">
        <v>34</v>
      </c>
      <c r="Y407" s="14">
        <v>45853</v>
      </c>
      <c r="Z407" s="9" t="s">
        <v>817</v>
      </c>
      <c r="AB407" s="14">
        <v>45853</v>
      </c>
      <c r="AC407" s="9" t="s">
        <v>817</v>
      </c>
      <c r="AD407" s="9" t="s">
        <v>818</v>
      </c>
      <c r="AE407" s="1" t="s">
        <v>819</v>
      </c>
      <c r="AF407" s="14" t="s">
        <v>820</v>
      </c>
      <c r="AG407" s="9" t="s">
        <v>821</v>
      </c>
      <c r="AH407" s="1" t="s">
        <v>9</v>
      </c>
      <c r="AI407" s="9" t="s">
        <v>10</v>
      </c>
      <c r="AJ407" s="1" t="s">
        <v>11</v>
      </c>
      <c r="AK407" s="1" t="s">
        <v>1777</v>
      </c>
      <c r="AL407" s="1" t="s">
        <v>1778</v>
      </c>
      <c r="AM407" s="9">
        <v>11780</v>
      </c>
      <c r="AN407" s="1" t="s">
        <v>293</v>
      </c>
      <c r="AO407" s="1" t="s">
        <v>436</v>
      </c>
      <c r="AP407" s="1" t="s">
        <v>1737</v>
      </c>
      <c r="AQ407" s="14">
        <v>45853</v>
      </c>
      <c r="AU407" s="14">
        <v>45853</v>
      </c>
      <c r="AV407" s="16">
        <v>0</v>
      </c>
      <c r="AW407" s="16">
        <v>0</v>
      </c>
      <c r="BA407" s="1" t="s">
        <v>911</v>
      </c>
      <c r="BB407" s="9">
        <v>7</v>
      </c>
      <c r="BC407" s="1" t="s">
        <v>826</v>
      </c>
      <c r="BD407" s="9" t="s">
        <v>807</v>
      </c>
      <c r="BE407" s="1" t="s">
        <v>1738</v>
      </c>
      <c r="BF407" s="1" t="s">
        <v>437</v>
      </c>
      <c r="BG407" s="1" t="s">
        <v>1739</v>
      </c>
      <c r="BH407" s="1" t="s">
        <v>1740</v>
      </c>
      <c r="BI407" s="25" t="s">
        <v>866</v>
      </c>
      <c r="BJ407" s="21" t="str">
        <f t="shared" si="7"/>
        <v>FIXO</v>
      </c>
    </row>
    <row r="408" spans="1:62" x14ac:dyDescent="0.25">
      <c r="A408" s="7">
        <v>6</v>
      </c>
      <c r="B408" s="1" t="s">
        <v>41</v>
      </c>
      <c r="C408" s="8">
        <v>9</v>
      </c>
      <c r="D408" s="9" t="s">
        <v>807</v>
      </c>
      <c r="E408" s="10">
        <v>21288</v>
      </c>
      <c r="F408" s="11" t="s">
        <v>2091</v>
      </c>
      <c r="G408" s="12" t="s">
        <v>41</v>
      </c>
      <c r="H408" s="13" t="str">
        <f>VLOOKUP(AP408,[1]Listas!A:B,2,0)</f>
        <v xml:space="preserve">FBLA </v>
      </c>
      <c r="I408" s="1" t="s">
        <v>444</v>
      </c>
      <c r="J408" s="12"/>
      <c r="K408" s="12"/>
      <c r="L408" s="1" t="s">
        <v>444</v>
      </c>
      <c r="M408" s="1" t="s">
        <v>595</v>
      </c>
      <c r="N408" s="14">
        <v>35245</v>
      </c>
      <c r="O408" s="1" t="s">
        <v>855</v>
      </c>
      <c r="P408" s="1" t="s">
        <v>856</v>
      </c>
      <c r="Q408" s="15" t="s">
        <v>807</v>
      </c>
      <c r="R408" s="1" t="s">
        <v>857</v>
      </c>
      <c r="S408" s="1" t="s">
        <v>868</v>
      </c>
      <c r="T408" s="1" t="s">
        <v>869</v>
      </c>
      <c r="U408" s="9" t="s">
        <v>868</v>
      </c>
      <c r="V408" s="1" t="s">
        <v>913</v>
      </c>
      <c r="W408" s="1" t="s">
        <v>1241</v>
      </c>
      <c r="X408" s="1" t="s">
        <v>230</v>
      </c>
      <c r="Y408" s="14">
        <v>45846</v>
      </c>
      <c r="Z408" s="9" t="s">
        <v>817</v>
      </c>
      <c r="AB408" s="14">
        <v>45846</v>
      </c>
      <c r="AC408" s="9" t="s">
        <v>817</v>
      </c>
      <c r="AD408" s="9" t="s">
        <v>818</v>
      </c>
      <c r="AE408" s="1" t="s">
        <v>819</v>
      </c>
      <c r="AF408" s="14" t="s">
        <v>820</v>
      </c>
      <c r="AG408" s="9" t="s">
        <v>821</v>
      </c>
      <c r="AH408" s="1" t="s">
        <v>9</v>
      </c>
      <c r="AI408" s="9" t="s">
        <v>10</v>
      </c>
      <c r="AJ408" s="1" t="s">
        <v>11</v>
      </c>
      <c r="AK408" s="1" t="s">
        <v>2092</v>
      </c>
      <c r="AL408" s="1" t="s">
        <v>2093</v>
      </c>
      <c r="AM408" s="9">
        <v>11760</v>
      </c>
      <c r="AN408" s="1" t="s">
        <v>230</v>
      </c>
      <c r="AO408" s="1" t="s">
        <v>524</v>
      </c>
      <c r="AP408" s="1" t="s">
        <v>1947</v>
      </c>
      <c r="AQ408" s="14">
        <v>45846</v>
      </c>
      <c r="AU408" s="14">
        <v>45846</v>
      </c>
      <c r="AV408" s="16">
        <v>0</v>
      </c>
      <c r="AW408" s="16">
        <v>0</v>
      </c>
      <c r="BA408" s="1" t="s">
        <v>911</v>
      </c>
      <c r="BB408" s="9">
        <v>1</v>
      </c>
      <c r="BC408" s="1" t="s">
        <v>862</v>
      </c>
      <c r="BD408" s="9" t="s">
        <v>807</v>
      </c>
      <c r="BE408" s="1" t="s">
        <v>1775</v>
      </c>
      <c r="BF408" s="1" t="s">
        <v>444</v>
      </c>
      <c r="BG408" s="1" t="s">
        <v>1770</v>
      </c>
      <c r="BH408" s="1" t="s">
        <v>1771</v>
      </c>
      <c r="BI408" s="20" t="s">
        <v>929</v>
      </c>
      <c r="BJ408" s="21" t="str">
        <f t="shared" si="7"/>
        <v>FIXO</v>
      </c>
    </row>
    <row r="409" spans="1:62" x14ac:dyDescent="0.25">
      <c r="A409" s="7">
        <v>6</v>
      </c>
      <c r="B409" s="1" t="s">
        <v>41</v>
      </c>
      <c r="C409" s="8">
        <v>9</v>
      </c>
      <c r="D409" s="9" t="s">
        <v>807</v>
      </c>
      <c r="E409" s="10">
        <v>21294</v>
      </c>
      <c r="F409" s="11" t="s">
        <v>2094</v>
      </c>
      <c r="G409" s="12" t="s">
        <v>41</v>
      </c>
      <c r="H409" s="13" t="str">
        <f>VLOOKUP(AP409,[1]Listas!A:B,2,0)</f>
        <v xml:space="preserve">FBLA </v>
      </c>
      <c r="I409" s="1" t="s">
        <v>444</v>
      </c>
      <c r="J409" s="12"/>
      <c r="K409" s="12"/>
      <c r="L409" s="1" t="s">
        <v>444</v>
      </c>
      <c r="M409" s="1" t="s">
        <v>596</v>
      </c>
      <c r="N409" s="14">
        <v>33876</v>
      </c>
      <c r="O409" s="1" t="s">
        <v>809</v>
      </c>
      <c r="P409" s="1" t="s">
        <v>810</v>
      </c>
      <c r="Q409" s="15" t="s">
        <v>807</v>
      </c>
      <c r="R409" s="1" t="s">
        <v>857</v>
      </c>
      <c r="S409" s="1" t="s">
        <v>868</v>
      </c>
      <c r="T409" s="1" t="s">
        <v>869</v>
      </c>
      <c r="U409" s="9" t="s">
        <v>880</v>
      </c>
      <c r="V409" s="1" t="s">
        <v>881</v>
      </c>
      <c r="W409" s="1" t="s">
        <v>1051</v>
      </c>
      <c r="X409" s="1" t="s">
        <v>126</v>
      </c>
      <c r="Y409" s="14">
        <v>45848</v>
      </c>
      <c r="Z409" s="9" t="s">
        <v>817</v>
      </c>
      <c r="AB409" s="14">
        <v>45848</v>
      </c>
      <c r="AC409" s="9" t="s">
        <v>817</v>
      </c>
      <c r="AD409" s="9" t="s">
        <v>818</v>
      </c>
      <c r="AE409" s="1" t="s">
        <v>819</v>
      </c>
      <c r="AF409" s="14" t="s">
        <v>820</v>
      </c>
      <c r="AG409" s="9" t="s">
        <v>821</v>
      </c>
      <c r="AH409" s="1" t="s">
        <v>9</v>
      </c>
      <c r="AI409" s="9" t="s">
        <v>10</v>
      </c>
      <c r="AJ409" s="1" t="s">
        <v>11</v>
      </c>
      <c r="AK409" s="1" t="s">
        <v>1899</v>
      </c>
      <c r="AL409" s="1" t="s">
        <v>1900</v>
      </c>
      <c r="AM409" s="9">
        <v>11791</v>
      </c>
      <c r="AN409" s="1" t="s">
        <v>407</v>
      </c>
      <c r="AO409" s="1" t="s">
        <v>502</v>
      </c>
      <c r="AP409" s="1" t="s">
        <v>1901</v>
      </c>
      <c r="AQ409" s="14">
        <v>45848</v>
      </c>
      <c r="AU409" s="14">
        <v>45848</v>
      </c>
      <c r="AV409" s="16">
        <v>0</v>
      </c>
      <c r="AW409" s="16">
        <v>0</v>
      </c>
      <c r="BA409" s="1" t="s">
        <v>911</v>
      </c>
      <c r="BB409" s="9">
        <v>32</v>
      </c>
      <c r="BC409" s="1" t="s">
        <v>1547</v>
      </c>
      <c r="BD409" s="9" t="s">
        <v>807</v>
      </c>
      <c r="BE409" s="1" t="s">
        <v>850</v>
      </c>
      <c r="BF409" s="23" t="s">
        <v>27</v>
      </c>
      <c r="BG409" s="1" t="s">
        <v>851</v>
      </c>
      <c r="BH409" s="1" t="s">
        <v>852</v>
      </c>
      <c r="BI409" s="20" t="s">
        <v>1055</v>
      </c>
      <c r="BJ409" s="21" t="str">
        <f t="shared" si="7"/>
        <v>FIXO</v>
      </c>
    </row>
    <row r="410" spans="1:62" x14ac:dyDescent="0.25">
      <c r="A410" s="7">
        <v>6</v>
      </c>
      <c r="B410" s="1" t="s">
        <v>41</v>
      </c>
      <c r="C410" s="8">
        <v>9</v>
      </c>
      <c r="D410" s="9" t="s">
        <v>807</v>
      </c>
      <c r="E410" s="10">
        <v>21335</v>
      </c>
      <c r="F410" s="11" t="s">
        <v>2095</v>
      </c>
      <c r="G410" s="12" t="s">
        <v>41</v>
      </c>
      <c r="H410" s="13" t="str">
        <f>VLOOKUP(AP410,[1]Listas!A:B,2,0)</f>
        <v xml:space="preserve">FBLA </v>
      </c>
      <c r="I410" s="1" t="s">
        <v>444</v>
      </c>
      <c r="J410" s="12"/>
      <c r="K410" s="12"/>
      <c r="L410" s="1" t="s">
        <v>444</v>
      </c>
      <c r="M410" s="1" t="s">
        <v>597</v>
      </c>
      <c r="N410" s="14">
        <v>33475</v>
      </c>
      <c r="O410" s="1" t="s">
        <v>855</v>
      </c>
      <c r="P410" s="1" t="s">
        <v>856</v>
      </c>
      <c r="Q410" s="15" t="s">
        <v>811</v>
      </c>
      <c r="R410" s="1" t="s">
        <v>812</v>
      </c>
      <c r="S410" s="1" t="s">
        <v>868</v>
      </c>
      <c r="T410" s="1" t="s">
        <v>869</v>
      </c>
      <c r="U410" s="9" t="s">
        <v>880</v>
      </c>
      <c r="V410" s="1" t="s">
        <v>881</v>
      </c>
      <c r="W410" s="1" t="s">
        <v>871</v>
      </c>
      <c r="X410" s="1" t="s">
        <v>34</v>
      </c>
      <c r="Y410" s="14">
        <v>45855</v>
      </c>
      <c r="Z410" s="9" t="s">
        <v>817</v>
      </c>
      <c r="AB410" s="14">
        <v>45855</v>
      </c>
      <c r="AC410" s="9" t="s">
        <v>817</v>
      </c>
      <c r="AD410" s="9" t="s">
        <v>818</v>
      </c>
      <c r="AE410" s="1" t="s">
        <v>819</v>
      </c>
      <c r="AF410" s="14" t="s">
        <v>820</v>
      </c>
      <c r="AG410" s="9" t="s">
        <v>821</v>
      </c>
      <c r="AH410" s="1" t="s">
        <v>9</v>
      </c>
      <c r="AI410" s="9" t="s">
        <v>10</v>
      </c>
      <c r="AJ410" s="1" t="s">
        <v>11</v>
      </c>
      <c r="AK410" s="1" t="s">
        <v>1837</v>
      </c>
      <c r="AL410" s="1" t="s">
        <v>1838</v>
      </c>
      <c r="AM410" s="9">
        <v>11743</v>
      </c>
      <c r="AN410" s="1" t="s">
        <v>114</v>
      </c>
      <c r="AO410" s="1" t="s">
        <v>436</v>
      </c>
      <c r="AP410" s="1" t="s">
        <v>1737</v>
      </c>
      <c r="AQ410" s="14">
        <v>45855</v>
      </c>
      <c r="AU410" s="14">
        <v>45855</v>
      </c>
      <c r="AV410" s="16">
        <v>0</v>
      </c>
      <c r="AW410" s="16">
        <v>0</v>
      </c>
      <c r="BA410" s="1" t="s">
        <v>911</v>
      </c>
      <c r="BB410" s="9">
        <v>7</v>
      </c>
      <c r="BC410" s="1" t="s">
        <v>826</v>
      </c>
      <c r="BD410" s="9" t="s">
        <v>807</v>
      </c>
      <c r="BE410" s="1" t="s">
        <v>1775</v>
      </c>
      <c r="BF410" s="1" t="s">
        <v>444</v>
      </c>
      <c r="BG410" s="1" t="s">
        <v>1770</v>
      </c>
      <c r="BH410" s="1" t="s">
        <v>1771</v>
      </c>
      <c r="BI410" s="25" t="s">
        <v>916</v>
      </c>
      <c r="BJ410" s="21" t="str">
        <f t="shared" si="7"/>
        <v>FIXO</v>
      </c>
    </row>
    <row r="411" spans="1:62" x14ac:dyDescent="0.25">
      <c r="A411" s="7">
        <v>6</v>
      </c>
      <c r="B411" s="1" t="s">
        <v>41</v>
      </c>
      <c r="C411" s="8">
        <v>9</v>
      </c>
      <c r="D411" s="9" t="s">
        <v>807</v>
      </c>
      <c r="E411" s="10">
        <v>21344</v>
      </c>
      <c r="F411" s="11" t="s">
        <v>2096</v>
      </c>
      <c r="G411" s="12" t="s">
        <v>1061</v>
      </c>
      <c r="H411" s="13" t="str">
        <f>VLOOKUP(AP411,[1]Listas!A:B,2,0)</f>
        <v xml:space="preserve">FBLA </v>
      </c>
      <c r="I411" s="12"/>
      <c r="J411" s="12"/>
      <c r="K411" s="12"/>
      <c r="L411" s="12"/>
      <c r="M411" s="1" t="s">
        <v>2097</v>
      </c>
      <c r="N411" s="14">
        <v>39074</v>
      </c>
      <c r="O411" s="1" t="s">
        <v>809</v>
      </c>
      <c r="P411" s="1" t="s">
        <v>810</v>
      </c>
      <c r="Q411" s="15" t="s">
        <v>807</v>
      </c>
      <c r="R411" s="1" t="s">
        <v>857</v>
      </c>
      <c r="S411" s="1" t="s">
        <v>868</v>
      </c>
      <c r="T411" s="1" t="s">
        <v>869</v>
      </c>
      <c r="U411" s="9" t="s">
        <v>814</v>
      </c>
      <c r="V411" s="1" t="s">
        <v>815</v>
      </c>
      <c r="W411" s="1" t="s">
        <v>2098</v>
      </c>
      <c r="X411" s="1" t="s">
        <v>2099</v>
      </c>
      <c r="Y411" s="14">
        <v>45853</v>
      </c>
      <c r="Z411" s="9" t="s">
        <v>817</v>
      </c>
      <c r="AB411" s="14">
        <v>45853</v>
      </c>
      <c r="AC411" s="9" t="s">
        <v>817</v>
      </c>
      <c r="AD411" s="9" t="s">
        <v>818</v>
      </c>
      <c r="AE411" s="1" t="s">
        <v>819</v>
      </c>
      <c r="AF411" s="14" t="s">
        <v>820</v>
      </c>
      <c r="AG411" s="9" t="s">
        <v>821</v>
      </c>
      <c r="AH411" s="1" t="s">
        <v>9</v>
      </c>
      <c r="AI411" s="9" t="s">
        <v>10</v>
      </c>
      <c r="AJ411" s="1" t="s">
        <v>11</v>
      </c>
      <c r="AK411" s="1" t="s">
        <v>2100</v>
      </c>
      <c r="AL411" s="1" t="s">
        <v>2101</v>
      </c>
      <c r="AM411" s="9">
        <v>11755</v>
      </c>
      <c r="AN411" s="1" t="s">
        <v>127</v>
      </c>
      <c r="AO411" s="1" t="s">
        <v>2102</v>
      </c>
      <c r="AP411" s="1" t="s">
        <v>2103</v>
      </c>
      <c r="AQ411" s="14">
        <v>45853</v>
      </c>
      <c r="AU411" s="14">
        <v>45853</v>
      </c>
      <c r="AV411" s="16">
        <v>0</v>
      </c>
      <c r="AW411" s="16">
        <v>0</v>
      </c>
      <c r="BA411" s="1" t="s">
        <v>911</v>
      </c>
      <c r="BB411" s="9">
        <v>32</v>
      </c>
      <c r="BC411" s="1" t="s">
        <v>1547</v>
      </c>
      <c r="BD411" s="9" t="s">
        <v>807</v>
      </c>
      <c r="BE411" s="1" t="s">
        <v>850</v>
      </c>
      <c r="BF411" s="1" t="s">
        <v>27</v>
      </c>
      <c r="BG411" s="1" t="s">
        <v>851</v>
      </c>
      <c r="BH411" s="1" t="s">
        <v>852</v>
      </c>
      <c r="BI411" s="27" t="s">
        <v>1066</v>
      </c>
      <c r="BJ411" s="26" t="str">
        <f t="shared" si="7"/>
        <v>SAFRISTA</v>
      </c>
    </row>
    <row r="412" spans="1:62" x14ac:dyDescent="0.25">
      <c r="A412" s="7">
        <v>6</v>
      </c>
      <c r="B412" s="1" t="s">
        <v>41</v>
      </c>
      <c r="C412" s="8">
        <v>9</v>
      </c>
      <c r="D412" s="9" t="s">
        <v>807</v>
      </c>
      <c r="E412" s="10">
        <v>21401</v>
      </c>
      <c r="F412" s="11" t="s">
        <v>2104</v>
      </c>
      <c r="G412" s="12" t="s">
        <v>71</v>
      </c>
      <c r="H412" s="13" t="str">
        <f>VLOOKUP(AP412,[1]Listas!A:B,2,0)</f>
        <v xml:space="preserve">FBLA </v>
      </c>
      <c r="I412" s="1" t="s">
        <v>384</v>
      </c>
      <c r="J412" s="12"/>
      <c r="K412" s="12"/>
      <c r="L412" s="12" t="s">
        <v>612</v>
      </c>
      <c r="M412" s="1" t="s">
        <v>598</v>
      </c>
      <c r="N412" s="14">
        <v>36028</v>
      </c>
      <c r="O412" s="1" t="s">
        <v>855</v>
      </c>
      <c r="P412" s="1" t="s">
        <v>856</v>
      </c>
      <c r="Q412" s="15" t="s">
        <v>807</v>
      </c>
      <c r="R412" s="1" t="s">
        <v>857</v>
      </c>
      <c r="S412" s="1" t="s">
        <v>811</v>
      </c>
      <c r="T412" s="1" t="s">
        <v>906</v>
      </c>
      <c r="U412" s="9" t="s">
        <v>814</v>
      </c>
      <c r="V412" s="1" t="s">
        <v>815</v>
      </c>
      <c r="W412" s="1" t="s">
        <v>1638</v>
      </c>
      <c r="X412" s="1" t="s">
        <v>388</v>
      </c>
      <c r="Y412" s="14">
        <v>45870</v>
      </c>
      <c r="Z412" s="9" t="s">
        <v>817</v>
      </c>
      <c r="AB412" s="14">
        <v>45870</v>
      </c>
      <c r="AC412" s="9" t="s">
        <v>817</v>
      </c>
      <c r="AD412" s="9" t="s">
        <v>818</v>
      </c>
      <c r="AE412" s="1" t="s">
        <v>819</v>
      </c>
      <c r="AF412" s="14" t="s">
        <v>820</v>
      </c>
      <c r="AG412" s="9" t="s">
        <v>821</v>
      </c>
      <c r="AH412" s="1" t="s">
        <v>9</v>
      </c>
      <c r="AI412" s="9" t="s">
        <v>10</v>
      </c>
      <c r="AJ412" s="1" t="s">
        <v>11</v>
      </c>
      <c r="AK412" s="1" t="s">
        <v>2011</v>
      </c>
      <c r="AL412" s="1" t="s">
        <v>2012</v>
      </c>
      <c r="AM412" s="9">
        <v>11741</v>
      </c>
      <c r="AN412" s="1" t="s">
        <v>516</v>
      </c>
      <c r="AO412" s="1" t="s">
        <v>517</v>
      </c>
      <c r="AP412" s="1" t="s">
        <v>1929</v>
      </c>
      <c r="AQ412" s="14">
        <v>45870</v>
      </c>
      <c r="AU412" s="14">
        <v>45870</v>
      </c>
      <c r="AV412" s="16">
        <v>0</v>
      </c>
      <c r="AW412" s="16">
        <v>0</v>
      </c>
      <c r="BA412" s="1" t="s">
        <v>911</v>
      </c>
      <c r="BB412" s="9">
        <v>21</v>
      </c>
      <c r="BC412" s="1" t="s">
        <v>1731</v>
      </c>
      <c r="BD412" s="9" t="s">
        <v>807</v>
      </c>
      <c r="BE412" s="1" t="s">
        <v>1630</v>
      </c>
      <c r="BF412" s="1" t="s">
        <v>384</v>
      </c>
      <c r="BG412" s="1" t="s">
        <v>1631</v>
      </c>
      <c r="BH412" s="1" t="s">
        <v>1632</v>
      </c>
      <c r="BI412" s="25" t="s">
        <v>2041</v>
      </c>
      <c r="BJ412" s="21" t="str">
        <f t="shared" si="7"/>
        <v>FIXO</v>
      </c>
    </row>
    <row r="413" spans="1:62" x14ac:dyDescent="0.25">
      <c r="A413" s="7">
        <v>6</v>
      </c>
      <c r="B413" s="1" t="s">
        <v>41</v>
      </c>
      <c r="C413" s="8">
        <v>9</v>
      </c>
      <c r="D413" s="9" t="s">
        <v>807</v>
      </c>
      <c r="E413" s="10">
        <v>21402</v>
      </c>
      <c r="F413" s="11" t="s">
        <v>2105</v>
      </c>
      <c r="G413" s="12" t="s">
        <v>41</v>
      </c>
      <c r="H413" s="13" t="str">
        <f>VLOOKUP(AP413,[1]Listas!A:B,2,0)</f>
        <v xml:space="preserve">FBLA </v>
      </c>
      <c r="I413" s="1" t="s">
        <v>444</v>
      </c>
      <c r="J413" s="12"/>
      <c r="K413" s="12"/>
      <c r="L413" s="1" t="s">
        <v>437</v>
      </c>
      <c r="M413" s="1" t="s">
        <v>599</v>
      </c>
      <c r="N413" s="14">
        <v>33792</v>
      </c>
      <c r="O413" s="1" t="s">
        <v>855</v>
      </c>
      <c r="P413" s="1" t="s">
        <v>856</v>
      </c>
      <c r="Q413" s="15" t="s">
        <v>811</v>
      </c>
      <c r="R413" s="1" t="s">
        <v>812</v>
      </c>
      <c r="S413" s="1" t="s">
        <v>868</v>
      </c>
      <c r="T413" s="1" t="s">
        <v>869</v>
      </c>
      <c r="U413" s="9" t="s">
        <v>951</v>
      </c>
      <c r="V413" s="1" t="s">
        <v>952</v>
      </c>
      <c r="W413" s="1" t="s">
        <v>871</v>
      </c>
      <c r="X413" s="1" t="s">
        <v>34</v>
      </c>
      <c r="Y413" s="14">
        <v>45870</v>
      </c>
      <c r="Z413" s="9" t="s">
        <v>817</v>
      </c>
      <c r="AB413" s="14">
        <v>45870</v>
      </c>
      <c r="AC413" s="9" t="s">
        <v>817</v>
      </c>
      <c r="AD413" s="9" t="s">
        <v>818</v>
      </c>
      <c r="AE413" s="1" t="s">
        <v>819</v>
      </c>
      <c r="AF413" s="14" t="s">
        <v>820</v>
      </c>
      <c r="AG413" s="9" t="s">
        <v>821</v>
      </c>
      <c r="AH413" s="1" t="s">
        <v>9</v>
      </c>
      <c r="AI413" s="9" t="s">
        <v>10</v>
      </c>
      <c r="AJ413" s="1" t="s">
        <v>11</v>
      </c>
      <c r="AK413" s="1" t="s">
        <v>1777</v>
      </c>
      <c r="AL413" s="1" t="s">
        <v>1778</v>
      </c>
      <c r="AM413" s="9">
        <v>11780</v>
      </c>
      <c r="AN413" s="1" t="s">
        <v>293</v>
      </c>
      <c r="AO413" s="1" t="s">
        <v>436</v>
      </c>
      <c r="AP413" s="1" t="s">
        <v>1737</v>
      </c>
      <c r="AQ413" s="14">
        <v>45870</v>
      </c>
      <c r="AU413" s="14">
        <v>45870</v>
      </c>
      <c r="AV413" s="16">
        <v>0</v>
      </c>
      <c r="AW413" s="16">
        <v>0</v>
      </c>
      <c r="BA413" s="1" t="s">
        <v>911</v>
      </c>
      <c r="BB413" s="9">
        <v>35</v>
      </c>
      <c r="BC413" s="1" t="s">
        <v>1555</v>
      </c>
      <c r="BD413" s="9" t="s">
        <v>807</v>
      </c>
      <c r="BE413" s="1" t="s">
        <v>1738</v>
      </c>
      <c r="BF413" s="1" t="s">
        <v>437</v>
      </c>
      <c r="BG413" s="1" t="s">
        <v>1739</v>
      </c>
      <c r="BH413" s="1" t="s">
        <v>1740</v>
      </c>
      <c r="BI413" s="25" t="s">
        <v>866</v>
      </c>
      <c r="BJ413" s="21" t="str">
        <f t="shared" ref="BJ413:BJ427" si="8">IF(NOT(ISERROR(SEARCH("SAFRISTA",X413))),"SAFRISTA","FIXO")</f>
        <v>FIXO</v>
      </c>
    </row>
    <row r="414" spans="1:62" x14ac:dyDescent="0.25">
      <c r="A414" s="7">
        <v>6</v>
      </c>
      <c r="B414" s="1" t="s">
        <v>41</v>
      </c>
      <c r="C414" s="8">
        <v>9</v>
      </c>
      <c r="D414" s="9" t="s">
        <v>807</v>
      </c>
      <c r="E414" s="10">
        <v>21403</v>
      </c>
      <c r="F414" s="11" t="s">
        <v>2106</v>
      </c>
      <c r="G414" s="12" t="s">
        <v>71</v>
      </c>
      <c r="H414" s="13" t="str">
        <f>VLOOKUP(AP414,[1]Listas!A:B,2,0)</f>
        <v xml:space="preserve">FBLA </v>
      </c>
      <c r="I414" s="1" t="s">
        <v>384</v>
      </c>
      <c r="J414" s="12"/>
      <c r="K414" s="12"/>
      <c r="L414" s="12" t="s">
        <v>612</v>
      </c>
      <c r="M414" s="1" t="s">
        <v>600</v>
      </c>
      <c r="N414" s="14">
        <v>36082</v>
      </c>
      <c r="O414" s="1" t="s">
        <v>855</v>
      </c>
      <c r="P414" s="1" t="s">
        <v>856</v>
      </c>
      <c r="Q414" s="15" t="s">
        <v>807</v>
      </c>
      <c r="R414" s="1" t="s">
        <v>857</v>
      </c>
      <c r="S414" s="1" t="s">
        <v>868</v>
      </c>
      <c r="T414" s="1" t="s">
        <v>869</v>
      </c>
      <c r="U414" s="9" t="s">
        <v>868</v>
      </c>
      <c r="V414" s="1" t="s">
        <v>913</v>
      </c>
      <c r="W414" s="1" t="s">
        <v>2029</v>
      </c>
      <c r="X414" s="1" t="s">
        <v>562</v>
      </c>
      <c r="Y414" s="14">
        <v>45870</v>
      </c>
      <c r="Z414" s="9" t="s">
        <v>817</v>
      </c>
      <c r="AB414" s="14">
        <v>45870</v>
      </c>
      <c r="AC414" s="9" t="s">
        <v>817</v>
      </c>
      <c r="AD414" s="9" t="s">
        <v>818</v>
      </c>
      <c r="AE414" s="1" t="s">
        <v>819</v>
      </c>
      <c r="AF414" s="14" t="s">
        <v>820</v>
      </c>
      <c r="AG414" s="9" t="s">
        <v>821</v>
      </c>
      <c r="AH414" s="1" t="s">
        <v>9</v>
      </c>
      <c r="AI414" s="9" t="s">
        <v>10</v>
      </c>
      <c r="AJ414" s="1" t="s">
        <v>11</v>
      </c>
      <c r="AK414" s="1" t="s">
        <v>2030</v>
      </c>
      <c r="AL414" s="1" t="s">
        <v>2031</v>
      </c>
      <c r="AM414" s="9">
        <v>11748</v>
      </c>
      <c r="AN414" s="1" t="s">
        <v>389</v>
      </c>
      <c r="AO414" s="1" t="s">
        <v>500</v>
      </c>
      <c r="AP414" s="1" t="s">
        <v>1896</v>
      </c>
      <c r="AQ414" s="14">
        <v>45870</v>
      </c>
      <c r="AU414" s="14">
        <v>45870</v>
      </c>
      <c r="AV414" s="16">
        <v>0</v>
      </c>
      <c r="AW414" s="16">
        <v>0</v>
      </c>
      <c r="BA414" s="1" t="s">
        <v>911</v>
      </c>
      <c r="BB414" s="9">
        <v>36</v>
      </c>
      <c r="BC414" s="1" t="s">
        <v>1729</v>
      </c>
      <c r="BD414" s="9" t="s">
        <v>807</v>
      </c>
      <c r="BE414" s="1" t="s">
        <v>1630</v>
      </c>
      <c r="BF414" s="1" t="s">
        <v>384</v>
      </c>
      <c r="BG414" s="1" t="s">
        <v>1631</v>
      </c>
      <c r="BH414" s="1" t="s">
        <v>1632</v>
      </c>
      <c r="BI414" s="20" t="s">
        <v>894</v>
      </c>
      <c r="BJ414" s="21" t="str">
        <f t="shared" si="8"/>
        <v>FIXO</v>
      </c>
    </row>
    <row r="415" spans="1:62" x14ac:dyDescent="0.25">
      <c r="A415" s="7">
        <v>6</v>
      </c>
      <c r="B415" s="1" t="s">
        <v>41</v>
      </c>
      <c r="C415" s="8">
        <v>9</v>
      </c>
      <c r="D415" s="9" t="s">
        <v>807</v>
      </c>
      <c r="E415" s="10">
        <v>21406</v>
      </c>
      <c r="F415" s="11" t="s">
        <v>2107</v>
      </c>
      <c r="G415" s="12" t="s">
        <v>1061</v>
      </c>
      <c r="H415" s="13" t="str">
        <f>VLOOKUP(AP415,[1]Listas!A:B,2,0)</f>
        <v xml:space="preserve">FBLA </v>
      </c>
      <c r="I415" s="12"/>
      <c r="J415" s="12"/>
      <c r="K415" s="12"/>
      <c r="L415" s="12"/>
      <c r="M415" s="1" t="s">
        <v>2108</v>
      </c>
      <c r="N415" s="14">
        <v>34909</v>
      </c>
      <c r="O415" s="1" t="s">
        <v>855</v>
      </c>
      <c r="P415" s="1" t="s">
        <v>856</v>
      </c>
      <c r="Q415" s="15" t="s">
        <v>807</v>
      </c>
      <c r="R415" s="1" t="s">
        <v>857</v>
      </c>
      <c r="S415" s="1" t="s">
        <v>868</v>
      </c>
      <c r="T415" s="1" t="s">
        <v>869</v>
      </c>
      <c r="U415" s="9" t="s">
        <v>814</v>
      </c>
      <c r="V415" s="1" t="s">
        <v>815</v>
      </c>
      <c r="W415" s="1" t="s">
        <v>1541</v>
      </c>
      <c r="X415" s="1" t="s">
        <v>349</v>
      </c>
      <c r="Y415" s="14">
        <v>45874</v>
      </c>
      <c r="Z415" s="9" t="s">
        <v>817</v>
      </c>
      <c r="AB415" s="14">
        <v>45874</v>
      </c>
      <c r="AC415" s="9" t="s">
        <v>817</v>
      </c>
      <c r="AD415" s="9" t="s">
        <v>818</v>
      </c>
      <c r="AE415" s="1" t="s">
        <v>819</v>
      </c>
      <c r="AF415" s="14" t="s">
        <v>820</v>
      </c>
      <c r="AG415" s="9" t="s">
        <v>821</v>
      </c>
      <c r="AH415" s="1" t="s">
        <v>9</v>
      </c>
      <c r="AI415" s="9" t="s">
        <v>10</v>
      </c>
      <c r="AJ415" s="1" t="s">
        <v>11</v>
      </c>
      <c r="AK415" s="1" t="s">
        <v>2109</v>
      </c>
      <c r="AL415" s="1" t="s">
        <v>2110</v>
      </c>
      <c r="AM415" s="9">
        <v>11743</v>
      </c>
      <c r="AN415" s="1" t="s">
        <v>114</v>
      </c>
      <c r="AO415" s="1" t="s">
        <v>602</v>
      </c>
      <c r="AP415" s="1" t="s">
        <v>2111</v>
      </c>
      <c r="AQ415" s="14">
        <v>45874</v>
      </c>
      <c r="AU415" s="14">
        <v>45874</v>
      </c>
      <c r="AV415" s="16">
        <v>0</v>
      </c>
      <c r="AW415" s="16">
        <v>0</v>
      </c>
      <c r="BA415" s="1" t="s">
        <v>911</v>
      </c>
      <c r="BB415" s="9">
        <v>35</v>
      </c>
      <c r="BC415" s="1" t="s">
        <v>1555</v>
      </c>
      <c r="BD415" s="9" t="s">
        <v>807</v>
      </c>
      <c r="BE415" s="1" t="s">
        <v>1738</v>
      </c>
      <c r="BF415" s="1" t="s">
        <v>437</v>
      </c>
      <c r="BG415" s="1" t="s">
        <v>1739</v>
      </c>
      <c r="BH415" s="1" t="s">
        <v>1740</v>
      </c>
      <c r="BI415" s="27" t="s">
        <v>1066</v>
      </c>
      <c r="BJ415" s="26" t="str">
        <f t="shared" si="8"/>
        <v>SAFRISTA</v>
      </c>
    </row>
    <row r="416" spans="1:62" x14ac:dyDescent="0.25">
      <c r="A416" s="7">
        <v>6</v>
      </c>
      <c r="B416" s="1" t="s">
        <v>41</v>
      </c>
      <c r="C416" s="8">
        <v>9</v>
      </c>
      <c r="D416" s="9" t="s">
        <v>807</v>
      </c>
      <c r="E416" s="10">
        <v>21412</v>
      </c>
      <c r="F416" s="11" t="s">
        <v>2112</v>
      </c>
      <c r="G416" s="12" t="s">
        <v>1061</v>
      </c>
      <c r="H416" s="13" t="str">
        <f>VLOOKUP(AP416,[1]Listas!A:B,2,0)</f>
        <v xml:space="preserve">FBLA </v>
      </c>
      <c r="I416" s="12"/>
      <c r="J416" s="12"/>
      <c r="K416" s="12"/>
      <c r="L416" s="12"/>
      <c r="M416" s="1" t="s">
        <v>601</v>
      </c>
      <c r="N416" s="14">
        <v>38526</v>
      </c>
      <c r="O416" s="1" t="s">
        <v>855</v>
      </c>
      <c r="P416" s="1" t="s">
        <v>856</v>
      </c>
      <c r="Q416" s="15" t="s">
        <v>807</v>
      </c>
      <c r="R416" s="1" t="s">
        <v>857</v>
      </c>
      <c r="S416" s="1" t="s">
        <v>868</v>
      </c>
      <c r="T416" s="1" t="s">
        <v>869</v>
      </c>
      <c r="U416" s="9" t="s">
        <v>880</v>
      </c>
      <c r="V416" s="1" t="s">
        <v>881</v>
      </c>
      <c r="W416" s="1" t="s">
        <v>1541</v>
      </c>
      <c r="X416" s="1" t="s">
        <v>349</v>
      </c>
      <c r="Y416" s="14">
        <v>45870</v>
      </c>
      <c r="Z416" s="9" t="s">
        <v>817</v>
      </c>
      <c r="AB416" s="14">
        <v>45870</v>
      </c>
      <c r="AC416" s="9" t="s">
        <v>817</v>
      </c>
      <c r="AD416" s="9" t="s">
        <v>818</v>
      </c>
      <c r="AE416" s="1" t="s">
        <v>819</v>
      </c>
      <c r="AF416" s="14" t="s">
        <v>820</v>
      </c>
      <c r="AG416" s="9" t="s">
        <v>821</v>
      </c>
      <c r="AH416" s="1" t="s">
        <v>9</v>
      </c>
      <c r="AI416" s="9" t="s">
        <v>10</v>
      </c>
      <c r="AJ416" s="1" t="s">
        <v>11</v>
      </c>
      <c r="AK416" s="1" t="s">
        <v>2109</v>
      </c>
      <c r="AL416" s="1" t="s">
        <v>2110</v>
      </c>
      <c r="AM416" s="9">
        <v>11743</v>
      </c>
      <c r="AN416" s="1" t="s">
        <v>114</v>
      </c>
      <c r="AO416" s="1" t="s">
        <v>602</v>
      </c>
      <c r="AP416" s="1" t="s">
        <v>2111</v>
      </c>
      <c r="AQ416" s="14">
        <v>45870</v>
      </c>
      <c r="AU416" s="14">
        <v>45870</v>
      </c>
      <c r="AV416" s="16">
        <v>0</v>
      </c>
      <c r="AW416" s="16">
        <v>0</v>
      </c>
      <c r="BA416" s="1" t="s">
        <v>911</v>
      </c>
      <c r="BB416" s="9">
        <v>35</v>
      </c>
      <c r="BC416" s="1" t="s">
        <v>1555</v>
      </c>
      <c r="BD416" s="9" t="s">
        <v>807</v>
      </c>
      <c r="BE416" s="1" t="s">
        <v>1738</v>
      </c>
      <c r="BF416" s="1" t="s">
        <v>437</v>
      </c>
      <c r="BG416" s="1" t="s">
        <v>1739</v>
      </c>
      <c r="BH416" s="1" t="s">
        <v>1740</v>
      </c>
      <c r="BI416" s="27" t="s">
        <v>1066</v>
      </c>
      <c r="BJ416" s="26" t="str">
        <f t="shared" si="8"/>
        <v>SAFRISTA</v>
      </c>
    </row>
    <row r="417" spans="1:62" x14ac:dyDescent="0.25">
      <c r="A417" s="7">
        <v>6</v>
      </c>
      <c r="B417" s="1" t="s">
        <v>41</v>
      </c>
      <c r="C417" s="8">
        <v>9</v>
      </c>
      <c r="D417" s="9" t="s">
        <v>807</v>
      </c>
      <c r="E417" s="10">
        <v>21458</v>
      </c>
      <c r="F417" s="11" t="s">
        <v>2113</v>
      </c>
      <c r="G417" s="12" t="s">
        <v>71</v>
      </c>
      <c r="H417" s="13" t="str">
        <f>VLOOKUP(AP417,[1]Listas!A:B,2,0)</f>
        <v xml:space="preserve">FBLA </v>
      </c>
      <c r="I417" s="1" t="s">
        <v>384</v>
      </c>
      <c r="J417" s="12"/>
      <c r="K417" s="12"/>
      <c r="L417" s="12" t="s">
        <v>612</v>
      </c>
      <c r="M417" s="1" t="s">
        <v>603</v>
      </c>
      <c r="N417" s="14">
        <v>36576</v>
      </c>
      <c r="O417" s="1" t="s">
        <v>855</v>
      </c>
      <c r="P417" s="1" t="s">
        <v>856</v>
      </c>
      <c r="Q417" s="15" t="s">
        <v>807</v>
      </c>
      <c r="R417" s="1" t="s">
        <v>857</v>
      </c>
      <c r="S417" s="1" t="s">
        <v>868</v>
      </c>
      <c r="T417" s="1" t="s">
        <v>869</v>
      </c>
      <c r="U417" s="9" t="s">
        <v>868</v>
      </c>
      <c r="V417" s="1" t="s">
        <v>913</v>
      </c>
      <c r="W417" s="1" t="s">
        <v>1638</v>
      </c>
      <c r="X417" s="1" t="s">
        <v>388</v>
      </c>
      <c r="Y417" s="14">
        <v>45884</v>
      </c>
      <c r="Z417" s="9" t="s">
        <v>817</v>
      </c>
      <c r="AB417" s="14">
        <v>45884</v>
      </c>
      <c r="AC417" s="9" t="s">
        <v>817</v>
      </c>
      <c r="AD417" s="9" t="s">
        <v>818</v>
      </c>
      <c r="AE417" s="1" t="s">
        <v>819</v>
      </c>
      <c r="AF417" s="14" t="s">
        <v>820</v>
      </c>
      <c r="AG417" s="9" t="s">
        <v>999</v>
      </c>
      <c r="AH417" s="1" t="s">
        <v>105</v>
      </c>
      <c r="AI417" s="9" t="s">
        <v>10</v>
      </c>
      <c r="AJ417" s="1" t="s">
        <v>11</v>
      </c>
      <c r="AK417" s="1" t="s">
        <v>2011</v>
      </c>
      <c r="AL417" s="1" t="s">
        <v>2012</v>
      </c>
      <c r="AM417" s="9">
        <v>11741</v>
      </c>
      <c r="AN417" s="1" t="s">
        <v>516</v>
      </c>
      <c r="AO417" s="1" t="s">
        <v>517</v>
      </c>
      <c r="AP417" s="1" t="s">
        <v>1929</v>
      </c>
      <c r="AQ417" s="14">
        <v>45884</v>
      </c>
      <c r="AU417" s="14">
        <v>45884</v>
      </c>
      <c r="AV417" s="16">
        <v>0</v>
      </c>
      <c r="AW417" s="16">
        <v>0</v>
      </c>
      <c r="BA417" s="1" t="s">
        <v>911</v>
      </c>
      <c r="BB417" s="9">
        <v>21</v>
      </c>
      <c r="BC417" s="1" t="s">
        <v>1731</v>
      </c>
      <c r="BD417" s="9" t="s">
        <v>807</v>
      </c>
      <c r="BE417" s="1" t="s">
        <v>1630</v>
      </c>
      <c r="BF417" s="1" t="s">
        <v>384</v>
      </c>
      <c r="BG417" s="1" t="s">
        <v>1631</v>
      </c>
      <c r="BH417" s="1" t="s">
        <v>1632</v>
      </c>
      <c r="BI417" s="20" t="s">
        <v>1897</v>
      </c>
      <c r="BJ417" s="21" t="str">
        <f t="shared" si="8"/>
        <v>FIXO</v>
      </c>
    </row>
    <row r="418" spans="1:62" x14ac:dyDescent="0.25">
      <c r="A418" s="7">
        <v>6</v>
      </c>
      <c r="B418" s="1" t="s">
        <v>41</v>
      </c>
      <c r="C418" s="8">
        <v>5</v>
      </c>
      <c r="D418" s="9" t="s">
        <v>807</v>
      </c>
      <c r="E418" s="10">
        <v>21459</v>
      </c>
      <c r="F418" s="11" t="s">
        <v>2114</v>
      </c>
      <c r="G418" s="1" t="s">
        <v>41</v>
      </c>
      <c r="H418" s="13" t="str">
        <f>VLOOKUP(AP418,[1]Listas!A:B,2,0)</f>
        <v xml:space="preserve">FESP </v>
      </c>
      <c r="I418" s="1" t="s">
        <v>38</v>
      </c>
      <c r="J418" s="1" t="s">
        <v>37</v>
      </c>
      <c r="K418" s="12"/>
      <c r="L418" s="1" t="s">
        <v>490</v>
      </c>
      <c r="M418" s="1" t="s">
        <v>604</v>
      </c>
      <c r="N418" s="14">
        <v>34127</v>
      </c>
      <c r="O418" s="1" t="s">
        <v>855</v>
      </c>
      <c r="P418" s="1" t="s">
        <v>856</v>
      </c>
      <c r="Q418" s="15" t="s">
        <v>807</v>
      </c>
      <c r="R418" s="1" t="s">
        <v>857</v>
      </c>
      <c r="S418" s="1" t="s">
        <v>868</v>
      </c>
      <c r="T418" s="1" t="s">
        <v>869</v>
      </c>
      <c r="U418" s="9" t="s">
        <v>868</v>
      </c>
      <c r="V418" s="1" t="s">
        <v>913</v>
      </c>
      <c r="W418" s="1" t="s">
        <v>871</v>
      </c>
      <c r="X418" s="1" t="s">
        <v>34</v>
      </c>
      <c r="Y418" s="14">
        <v>45887</v>
      </c>
      <c r="Z418" s="9" t="s">
        <v>817</v>
      </c>
      <c r="AB418" s="14">
        <v>45887</v>
      </c>
      <c r="AC418" s="9" t="s">
        <v>817</v>
      </c>
      <c r="AD418" s="9" t="s">
        <v>818</v>
      </c>
      <c r="AE418" s="1" t="s">
        <v>819</v>
      </c>
      <c r="AF418" s="14" t="s">
        <v>820</v>
      </c>
      <c r="AG418" s="9" t="s">
        <v>821</v>
      </c>
      <c r="AH418" s="1" t="s">
        <v>9</v>
      </c>
      <c r="AI418" s="9" t="s">
        <v>10</v>
      </c>
      <c r="AJ418" s="1" t="s">
        <v>11</v>
      </c>
      <c r="AK418" s="1" t="s">
        <v>1799</v>
      </c>
      <c r="AL418" s="1" t="s">
        <v>873</v>
      </c>
      <c r="AM418" s="9">
        <v>11383</v>
      </c>
      <c r="AN418" s="1" t="s">
        <v>35</v>
      </c>
      <c r="AO418" s="1" t="s">
        <v>36</v>
      </c>
      <c r="AP418" s="1" t="s">
        <v>874</v>
      </c>
      <c r="AQ418" s="14">
        <v>45887</v>
      </c>
      <c r="AU418" s="14">
        <v>45887</v>
      </c>
      <c r="AV418" s="16">
        <v>0</v>
      </c>
      <c r="AW418" s="16">
        <v>0</v>
      </c>
      <c r="BA418" s="1" t="s">
        <v>911</v>
      </c>
      <c r="BB418" s="9">
        <v>38</v>
      </c>
      <c r="BC418" s="1" t="s">
        <v>1297</v>
      </c>
      <c r="BD418" s="9" t="s">
        <v>807</v>
      </c>
      <c r="BE418" s="1" t="s">
        <v>875</v>
      </c>
      <c r="BF418" s="1" t="s">
        <v>37</v>
      </c>
      <c r="BG418" s="1" t="s">
        <v>876</v>
      </c>
      <c r="BH418" s="1" t="s">
        <v>877</v>
      </c>
      <c r="BI418" s="23" t="s">
        <v>878</v>
      </c>
      <c r="BJ418" s="21" t="str">
        <f t="shared" si="8"/>
        <v>FIXO</v>
      </c>
    </row>
    <row r="419" spans="1:62" x14ac:dyDescent="0.25">
      <c r="A419" s="7">
        <v>6</v>
      </c>
      <c r="B419" s="1" t="s">
        <v>41</v>
      </c>
      <c r="C419" s="8">
        <v>9</v>
      </c>
      <c r="D419" s="9" t="s">
        <v>807</v>
      </c>
      <c r="E419" s="10">
        <v>21461</v>
      </c>
      <c r="F419" s="11" t="s">
        <v>2115</v>
      </c>
      <c r="G419" s="12" t="s">
        <v>71</v>
      </c>
      <c r="H419" s="13" t="str">
        <f>VLOOKUP(AP419,[1]Listas!A:B,2,0)</f>
        <v xml:space="preserve">FBLA </v>
      </c>
      <c r="I419" s="1" t="s">
        <v>27</v>
      </c>
      <c r="J419" s="12"/>
      <c r="K419" s="12"/>
      <c r="L419" s="12"/>
      <c r="M419" s="1" t="s">
        <v>605</v>
      </c>
      <c r="N419" s="14">
        <v>34771</v>
      </c>
      <c r="O419" s="1" t="s">
        <v>809</v>
      </c>
      <c r="P419" s="1" t="s">
        <v>810</v>
      </c>
      <c r="Q419" s="15" t="s">
        <v>811</v>
      </c>
      <c r="R419" s="1" t="s">
        <v>812</v>
      </c>
      <c r="S419" s="1" t="s">
        <v>868</v>
      </c>
      <c r="T419" s="1" t="s">
        <v>869</v>
      </c>
      <c r="U419" s="9" t="s">
        <v>832</v>
      </c>
      <c r="V419" s="1" t="s">
        <v>833</v>
      </c>
      <c r="W419" s="1" t="s">
        <v>1004</v>
      </c>
      <c r="X419" s="1" t="s">
        <v>108</v>
      </c>
      <c r="Y419" s="14">
        <v>45883</v>
      </c>
      <c r="Z419" s="9" t="s">
        <v>817</v>
      </c>
      <c r="AB419" s="14">
        <v>45883</v>
      </c>
      <c r="AC419" s="9" t="s">
        <v>817</v>
      </c>
      <c r="AD419" s="9" t="s">
        <v>818</v>
      </c>
      <c r="AE419" s="1" t="s">
        <v>819</v>
      </c>
      <c r="AF419" s="14" t="s">
        <v>820</v>
      </c>
      <c r="AG419" s="9" t="s">
        <v>821</v>
      </c>
      <c r="AH419" s="1" t="s">
        <v>9</v>
      </c>
      <c r="AI419" s="9" t="s">
        <v>10</v>
      </c>
      <c r="AJ419" s="1" t="s">
        <v>11</v>
      </c>
      <c r="AK419" s="1" t="s">
        <v>2116</v>
      </c>
      <c r="AL419" s="1" t="s">
        <v>2117</v>
      </c>
      <c r="AM419" s="9">
        <v>11701</v>
      </c>
      <c r="AN419" s="1" t="s">
        <v>83</v>
      </c>
      <c r="AO419" s="1" t="s">
        <v>550</v>
      </c>
      <c r="AP419" s="1" t="s">
        <v>2008</v>
      </c>
      <c r="AQ419" s="14">
        <v>45883</v>
      </c>
      <c r="AU419" s="14">
        <v>45883</v>
      </c>
      <c r="AV419" s="16">
        <v>0</v>
      </c>
      <c r="AW419" s="16">
        <v>0</v>
      </c>
      <c r="BA419" s="1" t="s">
        <v>911</v>
      </c>
      <c r="BB419" s="9">
        <v>35</v>
      </c>
      <c r="BC419" s="1" t="s">
        <v>1555</v>
      </c>
      <c r="BD419" s="9" t="s">
        <v>807</v>
      </c>
      <c r="BE419" s="1" t="s">
        <v>850</v>
      </c>
      <c r="BF419" s="1" t="s">
        <v>27</v>
      </c>
      <c r="BG419" s="1" t="s">
        <v>851</v>
      </c>
      <c r="BH419" s="1" t="s">
        <v>852</v>
      </c>
      <c r="BI419" s="20" t="s">
        <v>853</v>
      </c>
      <c r="BJ419" s="21" t="str">
        <f t="shared" si="8"/>
        <v>FIXO</v>
      </c>
    </row>
    <row r="420" spans="1:62" x14ac:dyDescent="0.25">
      <c r="A420" s="7">
        <v>6</v>
      </c>
      <c r="B420" s="1" t="s">
        <v>41</v>
      </c>
      <c r="C420" s="8">
        <v>9</v>
      </c>
      <c r="D420" s="9" t="s">
        <v>807</v>
      </c>
      <c r="E420" s="10">
        <v>21487</v>
      </c>
      <c r="F420" s="11" t="s">
        <v>2118</v>
      </c>
      <c r="G420" s="12" t="s">
        <v>71</v>
      </c>
      <c r="H420" s="13" t="str">
        <f>VLOOKUP(AP420,[1]Listas!A:B,2,0)</f>
        <v xml:space="preserve">FBLA </v>
      </c>
      <c r="I420" s="1" t="s">
        <v>27</v>
      </c>
      <c r="J420" s="12"/>
      <c r="K420" s="12"/>
      <c r="L420" s="12"/>
      <c r="M420" s="1" t="s">
        <v>606</v>
      </c>
      <c r="N420" s="14">
        <v>35062</v>
      </c>
      <c r="O420" s="1" t="s">
        <v>855</v>
      </c>
      <c r="P420" s="1" t="s">
        <v>856</v>
      </c>
      <c r="Q420" s="15" t="s">
        <v>811</v>
      </c>
      <c r="R420" s="1" t="s">
        <v>812</v>
      </c>
      <c r="S420" s="1" t="s">
        <v>807</v>
      </c>
      <c r="T420" s="1" t="s">
        <v>813</v>
      </c>
      <c r="U420" s="9" t="s">
        <v>832</v>
      </c>
      <c r="V420" s="1" t="s">
        <v>833</v>
      </c>
      <c r="W420" s="1" t="s">
        <v>1229</v>
      </c>
      <c r="X420" s="1" t="s">
        <v>224</v>
      </c>
      <c r="Y420" s="14">
        <v>45883</v>
      </c>
      <c r="Z420" s="9" t="s">
        <v>817</v>
      </c>
      <c r="AB420" s="14">
        <v>45883</v>
      </c>
      <c r="AC420" s="9" t="s">
        <v>817</v>
      </c>
      <c r="AD420" s="9" t="s">
        <v>818</v>
      </c>
      <c r="AE420" s="1" t="s">
        <v>819</v>
      </c>
      <c r="AF420" s="14" t="s">
        <v>820</v>
      </c>
      <c r="AG420" s="9" t="s">
        <v>821</v>
      </c>
      <c r="AH420" s="1" t="s">
        <v>9</v>
      </c>
      <c r="AI420" s="9" t="s">
        <v>10</v>
      </c>
      <c r="AJ420" s="1" t="s">
        <v>11</v>
      </c>
      <c r="AK420" s="1" t="s">
        <v>2002</v>
      </c>
      <c r="AL420" s="1" t="s">
        <v>2003</v>
      </c>
      <c r="AM420" s="9">
        <v>11704</v>
      </c>
      <c r="AN420" s="1" t="s">
        <v>526</v>
      </c>
      <c r="AO420" s="1" t="s">
        <v>607</v>
      </c>
      <c r="AP420" s="1" t="s">
        <v>2004</v>
      </c>
      <c r="AQ420" s="14">
        <v>45883</v>
      </c>
      <c r="AU420" s="14">
        <v>45883</v>
      </c>
      <c r="AV420" s="16">
        <v>30</v>
      </c>
      <c r="AW420" s="16">
        <v>0</v>
      </c>
      <c r="BA420" s="1" t="s">
        <v>911</v>
      </c>
      <c r="BB420" s="9">
        <v>35</v>
      </c>
      <c r="BC420" s="1" t="s">
        <v>1555</v>
      </c>
      <c r="BD420" s="9" t="s">
        <v>807</v>
      </c>
      <c r="BE420" s="1" t="s">
        <v>850</v>
      </c>
      <c r="BF420" s="1" t="s">
        <v>27</v>
      </c>
      <c r="BG420" s="1" t="s">
        <v>851</v>
      </c>
      <c r="BH420" s="1" t="s">
        <v>852</v>
      </c>
      <c r="BI420" s="20" t="s">
        <v>853</v>
      </c>
      <c r="BJ420" s="21" t="str">
        <f t="shared" si="8"/>
        <v>FIXO</v>
      </c>
    </row>
    <row r="421" spans="1:62" x14ac:dyDescent="0.25">
      <c r="A421" s="7">
        <v>6</v>
      </c>
      <c r="B421" s="1" t="s">
        <v>41</v>
      </c>
      <c r="C421" s="8">
        <v>9</v>
      </c>
      <c r="D421" s="9" t="s">
        <v>807</v>
      </c>
      <c r="E421" s="10">
        <v>21516</v>
      </c>
      <c r="F421" s="11" t="s">
        <v>2119</v>
      </c>
      <c r="G421" s="12" t="s">
        <v>71</v>
      </c>
      <c r="H421" s="13" t="str">
        <f>VLOOKUP(AP421,[1]Listas!A:B,2,0)</f>
        <v xml:space="preserve">FBLA </v>
      </c>
      <c r="I421" s="1" t="s">
        <v>384</v>
      </c>
      <c r="J421" s="12"/>
      <c r="K421" s="12"/>
      <c r="L421" s="12" t="s">
        <v>612</v>
      </c>
      <c r="M421" s="1" t="s">
        <v>608</v>
      </c>
      <c r="N421" s="14">
        <v>28462</v>
      </c>
      <c r="O421" s="1" t="s">
        <v>855</v>
      </c>
      <c r="P421" s="1" t="s">
        <v>856</v>
      </c>
      <c r="Q421" s="15" t="s">
        <v>811</v>
      </c>
      <c r="R421" s="1" t="s">
        <v>812</v>
      </c>
      <c r="S421" s="1" t="s">
        <v>868</v>
      </c>
      <c r="T421" s="1" t="s">
        <v>869</v>
      </c>
      <c r="U421" s="9" t="s">
        <v>1031</v>
      </c>
      <c r="V421" s="1" t="s">
        <v>1100</v>
      </c>
      <c r="W421" s="1" t="s">
        <v>2029</v>
      </c>
      <c r="X421" s="1" t="s">
        <v>562</v>
      </c>
      <c r="Y421" s="14">
        <v>45888</v>
      </c>
      <c r="Z421" s="9" t="s">
        <v>817</v>
      </c>
      <c r="AB421" s="14">
        <v>45888</v>
      </c>
      <c r="AC421" s="9" t="s">
        <v>817</v>
      </c>
      <c r="AD421" s="9" t="s">
        <v>818</v>
      </c>
      <c r="AE421" s="1" t="s">
        <v>819</v>
      </c>
      <c r="AF421" s="14" t="s">
        <v>820</v>
      </c>
      <c r="AG421" s="9" t="s">
        <v>821</v>
      </c>
      <c r="AH421" s="1" t="s">
        <v>9</v>
      </c>
      <c r="AI421" s="9" t="s">
        <v>10</v>
      </c>
      <c r="AJ421" s="1" t="s">
        <v>11</v>
      </c>
      <c r="AK421" s="1" t="s">
        <v>2030</v>
      </c>
      <c r="AL421" s="1" t="s">
        <v>2031</v>
      </c>
      <c r="AM421" s="9">
        <v>11748</v>
      </c>
      <c r="AN421" s="1" t="s">
        <v>389</v>
      </c>
      <c r="AO421" s="1" t="s">
        <v>500</v>
      </c>
      <c r="AP421" s="1" t="s">
        <v>1896</v>
      </c>
      <c r="AQ421" s="14">
        <v>45888</v>
      </c>
      <c r="AU421" s="14">
        <v>45888</v>
      </c>
      <c r="AV421" s="16">
        <v>0</v>
      </c>
      <c r="AW421" s="16">
        <v>0</v>
      </c>
      <c r="BA421" s="1" t="s">
        <v>911</v>
      </c>
      <c r="BB421" s="9">
        <v>21</v>
      </c>
      <c r="BC421" s="1" t="s">
        <v>1731</v>
      </c>
      <c r="BD421" s="9" t="s">
        <v>807</v>
      </c>
      <c r="BE421" s="1" t="s">
        <v>1630</v>
      </c>
      <c r="BF421" s="1" t="s">
        <v>384</v>
      </c>
      <c r="BG421" s="1" t="s">
        <v>1631</v>
      </c>
      <c r="BH421" s="1" t="s">
        <v>1632</v>
      </c>
      <c r="BI421" s="25" t="s">
        <v>2051</v>
      </c>
      <c r="BJ421" s="21" t="str">
        <f t="shared" si="8"/>
        <v>FIXO</v>
      </c>
    </row>
    <row r="422" spans="1:62" x14ac:dyDescent="0.25">
      <c r="A422" s="7">
        <v>6</v>
      </c>
      <c r="B422" s="1" t="s">
        <v>41</v>
      </c>
      <c r="C422" s="8">
        <v>9</v>
      </c>
      <c r="D422" s="9" t="s">
        <v>807</v>
      </c>
      <c r="E422" s="10">
        <v>21533</v>
      </c>
      <c r="F422" s="11" t="s">
        <v>2120</v>
      </c>
      <c r="G422" s="12" t="s">
        <v>41</v>
      </c>
      <c r="H422" s="13" t="str">
        <f>VLOOKUP(AP422,[1]Listas!A:B,2,0)</f>
        <v xml:space="preserve">FBLA </v>
      </c>
      <c r="I422" s="1" t="s">
        <v>444</v>
      </c>
      <c r="J422" s="12"/>
      <c r="K422" s="12"/>
      <c r="L422" s="1" t="s">
        <v>444</v>
      </c>
      <c r="M422" s="1" t="s">
        <v>609</v>
      </c>
      <c r="N422" s="14">
        <v>28623</v>
      </c>
      <c r="O422" s="1" t="s">
        <v>855</v>
      </c>
      <c r="P422" s="1" t="s">
        <v>856</v>
      </c>
      <c r="Q422" s="15" t="s">
        <v>807</v>
      </c>
      <c r="R422" s="1" t="s">
        <v>857</v>
      </c>
      <c r="S422" s="1" t="s">
        <v>868</v>
      </c>
      <c r="T422" s="1" t="s">
        <v>869</v>
      </c>
      <c r="U422" s="9" t="s">
        <v>880</v>
      </c>
      <c r="V422" s="1" t="s">
        <v>881</v>
      </c>
      <c r="W422" s="1" t="s">
        <v>1123</v>
      </c>
      <c r="X422" s="1" t="s">
        <v>168</v>
      </c>
      <c r="Y422" s="14">
        <v>45891</v>
      </c>
      <c r="Z422" s="9" t="s">
        <v>817</v>
      </c>
      <c r="AB422" s="14">
        <v>45891</v>
      </c>
      <c r="AC422" s="9" t="s">
        <v>817</v>
      </c>
      <c r="AD422" s="9" t="s">
        <v>818</v>
      </c>
      <c r="AE422" s="1" t="s">
        <v>819</v>
      </c>
      <c r="AF422" s="14" t="s">
        <v>820</v>
      </c>
      <c r="AG422" s="9" t="s">
        <v>821</v>
      </c>
      <c r="AH422" s="1" t="s">
        <v>9</v>
      </c>
      <c r="AI422" s="9" t="s">
        <v>10</v>
      </c>
      <c r="AJ422" s="1" t="s">
        <v>11</v>
      </c>
      <c r="AK422" s="1" t="s">
        <v>1919</v>
      </c>
      <c r="AL422" s="1" t="s">
        <v>1920</v>
      </c>
      <c r="AM422" s="9">
        <v>11743</v>
      </c>
      <c r="AN422" s="1" t="s">
        <v>114</v>
      </c>
      <c r="AO422" s="1" t="s">
        <v>512</v>
      </c>
      <c r="AP422" s="1" t="s">
        <v>1921</v>
      </c>
      <c r="AQ422" s="14">
        <v>45891</v>
      </c>
      <c r="AU422" s="14">
        <v>45891</v>
      </c>
      <c r="AV422" s="16">
        <v>0</v>
      </c>
      <c r="AW422" s="16">
        <v>0</v>
      </c>
      <c r="BA422" s="1" t="s">
        <v>911</v>
      </c>
      <c r="BB422" s="9">
        <v>35</v>
      </c>
      <c r="BC422" s="1" t="s">
        <v>1555</v>
      </c>
      <c r="BD422" s="9" t="s">
        <v>807</v>
      </c>
      <c r="BE422" s="1" t="s">
        <v>1738</v>
      </c>
      <c r="BF422" s="1" t="s">
        <v>437</v>
      </c>
      <c r="BG422" s="1" t="s">
        <v>1739</v>
      </c>
      <c r="BH422" s="1" t="s">
        <v>1740</v>
      </c>
      <c r="BI422" s="20" t="s">
        <v>983</v>
      </c>
      <c r="BJ422" s="21" t="str">
        <f t="shared" si="8"/>
        <v>FIXO</v>
      </c>
    </row>
    <row r="423" spans="1:62" x14ac:dyDescent="0.25">
      <c r="A423" s="7">
        <v>6</v>
      </c>
      <c r="B423" s="1" t="s">
        <v>41</v>
      </c>
      <c r="C423" s="8">
        <v>9</v>
      </c>
      <c r="D423" s="9" t="s">
        <v>807</v>
      </c>
      <c r="E423" s="10">
        <v>21603</v>
      </c>
      <c r="F423" s="11" t="s">
        <v>2121</v>
      </c>
      <c r="G423" s="12" t="s">
        <v>41</v>
      </c>
      <c r="H423" s="13" t="str">
        <f>VLOOKUP(AP423,[1]Listas!A:B,2,0)</f>
        <v xml:space="preserve">FBLA </v>
      </c>
      <c r="I423" s="1" t="s">
        <v>444</v>
      </c>
      <c r="J423" s="12"/>
      <c r="K423" s="12"/>
      <c r="L423" s="1" t="s">
        <v>444</v>
      </c>
      <c r="M423" s="1" t="s">
        <v>610</v>
      </c>
      <c r="N423" s="14">
        <v>26066</v>
      </c>
      <c r="O423" s="1" t="s">
        <v>809</v>
      </c>
      <c r="P423" s="1" t="s">
        <v>810</v>
      </c>
      <c r="Q423" s="15" t="s">
        <v>807</v>
      </c>
      <c r="R423" s="1" t="s">
        <v>857</v>
      </c>
      <c r="S423" s="1" t="s">
        <v>868</v>
      </c>
      <c r="T423" s="1" t="s">
        <v>869</v>
      </c>
      <c r="U423" s="9" t="s">
        <v>951</v>
      </c>
      <c r="V423" s="1" t="s">
        <v>952</v>
      </c>
      <c r="W423" s="1" t="s">
        <v>1051</v>
      </c>
      <c r="X423" s="1" t="s">
        <v>126</v>
      </c>
      <c r="Y423" s="14">
        <v>45905</v>
      </c>
      <c r="Z423" s="9" t="s">
        <v>817</v>
      </c>
      <c r="AB423" s="14">
        <v>45905</v>
      </c>
      <c r="AC423" s="9" t="s">
        <v>817</v>
      </c>
      <c r="AD423" s="9" t="s">
        <v>818</v>
      </c>
      <c r="AE423" s="1" t="s">
        <v>819</v>
      </c>
      <c r="AF423" s="14" t="s">
        <v>820</v>
      </c>
      <c r="AG423" s="9" t="s">
        <v>821</v>
      </c>
      <c r="AH423" s="1" t="s">
        <v>9</v>
      </c>
      <c r="AI423" s="9" t="s">
        <v>10</v>
      </c>
      <c r="AJ423" s="1" t="s">
        <v>11</v>
      </c>
      <c r="AK423" s="1" t="s">
        <v>1913</v>
      </c>
      <c r="AL423" s="1" t="s">
        <v>1914</v>
      </c>
      <c r="AM423" s="9">
        <v>11755</v>
      </c>
      <c r="AN423" s="1" t="s">
        <v>127</v>
      </c>
      <c r="AO423" s="1" t="s">
        <v>510</v>
      </c>
      <c r="AP423" s="1" t="s">
        <v>1915</v>
      </c>
      <c r="AQ423" s="14">
        <v>45905</v>
      </c>
      <c r="AU423" s="14">
        <v>45905</v>
      </c>
      <c r="AV423" s="16">
        <v>0</v>
      </c>
      <c r="AW423" s="16">
        <v>0</v>
      </c>
      <c r="BA423" s="1" t="s">
        <v>911</v>
      </c>
      <c r="BB423" s="9">
        <v>32</v>
      </c>
      <c r="BC423" s="1" t="s">
        <v>1547</v>
      </c>
      <c r="BD423" s="9" t="s">
        <v>807</v>
      </c>
      <c r="BE423" s="1" t="s">
        <v>850</v>
      </c>
      <c r="BF423" s="23" t="s">
        <v>27</v>
      </c>
      <c r="BG423" s="1" t="s">
        <v>851</v>
      </c>
      <c r="BH423" s="1" t="s">
        <v>852</v>
      </c>
      <c r="BI423" s="20" t="s">
        <v>1055</v>
      </c>
      <c r="BJ423" s="21" t="str">
        <f t="shared" si="8"/>
        <v>FIXO</v>
      </c>
    </row>
    <row r="424" spans="1:62" x14ac:dyDescent="0.25">
      <c r="A424" s="7">
        <v>6</v>
      </c>
      <c r="B424" s="1" t="s">
        <v>41</v>
      </c>
      <c r="C424" s="8">
        <v>9</v>
      </c>
      <c r="D424" s="9" t="s">
        <v>807</v>
      </c>
      <c r="E424" s="10">
        <v>21604</v>
      </c>
      <c r="F424" s="11" t="s">
        <v>2122</v>
      </c>
      <c r="G424" s="12" t="s">
        <v>41</v>
      </c>
      <c r="H424" s="13" t="str">
        <f>VLOOKUP(AP424,[1]Listas!A:B,2,0)</f>
        <v xml:space="preserve">FBLA </v>
      </c>
      <c r="I424" s="1" t="s">
        <v>444</v>
      </c>
      <c r="J424" s="12"/>
      <c r="K424" s="12"/>
      <c r="L424" s="1" t="s">
        <v>444</v>
      </c>
      <c r="M424" s="1" t="s">
        <v>611</v>
      </c>
      <c r="N424" s="14">
        <v>38529</v>
      </c>
      <c r="O424" s="1" t="s">
        <v>855</v>
      </c>
      <c r="P424" s="1" t="s">
        <v>856</v>
      </c>
      <c r="Q424" s="15" t="s">
        <v>807</v>
      </c>
      <c r="R424" s="1" t="s">
        <v>857</v>
      </c>
      <c r="S424" s="1" t="s">
        <v>868</v>
      </c>
      <c r="T424" s="1" t="s">
        <v>869</v>
      </c>
      <c r="U424" s="9" t="s">
        <v>814</v>
      </c>
      <c r="V424" s="1" t="s">
        <v>815</v>
      </c>
      <c r="W424" s="1" t="s">
        <v>1123</v>
      </c>
      <c r="X424" s="1" t="s">
        <v>168</v>
      </c>
      <c r="Y424" s="14">
        <v>45905</v>
      </c>
      <c r="Z424" s="9" t="s">
        <v>817</v>
      </c>
      <c r="AB424" s="14">
        <v>45905</v>
      </c>
      <c r="AC424" s="9" t="s">
        <v>817</v>
      </c>
      <c r="AD424" s="9" t="s">
        <v>818</v>
      </c>
      <c r="AE424" s="1" t="s">
        <v>819</v>
      </c>
      <c r="AF424" s="14" t="s">
        <v>820</v>
      </c>
      <c r="AG424" s="9" t="s">
        <v>821</v>
      </c>
      <c r="AH424" s="1" t="s">
        <v>9</v>
      </c>
      <c r="AI424" s="9" t="s">
        <v>10</v>
      </c>
      <c r="AJ424" s="1" t="s">
        <v>11</v>
      </c>
      <c r="AK424" s="1" t="s">
        <v>1919</v>
      </c>
      <c r="AL424" s="1" t="s">
        <v>1920</v>
      </c>
      <c r="AM424" s="9">
        <v>11743</v>
      </c>
      <c r="AN424" s="1" t="s">
        <v>114</v>
      </c>
      <c r="AO424" s="1" t="s">
        <v>512</v>
      </c>
      <c r="AP424" s="1" t="s">
        <v>1921</v>
      </c>
      <c r="AQ424" s="14">
        <v>45905</v>
      </c>
      <c r="AU424" s="14">
        <v>45905</v>
      </c>
      <c r="AV424" s="16">
        <v>0</v>
      </c>
      <c r="AW424" s="16">
        <v>0</v>
      </c>
      <c r="BA424" s="1" t="s">
        <v>911</v>
      </c>
      <c r="BB424" s="9">
        <v>35</v>
      </c>
      <c r="BC424" s="1" t="s">
        <v>1555</v>
      </c>
      <c r="BD424" s="9" t="s">
        <v>807</v>
      </c>
      <c r="BE424" s="1" t="s">
        <v>1738</v>
      </c>
      <c r="BF424" s="1" t="s">
        <v>437</v>
      </c>
      <c r="BG424" s="1" t="s">
        <v>1739</v>
      </c>
      <c r="BH424" s="1" t="s">
        <v>1740</v>
      </c>
      <c r="BI424" s="20" t="s">
        <v>983</v>
      </c>
      <c r="BJ424" s="21" t="str">
        <f t="shared" si="8"/>
        <v>FIXO</v>
      </c>
    </row>
    <row r="425" spans="1:62" x14ac:dyDescent="0.25">
      <c r="A425" s="7">
        <v>6</v>
      </c>
      <c r="B425" s="1" t="s">
        <v>41</v>
      </c>
      <c r="C425" s="8">
        <v>9</v>
      </c>
      <c r="D425" s="9" t="s">
        <v>807</v>
      </c>
      <c r="E425" s="10">
        <v>21605</v>
      </c>
      <c r="F425" s="11" t="s">
        <v>2123</v>
      </c>
      <c r="G425" s="12" t="s">
        <v>71</v>
      </c>
      <c r="H425" s="13" t="str">
        <f>VLOOKUP(AP425,[1]Listas!A:B,2,0)</f>
        <v xml:space="preserve">FBLA </v>
      </c>
      <c r="I425" s="1" t="s">
        <v>384</v>
      </c>
      <c r="J425" s="12"/>
      <c r="K425" s="12"/>
      <c r="L425" s="12" t="s">
        <v>612</v>
      </c>
      <c r="M425" s="1" t="s">
        <v>612</v>
      </c>
      <c r="N425" s="14">
        <v>32915</v>
      </c>
      <c r="O425" s="1" t="s">
        <v>855</v>
      </c>
      <c r="P425" s="1" t="s">
        <v>856</v>
      </c>
      <c r="Q425" s="15" t="s">
        <v>807</v>
      </c>
      <c r="R425" s="1" t="s">
        <v>857</v>
      </c>
      <c r="S425" s="1" t="s">
        <v>868</v>
      </c>
      <c r="T425" s="1" t="s">
        <v>869</v>
      </c>
      <c r="U425" s="9" t="s">
        <v>832</v>
      </c>
      <c r="V425" s="1" t="s">
        <v>833</v>
      </c>
      <c r="W425" s="1" t="s">
        <v>2124</v>
      </c>
      <c r="X425" s="1" t="s">
        <v>613</v>
      </c>
      <c r="Y425" s="14">
        <v>45909</v>
      </c>
      <c r="Z425" s="9" t="s">
        <v>817</v>
      </c>
      <c r="AB425" s="14">
        <v>45909</v>
      </c>
      <c r="AC425" s="9" t="s">
        <v>817</v>
      </c>
      <c r="AD425" s="9" t="s">
        <v>818</v>
      </c>
      <c r="AE425" s="1" t="s">
        <v>819</v>
      </c>
      <c r="AF425" s="14" t="s">
        <v>820</v>
      </c>
      <c r="AG425" s="9" t="s">
        <v>821</v>
      </c>
      <c r="AH425" s="1" t="s">
        <v>9</v>
      </c>
      <c r="AI425" s="9" t="s">
        <v>10</v>
      </c>
      <c r="AJ425" s="1" t="s">
        <v>11</v>
      </c>
      <c r="AK425" s="1" t="s">
        <v>2125</v>
      </c>
      <c r="AL425" s="1" t="s">
        <v>2126</v>
      </c>
      <c r="AM425" s="9">
        <v>11741</v>
      </c>
      <c r="AN425" s="1" t="s">
        <v>516</v>
      </c>
      <c r="AO425" s="1" t="s">
        <v>517</v>
      </c>
      <c r="AP425" s="1" t="s">
        <v>1929</v>
      </c>
      <c r="AQ425" s="14">
        <v>45909</v>
      </c>
      <c r="AU425" s="14">
        <v>45909</v>
      </c>
      <c r="AV425" s="16">
        <v>0</v>
      </c>
      <c r="AW425" s="16">
        <v>0</v>
      </c>
      <c r="BA425" s="1" t="s">
        <v>911</v>
      </c>
      <c r="BB425" s="9">
        <v>21</v>
      </c>
      <c r="BC425" s="1" t="s">
        <v>1731</v>
      </c>
      <c r="BD425" s="9" t="s">
        <v>807</v>
      </c>
      <c r="BE425" s="1" t="s">
        <v>1630</v>
      </c>
      <c r="BF425" s="1" t="s">
        <v>384</v>
      </c>
      <c r="BG425" s="1" t="s">
        <v>1631</v>
      </c>
      <c r="BH425" s="1" t="s">
        <v>1632</v>
      </c>
      <c r="BI425" s="20" t="s">
        <v>894</v>
      </c>
      <c r="BJ425" s="21" t="str">
        <f t="shared" si="8"/>
        <v>FIXO</v>
      </c>
    </row>
    <row r="426" spans="1:62" x14ac:dyDescent="0.25">
      <c r="A426" s="7">
        <v>6</v>
      </c>
      <c r="B426" s="1" t="s">
        <v>41</v>
      </c>
      <c r="C426" s="8">
        <v>9</v>
      </c>
      <c r="D426" s="9" t="s">
        <v>807</v>
      </c>
      <c r="E426" s="10">
        <v>21618</v>
      </c>
      <c r="F426" s="11" t="s">
        <v>2127</v>
      </c>
      <c r="G426" s="12" t="s">
        <v>41</v>
      </c>
      <c r="H426" s="13" t="str">
        <f>VLOOKUP(AP426,[1]Listas!A:B,2,0)</f>
        <v xml:space="preserve">FBLA </v>
      </c>
      <c r="I426" s="1" t="s">
        <v>444</v>
      </c>
      <c r="J426" s="12"/>
      <c r="K426" s="12"/>
      <c r="L426" s="1" t="s">
        <v>444</v>
      </c>
      <c r="M426" s="1" t="s">
        <v>614</v>
      </c>
      <c r="N426" s="14">
        <v>37111</v>
      </c>
      <c r="O426" s="1" t="s">
        <v>855</v>
      </c>
      <c r="P426" s="1" t="s">
        <v>856</v>
      </c>
      <c r="Q426" s="15" t="s">
        <v>807</v>
      </c>
      <c r="R426" s="1" t="s">
        <v>857</v>
      </c>
      <c r="S426" s="1" t="s">
        <v>868</v>
      </c>
      <c r="T426" s="1" t="s">
        <v>869</v>
      </c>
      <c r="U426" s="9" t="s">
        <v>814</v>
      </c>
      <c r="V426" s="1" t="s">
        <v>815</v>
      </c>
      <c r="W426" s="1" t="s">
        <v>871</v>
      </c>
      <c r="X426" s="1" t="s">
        <v>34</v>
      </c>
      <c r="Y426" s="14">
        <v>45912</v>
      </c>
      <c r="Z426" s="9" t="s">
        <v>817</v>
      </c>
      <c r="AB426" s="14">
        <v>45912</v>
      </c>
      <c r="AC426" s="9" t="s">
        <v>817</v>
      </c>
      <c r="AD426" s="9" t="s">
        <v>818</v>
      </c>
      <c r="AE426" s="1" t="s">
        <v>819</v>
      </c>
      <c r="AF426" s="14" t="s">
        <v>820</v>
      </c>
      <c r="AG426" s="9" t="s">
        <v>821</v>
      </c>
      <c r="AH426" s="1" t="s">
        <v>9</v>
      </c>
      <c r="AI426" s="9" t="s">
        <v>10</v>
      </c>
      <c r="AJ426" s="1" t="s">
        <v>11</v>
      </c>
      <c r="AK426" s="1" t="s">
        <v>1837</v>
      </c>
      <c r="AL426" s="1" t="s">
        <v>1838</v>
      </c>
      <c r="AM426" s="9">
        <v>11743</v>
      </c>
      <c r="AN426" s="1" t="s">
        <v>114</v>
      </c>
      <c r="AO426" s="1" t="s">
        <v>436</v>
      </c>
      <c r="AP426" s="1" t="s">
        <v>1737</v>
      </c>
      <c r="AQ426" s="14">
        <v>45912</v>
      </c>
      <c r="AU426" s="14">
        <v>45912</v>
      </c>
      <c r="AV426" s="16">
        <v>0</v>
      </c>
      <c r="AW426" s="16">
        <v>0</v>
      </c>
      <c r="BA426" s="1" t="s">
        <v>911</v>
      </c>
      <c r="BB426" s="9">
        <v>35</v>
      </c>
      <c r="BC426" s="1" t="s">
        <v>1555</v>
      </c>
      <c r="BD426" s="9" t="s">
        <v>807</v>
      </c>
      <c r="BE426" s="1" t="s">
        <v>1775</v>
      </c>
      <c r="BF426" s="1" t="s">
        <v>444</v>
      </c>
      <c r="BG426" s="1" t="s">
        <v>1770</v>
      </c>
      <c r="BH426" s="1" t="s">
        <v>1771</v>
      </c>
      <c r="BI426" s="25" t="s">
        <v>916</v>
      </c>
      <c r="BJ426" s="21" t="str">
        <f t="shared" si="8"/>
        <v>FIXO</v>
      </c>
    </row>
    <row r="427" spans="1:62" x14ac:dyDescent="0.25">
      <c r="A427" s="7">
        <v>6</v>
      </c>
      <c r="B427" s="1" t="s">
        <v>41</v>
      </c>
      <c r="C427" s="8">
        <v>9</v>
      </c>
      <c r="D427" s="9" t="s">
        <v>807</v>
      </c>
      <c r="E427" s="10">
        <v>21654</v>
      </c>
      <c r="F427" s="11" t="s">
        <v>2128</v>
      </c>
      <c r="G427" s="12" t="s">
        <v>71</v>
      </c>
      <c r="H427" s="13" t="str">
        <f>VLOOKUP(AP427,[1]Listas!A:B,2,0)</f>
        <v xml:space="preserve">FBLA </v>
      </c>
      <c r="I427" s="1" t="s">
        <v>384</v>
      </c>
      <c r="J427" s="12"/>
      <c r="K427" s="12"/>
      <c r="L427" s="12" t="s">
        <v>612</v>
      </c>
      <c r="M427" s="1" t="s">
        <v>615</v>
      </c>
      <c r="N427" s="14">
        <v>38154</v>
      </c>
      <c r="O427" s="1" t="s">
        <v>855</v>
      </c>
      <c r="P427" s="1" t="s">
        <v>856</v>
      </c>
      <c r="Q427" s="15" t="s">
        <v>807</v>
      </c>
      <c r="R427" s="1" t="s">
        <v>857</v>
      </c>
      <c r="S427" s="1" t="s">
        <v>868</v>
      </c>
      <c r="T427" s="1" t="s">
        <v>869</v>
      </c>
      <c r="U427" s="9" t="s">
        <v>868</v>
      </c>
      <c r="V427" s="1" t="s">
        <v>913</v>
      </c>
      <c r="W427" s="1" t="s">
        <v>1673</v>
      </c>
      <c r="X427" s="1" t="s">
        <v>410</v>
      </c>
      <c r="Y427" s="14">
        <v>45916</v>
      </c>
      <c r="Z427" s="9" t="s">
        <v>817</v>
      </c>
      <c r="AB427" s="14">
        <v>45916</v>
      </c>
      <c r="AC427" s="9" t="s">
        <v>817</v>
      </c>
      <c r="AD427" s="9" t="s">
        <v>818</v>
      </c>
      <c r="AE427" s="1" t="s">
        <v>819</v>
      </c>
      <c r="AF427" s="14" t="s">
        <v>820</v>
      </c>
      <c r="AG427" s="9" t="s">
        <v>821</v>
      </c>
      <c r="AH427" s="1" t="s">
        <v>9</v>
      </c>
      <c r="AI427" s="9" t="s">
        <v>10</v>
      </c>
      <c r="AJ427" s="1" t="s">
        <v>11</v>
      </c>
      <c r="AK427" s="1" t="s">
        <v>2129</v>
      </c>
      <c r="AL427" s="1" t="s">
        <v>2130</v>
      </c>
      <c r="AM427" s="9">
        <v>11741</v>
      </c>
      <c r="AN427" s="1" t="s">
        <v>516</v>
      </c>
      <c r="AO427" s="1" t="s">
        <v>517</v>
      </c>
      <c r="AP427" s="1" t="s">
        <v>1929</v>
      </c>
      <c r="AQ427" s="14">
        <v>45916</v>
      </c>
      <c r="AU427" s="14">
        <v>45916</v>
      </c>
      <c r="AV427" s="16">
        <v>0</v>
      </c>
      <c r="AW427" s="16">
        <v>0</v>
      </c>
      <c r="BA427" s="1" t="s">
        <v>911</v>
      </c>
      <c r="BB427" s="9">
        <v>35</v>
      </c>
      <c r="BC427" s="1" t="s">
        <v>1555</v>
      </c>
      <c r="BD427" s="9" t="s">
        <v>807</v>
      </c>
      <c r="BE427" s="1" t="s">
        <v>1630</v>
      </c>
      <c r="BF427" s="1" t="s">
        <v>384</v>
      </c>
      <c r="BG427" s="1" t="s">
        <v>1631</v>
      </c>
      <c r="BH427" s="1" t="s">
        <v>1632</v>
      </c>
      <c r="BI427" s="25" t="s">
        <v>1931</v>
      </c>
      <c r="BJ427" s="21" t="str">
        <f t="shared" si="8"/>
        <v>FIXO</v>
      </c>
    </row>
    <row r="428" spans="1:62" x14ac:dyDescent="0.25">
      <c r="A428" s="7">
        <v>6</v>
      </c>
      <c r="B428" s="1" t="s">
        <v>41</v>
      </c>
      <c r="C428" s="8">
        <v>9</v>
      </c>
      <c r="D428" s="9" t="s">
        <v>807</v>
      </c>
      <c r="E428" s="10">
        <v>21712</v>
      </c>
      <c r="F428" s="11" t="s">
        <v>2131</v>
      </c>
      <c r="G428" s="12" t="s">
        <v>1061</v>
      </c>
      <c r="H428" s="13" t="str">
        <f>VLOOKUP(AP428,[1]Listas!A:B,2,0)</f>
        <v xml:space="preserve">FBLA </v>
      </c>
      <c r="I428" s="12"/>
      <c r="J428" s="12"/>
      <c r="K428" s="12"/>
      <c r="L428" s="12"/>
      <c r="M428" s="23" t="s">
        <v>2132</v>
      </c>
      <c r="N428" s="14">
        <v>37401</v>
      </c>
      <c r="O428" s="1" t="s">
        <v>855</v>
      </c>
      <c r="P428" s="1" t="s">
        <v>856</v>
      </c>
      <c r="Q428" s="15" t="s">
        <v>807</v>
      </c>
      <c r="R428" s="1" t="s">
        <v>857</v>
      </c>
      <c r="S428" s="1" t="s">
        <v>868</v>
      </c>
      <c r="T428" s="1" t="s">
        <v>869</v>
      </c>
      <c r="U428" s="9" t="s">
        <v>951</v>
      </c>
      <c r="V428" s="1" t="s">
        <v>952</v>
      </c>
      <c r="W428" s="1" t="s">
        <v>1965</v>
      </c>
      <c r="X428" s="1" t="s">
        <v>1966</v>
      </c>
      <c r="Y428" s="14">
        <v>45919</v>
      </c>
      <c r="Z428" s="9" t="s">
        <v>817</v>
      </c>
      <c r="AB428" s="14">
        <v>45919</v>
      </c>
      <c r="AC428" s="9" t="s">
        <v>817</v>
      </c>
      <c r="AD428" s="9" t="s">
        <v>818</v>
      </c>
      <c r="AE428" s="1" t="s">
        <v>819</v>
      </c>
      <c r="AF428" s="14" t="s">
        <v>820</v>
      </c>
      <c r="AG428" s="9" t="s">
        <v>821</v>
      </c>
      <c r="AH428" s="1" t="s">
        <v>9</v>
      </c>
      <c r="AI428" s="9" t="s">
        <v>10</v>
      </c>
      <c r="AJ428" s="1" t="s">
        <v>11</v>
      </c>
      <c r="AK428" s="1" t="s">
        <v>1967</v>
      </c>
      <c r="AL428" s="1" t="s">
        <v>1968</v>
      </c>
      <c r="AM428" s="9">
        <v>11748</v>
      </c>
      <c r="AN428" s="1" t="s">
        <v>389</v>
      </c>
      <c r="AO428" s="1" t="s">
        <v>1969</v>
      </c>
      <c r="AP428" s="1" t="s">
        <v>1970</v>
      </c>
      <c r="AQ428" s="14">
        <v>45919</v>
      </c>
      <c r="AU428" s="14">
        <v>45919</v>
      </c>
      <c r="AV428" s="16">
        <v>0</v>
      </c>
      <c r="AW428" s="16">
        <v>0</v>
      </c>
      <c r="BA428" s="1" t="s">
        <v>911</v>
      </c>
      <c r="BB428" s="9">
        <v>36</v>
      </c>
      <c r="BC428" s="1" t="s">
        <v>1729</v>
      </c>
      <c r="BD428" s="9" t="s">
        <v>807</v>
      </c>
      <c r="BE428" s="1" t="s">
        <v>1017</v>
      </c>
      <c r="BI428" s="25" t="s">
        <v>1066</v>
      </c>
      <c r="BJ428" s="26" t="s">
        <v>1971</v>
      </c>
    </row>
    <row r="429" spans="1:62" x14ac:dyDescent="0.25">
      <c r="A429" s="7">
        <v>6</v>
      </c>
      <c r="B429" s="1" t="s">
        <v>41</v>
      </c>
      <c r="C429" s="8">
        <v>9</v>
      </c>
      <c r="D429" s="9" t="s">
        <v>807</v>
      </c>
      <c r="E429" s="10">
        <v>21714</v>
      </c>
      <c r="F429" s="11" t="s">
        <v>2133</v>
      </c>
      <c r="G429" s="12" t="s">
        <v>41</v>
      </c>
      <c r="H429" s="13" t="str">
        <f>VLOOKUP(AP429,[1]Listas!A:B,2,0)</f>
        <v xml:space="preserve">FBLA </v>
      </c>
      <c r="I429" s="1" t="s">
        <v>444</v>
      </c>
      <c r="J429" s="12"/>
      <c r="K429" s="12"/>
      <c r="L429" s="1" t="s">
        <v>444</v>
      </c>
      <c r="M429" s="1" t="s">
        <v>616</v>
      </c>
      <c r="N429" s="14">
        <v>32622</v>
      </c>
      <c r="O429" s="1" t="s">
        <v>855</v>
      </c>
      <c r="P429" s="1" t="s">
        <v>856</v>
      </c>
      <c r="Q429" s="15" t="s">
        <v>814</v>
      </c>
      <c r="R429" s="1" t="s">
        <v>1075</v>
      </c>
      <c r="S429" s="1" t="s">
        <v>868</v>
      </c>
      <c r="T429" s="1" t="s">
        <v>869</v>
      </c>
      <c r="U429" s="9" t="s">
        <v>868</v>
      </c>
      <c r="V429" s="1" t="s">
        <v>913</v>
      </c>
      <c r="W429" s="1" t="s">
        <v>871</v>
      </c>
      <c r="X429" s="1" t="s">
        <v>34</v>
      </c>
      <c r="Y429" s="14">
        <v>45919</v>
      </c>
      <c r="Z429" s="9" t="s">
        <v>817</v>
      </c>
      <c r="AB429" s="14">
        <v>45919</v>
      </c>
      <c r="AC429" s="9" t="s">
        <v>817</v>
      </c>
      <c r="AD429" s="9" t="s">
        <v>818</v>
      </c>
      <c r="AE429" s="1" t="s">
        <v>819</v>
      </c>
      <c r="AF429" s="14" t="s">
        <v>820</v>
      </c>
      <c r="AG429" s="9" t="s">
        <v>821</v>
      </c>
      <c r="AH429" s="1" t="s">
        <v>9</v>
      </c>
      <c r="AI429" s="9" t="s">
        <v>10</v>
      </c>
      <c r="AJ429" s="1" t="s">
        <v>11</v>
      </c>
      <c r="AK429" s="1" t="s">
        <v>1837</v>
      </c>
      <c r="AL429" s="1" t="s">
        <v>1838</v>
      </c>
      <c r="AM429" s="9">
        <v>11743</v>
      </c>
      <c r="AN429" s="1" t="s">
        <v>114</v>
      </c>
      <c r="AO429" s="1" t="s">
        <v>436</v>
      </c>
      <c r="AP429" s="1" t="s">
        <v>1737</v>
      </c>
      <c r="AQ429" s="14">
        <v>45919</v>
      </c>
      <c r="AU429" s="14">
        <v>45919</v>
      </c>
      <c r="AV429" s="16">
        <v>0</v>
      </c>
      <c r="AW429" s="16">
        <v>0</v>
      </c>
      <c r="BA429" s="1" t="s">
        <v>911</v>
      </c>
      <c r="BB429" s="9">
        <v>35</v>
      </c>
      <c r="BC429" s="1" t="s">
        <v>1555</v>
      </c>
      <c r="BD429" s="9" t="s">
        <v>807</v>
      </c>
      <c r="BE429" s="1" t="s">
        <v>1775</v>
      </c>
      <c r="BF429" s="1" t="s">
        <v>444</v>
      </c>
      <c r="BG429" s="1" t="s">
        <v>1770</v>
      </c>
      <c r="BH429" s="1" t="s">
        <v>1771</v>
      </c>
      <c r="BI429" s="25" t="s">
        <v>916</v>
      </c>
      <c r="BJ429" s="21" t="str">
        <f>IF(NOT(ISERROR(SEARCH("SAFRISTA",X429))),"SAFRISTA","FIXO")</f>
        <v>FIXO</v>
      </c>
    </row>
    <row r="430" spans="1:62" x14ac:dyDescent="0.25">
      <c r="A430" s="7">
        <v>6</v>
      </c>
      <c r="B430" s="1" t="s">
        <v>41</v>
      </c>
      <c r="C430" s="8">
        <v>6</v>
      </c>
      <c r="D430" s="9" t="s">
        <v>807</v>
      </c>
      <c r="E430" s="10">
        <v>21718</v>
      </c>
      <c r="F430" s="11" t="s">
        <v>2134</v>
      </c>
      <c r="G430" s="12" t="s">
        <v>271</v>
      </c>
      <c r="H430" s="13" t="str">
        <f>VLOOKUP(AP430,[1]Listas!A:B,2,0)</f>
        <v xml:space="preserve">FSTV </v>
      </c>
      <c r="I430" s="1" t="s">
        <v>440</v>
      </c>
      <c r="J430" s="12"/>
      <c r="K430" s="12"/>
      <c r="L430" s="1" t="s">
        <v>440</v>
      </c>
      <c r="M430" s="1" t="s">
        <v>617</v>
      </c>
      <c r="N430" s="14">
        <v>32440</v>
      </c>
      <c r="O430" s="1" t="s">
        <v>855</v>
      </c>
      <c r="P430" s="1" t="s">
        <v>856</v>
      </c>
      <c r="Q430" s="15" t="s">
        <v>807</v>
      </c>
      <c r="R430" s="1" t="s">
        <v>857</v>
      </c>
      <c r="S430" s="1" t="s">
        <v>868</v>
      </c>
      <c r="T430" s="1" t="s">
        <v>869</v>
      </c>
      <c r="U430" s="9" t="s">
        <v>811</v>
      </c>
      <c r="V430" s="1" t="s">
        <v>870</v>
      </c>
      <c r="W430" s="1" t="s">
        <v>1123</v>
      </c>
      <c r="X430" s="1" t="s">
        <v>168</v>
      </c>
      <c r="Y430" s="14">
        <v>45919</v>
      </c>
      <c r="Z430" s="9" t="s">
        <v>817</v>
      </c>
      <c r="AB430" s="14">
        <v>45919</v>
      </c>
      <c r="AC430" s="9" t="s">
        <v>817</v>
      </c>
      <c r="AD430" s="9" t="s">
        <v>818</v>
      </c>
      <c r="AE430" s="1" t="s">
        <v>819</v>
      </c>
      <c r="AF430" s="14" t="s">
        <v>820</v>
      </c>
      <c r="AG430" s="9" t="s">
        <v>821</v>
      </c>
      <c r="AH430" s="1" t="s">
        <v>9</v>
      </c>
      <c r="AI430" s="9" t="s">
        <v>10</v>
      </c>
      <c r="AJ430" s="1" t="s">
        <v>11</v>
      </c>
      <c r="AK430" s="1" t="s">
        <v>1845</v>
      </c>
      <c r="AL430" s="1" t="s">
        <v>1846</v>
      </c>
      <c r="AM430" s="9">
        <v>11458</v>
      </c>
      <c r="AN430" s="1" t="s">
        <v>169</v>
      </c>
      <c r="AO430" s="1" t="s">
        <v>480</v>
      </c>
      <c r="AP430" s="1" t="s">
        <v>1847</v>
      </c>
      <c r="AQ430" s="14">
        <v>45919</v>
      </c>
      <c r="AU430" s="14">
        <v>45919</v>
      </c>
      <c r="AV430" s="16">
        <v>0</v>
      </c>
      <c r="AW430" s="16">
        <v>0</v>
      </c>
      <c r="BA430" s="1" t="s">
        <v>911</v>
      </c>
      <c r="BB430" s="9">
        <v>38</v>
      </c>
      <c r="BC430" s="1" t="s">
        <v>1297</v>
      </c>
      <c r="BD430" s="9" t="s">
        <v>807</v>
      </c>
      <c r="BE430" s="1" t="s">
        <v>1848</v>
      </c>
      <c r="BF430" s="1" t="s">
        <v>481</v>
      </c>
      <c r="BG430" s="1" t="s">
        <v>1849</v>
      </c>
      <c r="BH430" s="1" t="s">
        <v>1850</v>
      </c>
      <c r="BI430" s="20" t="s">
        <v>983</v>
      </c>
      <c r="BJ430" s="21" t="str">
        <f>IF(NOT(ISERROR(SEARCH("SAFRISTA",X430))),"SAFRISTA","FIXO")</f>
        <v>FIXO</v>
      </c>
    </row>
    <row r="431" spans="1:62" x14ac:dyDescent="0.25">
      <c r="I431" s="1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48245-8E9A-4CC4-8042-C7652CBDB036}">
  <dimension ref="A1:S373"/>
  <sheetViews>
    <sheetView workbookViewId="0">
      <selection activeCell="I2" sqref="I2"/>
    </sheetView>
  </sheetViews>
  <sheetFormatPr defaultRowHeight="15" x14ac:dyDescent="0.25"/>
  <cols>
    <col min="1" max="1" width="9.5703125" customWidth="1"/>
    <col min="2" max="2" width="31.85546875" bestFit="1" customWidth="1"/>
    <col min="3" max="3" width="31.140625" bestFit="1" customWidth="1"/>
    <col min="4" max="8" width="31.140625" customWidth="1"/>
    <col min="9" max="9" width="38.85546875" bestFit="1" customWidth="1"/>
    <col min="10" max="10" width="29.28515625" bestFit="1" customWidth="1"/>
    <col min="11" max="11" width="22.28515625" customWidth="1"/>
    <col min="12" max="12" width="9.7109375" customWidth="1"/>
    <col min="13" max="13" width="17.42578125" customWidth="1"/>
    <col min="14" max="14" width="7.28515625" customWidth="1"/>
    <col min="15" max="15" width="30.7109375" bestFit="1" customWidth="1"/>
    <col min="16" max="16" width="15.28515625" customWidth="1"/>
    <col min="17" max="17" width="31.7109375" customWidth="1"/>
    <col min="18" max="18" width="10.7109375" bestFit="1" customWidth="1"/>
    <col min="19" max="19" width="55.28515625" bestFit="1" customWidth="1"/>
  </cols>
  <sheetData>
    <row r="1" spans="1:19" x14ac:dyDescent="0.25">
      <c r="A1" s="3" t="s">
        <v>675</v>
      </c>
      <c r="B1" s="3" t="s">
        <v>744</v>
      </c>
      <c r="C1" s="3" t="s">
        <v>734</v>
      </c>
      <c r="D1" s="3" t="s">
        <v>748</v>
      </c>
      <c r="E1" s="3" t="s">
        <v>747</v>
      </c>
      <c r="F1" s="3" t="s">
        <v>746</v>
      </c>
      <c r="G1" s="3" t="s">
        <v>745</v>
      </c>
      <c r="H1" s="3" t="s">
        <v>743</v>
      </c>
      <c r="I1" s="3" t="s">
        <v>676</v>
      </c>
      <c r="J1" s="3" t="s">
        <v>0</v>
      </c>
      <c r="K1" s="3" t="s">
        <v>1</v>
      </c>
      <c r="L1" s="3" t="s">
        <v>2</v>
      </c>
      <c r="M1" s="3" t="s">
        <v>3</v>
      </c>
      <c r="N1" s="3" t="s">
        <v>5</v>
      </c>
      <c r="O1" s="3" t="s">
        <v>742</v>
      </c>
      <c r="P1" s="3" t="s">
        <v>6</v>
      </c>
      <c r="Q1" s="3" t="s">
        <v>738</v>
      </c>
      <c r="R1" s="3" t="s">
        <v>736</v>
      </c>
      <c r="S1" s="3" t="s">
        <v>4</v>
      </c>
    </row>
    <row r="2" spans="1:19" x14ac:dyDescent="0.25">
      <c r="A2" s="1" t="s">
        <v>627</v>
      </c>
      <c r="B2" s="1" t="s">
        <v>41</v>
      </c>
      <c r="C2" t="s">
        <v>688</v>
      </c>
      <c r="D2" t="str" cm="1">
        <f t="array" ref="D2">IF(Tabela13[[#This Row],[Nivel]]="N1",INDEX(Tabela13[Lider],MATCH(Tabela13[[#This Row],[Nivel]]&amp;Tabela13[[#This Row],[Liderado]],Tabela13[Nivel]&amp;Tabela13[Liderado],0)))</f>
        <v>DOUGLAS MICHELS</v>
      </c>
      <c r="H2" t="s">
        <v>735</v>
      </c>
      <c r="I2" s="1" t="s">
        <v>38</v>
      </c>
      <c r="J2" s="1" t="s">
        <v>39</v>
      </c>
      <c r="K2" s="1" t="s">
        <v>9</v>
      </c>
      <c r="L2" s="2" t="s">
        <v>10</v>
      </c>
      <c r="M2" s="1" t="s">
        <v>11</v>
      </c>
      <c r="N2" s="2">
        <v>11324</v>
      </c>
      <c r="O2" s="1" t="s">
        <v>40</v>
      </c>
      <c r="P2" s="1" t="s">
        <v>31</v>
      </c>
      <c r="Q2" s="1" t="s">
        <v>629</v>
      </c>
      <c r="R2" s="1"/>
      <c r="S2" s="1" t="s">
        <v>687</v>
      </c>
    </row>
    <row r="3" spans="1:19" x14ac:dyDescent="0.25">
      <c r="A3" s="1" t="s">
        <v>624</v>
      </c>
      <c r="B3" s="1" t="s">
        <v>71</v>
      </c>
      <c r="C3" t="s">
        <v>693</v>
      </c>
      <c r="D3" t="str" cm="1">
        <f t="array" ref="D3">IF(Tabela13[[#This Row],[Nivel]]="N1",INDEX(Tabela13[Lider],MATCH(Tabela13[[#This Row],[Nivel]]&amp;Tabela13[[#This Row],[Liderado]],Tabela13[Nivel]&amp;Tabela13[Liderado],0)))</f>
        <v>THOMAS MATIAS MICHELS</v>
      </c>
      <c r="H3" t="s">
        <v>735</v>
      </c>
      <c r="I3" s="1" t="s">
        <v>67</v>
      </c>
      <c r="J3" s="1" t="s">
        <v>68</v>
      </c>
      <c r="K3" s="1" t="s">
        <v>17</v>
      </c>
      <c r="L3" s="2" t="s">
        <v>23</v>
      </c>
      <c r="M3" s="1" t="s">
        <v>24</v>
      </c>
      <c r="N3" s="2">
        <v>10113</v>
      </c>
      <c r="O3" s="1" t="s">
        <v>69</v>
      </c>
      <c r="P3" s="1" t="s">
        <v>70</v>
      </c>
      <c r="Q3" s="1" t="s">
        <v>635</v>
      </c>
      <c r="R3" s="1"/>
      <c r="S3" s="1" t="s">
        <v>692</v>
      </c>
    </row>
    <row r="4" spans="1:19" x14ac:dyDescent="0.25">
      <c r="A4" s="1" t="s">
        <v>624</v>
      </c>
      <c r="B4" s="1" t="s">
        <v>71</v>
      </c>
      <c r="C4" t="s">
        <v>693</v>
      </c>
      <c r="D4" t="str" cm="1">
        <f t="array" ref="D4">IF(Tabela13[[#This Row],[Nivel]]="N1",INDEX(Tabela13[Lider],MATCH(Tabela13[[#This Row],[Nivel]]&amp;Tabela13[[#This Row],[Liderado]],Tabela13[Nivel]&amp;Tabela13[Liderado],0)))</f>
        <v>THOMAS MATIAS MICHELS</v>
      </c>
      <c r="H4" t="s">
        <v>735</v>
      </c>
      <c r="I4" s="1" t="s">
        <v>81</v>
      </c>
      <c r="J4" s="1" t="s">
        <v>82</v>
      </c>
      <c r="K4" s="1" t="s">
        <v>9</v>
      </c>
      <c r="L4" s="2" t="s">
        <v>10</v>
      </c>
      <c r="M4" s="1" t="s">
        <v>11</v>
      </c>
      <c r="N4" s="2">
        <v>10101</v>
      </c>
      <c r="O4" s="1" t="s">
        <v>83</v>
      </c>
      <c r="P4" s="1" t="s">
        <v>84</v>
      </c>
      <c r="Q4" s="1" t="s">
        <v>636</v>
      </c>
      <c r="R4" s="1"/>
      <c r="S4" s="1" t="s">
        <v>692</v>
      </c>
    </row>
    <row r="5" spans="1:19" x14ac:dyDescent="0.25">
      <c r="A5" s="1" t="s">
        <v>624</v>
      </c>
      <c r="B5" s="1" t="s">
        <v>71</v>
      </c>
      <c r="C5" t="s">
        <v>693</v>
      </c>
      <c r="D5" t="str" cm="1">
        <f t="array" ref="D5">IF(Tabela13[[#This Row],[Nivel]]="N1",INDEX(Tabela13[Lider],MATCH(Tabela13[[#This Row],[Nivel]]&amp;Tabela13[[#This Row],[Liderado]],Tabela13[Nivel]&amp;Tabela13[Liderado],0)))</f>
        <v>THOMAS MATIAS MICHELS</v>
      </c>
      <c r="H5" t="s">
        <v>735</v>
      </c>
      <c r="I5" s="1" t="s">
        <v>27</v>
      </c>
      <c r="J5" s="1" t="s">
        <v>85</v>
      </c>
      <c r="K5" s="1" t="s">
        <v>17</v>
      </c>
      <c r="L5" s="2" t="s">
        <v>10</v>
      </c>
      <c r="M5" s="1" t="s">
        <v>11</v>
      </c>
      <c r="N5" s="2">
        <v>10126</v>
      </c>
      <c r="O5" s="1" t="s">
        <v>86</v>
      </c>
      <c r="P5" s="1" t="s">
        <v>87</v>
      </c>
      <c r="Q5" s="1" t="s">
        <v>637</v>
      </c>
      <c r="R5" s="1"/>
      <c r="S5" s="1" t="s">
        <v>692</v>
      </c>
    </row>
    <row r="6" spans="1:19" x14ac:dyDescent="0.25">
      <c r="A6" s="1" t="s">
        <v>644</v>
      </c>
      <c r="B6" s="1" t="s">
        <v>71</v>
      </c>
      <c r="C6" t="s">
        <v>693</v>
      </c>
      <c r="D6" t="str" cm="1">
        <f t="array" ref="D6">IF(Tabela13[[#This Row],[Nivel]]="N1",INDEX(Tabela13[Lider],MATCH(Tabela13[[#This Row],[Nivel]]&amp;Tabela13[[#This Row],[Liderado]],Tabela13[Nivel]&amp;Tabela13[Liderado],0)))</f>
        <v>THOMAS MATIAS MICHELS</v>
      </c>
      <c r="H6" t="s">
        <v>735</v>
      </c>
      <c r="I6" s="1" t="s">
        <v>131</v>
      </c>
      <c r="J6" s="1" t="s">
        <v>132</v>
      </c>
      <c r="K6" s="1" t="s">
        <v>9</v>
      </c>
      <c r="L6" s="2" t="s">
        <v>10</v>
      </c>
      <c r="M6" s="1" t="s">
        <v>11</v>
      </c>
      <c r="N6" s="2">
        <v>19903</v>
      </c>
      <c r="O6" s="1" t="s">
        <v>133</v>
      </c>
      <c r="P6" s="1" t="s">
        <v>134</v>
      </c>
      <c r="Q6" s="1" t="s">
        <v>645</v>
      </c>
      <c r="R6" s="1" t="s">
        <v>646</v>
      </c>
      <c r="S6" s="1" t="s">
        <v>692</v>
      </c>
    </row>
    <row r="7" spans="1:19" x14ac:dyDescent="0.25">
      <c r="A7" s="1" t="s">
        <v>624</v>
      </c>
      <c r="B7" s="1" t="s">
        <v>71</v>
      </c>
      <c r="C7" t="s">
        <v>693</v>
      </c>
      <c r="D7" t="str" cm="1">
        <f t="array" ref="D7">IF(Tabela13[[#This Row],[Nivel]]="N1",INDEX(Tabela13[Lider],MATCH(Tabela13[[#This Row],[Nivel]]&amp;Tabela13[[#This Row],[Liderado]],Tabela13[Nivel]&amp;Tabela13[Liderado],0)))</f>
        <v>THOMAS MATIAS MICHELS</v>
      </c>
      <c r="H7" t="s">
        <v>735</v>
      </c>
      <c r="I7" s="1" t="s">
        <v>141</v>
      </c>
      <c r="J7" s="1" t="s">
        <v>142</v>
      </c>
      <c r="K7" s="1" t="s">
        <v>9</v>
      </c>
      <c r="L7" s="2" t="s">
        <v>10</v>
      </c>
      <c r="M7" s="1" t="s">
        <v>11</v>
      </c>
      <c r="N7" s="2">
        <v>10108</v>
      </c>
      <c r="O7" s="1" t="s">
        <v>18</v>
      </c>
      <c r="P7" s="1" t="s">
        <v>19</v>
      </c>
      <c r="Q7" s="1" t="s">
        <v>626</v>
      </c>
      <c r="R7" s="1"/>
      <c r="S7" s="1" t="s">
        <v>692</v>
      </c>
    </row>
    <row r="8" spans="1:19" x14ac:dyDescent="0.25">
      <c r="A8" s="1" t="s">
        <v>641</v>
      </c>
      <c r="B8" s="1" t="s">
        <v>71</v>
      </c>
      <c r="C8" t="s">
        <v>693</v>
      </c>
      <c r="D8" t="str" cm="1">
        <f t="array" ref="D8">IF(Tabela13[[#This Row],[Nivel]]="N1",INDEX(Tabela13[Lider],MATCH(Tabela13[[#This Row],[Nivel]]&amp;Tabela13[[#This Row],[Liderado]],Tabela13[Nivel]&amp;Tabela13[Liderado],0)))</f>
        <v>THOMAS MATIAS MICHELS</v>
      </c>
      <c r="H8" t="s">
        <v>735</v>
      </c>
      <c r="I8" s="1" t="s">
        <v>173</v>
      </c>
      <c r="J8" s="1" t="s">
        <v>29</v>
      </c>
      <c r="K8" s="1" t="s">
        <v>9</v>
      </c>
      <c r="L8" s="2" t="s">
        <v>10</v>
      </c>
      <c r="M8" s="1" t="s">
        <v>11</v>
      </c>
      <c r="N8" s="2">
        <v>11034</v>
      </c>
      <c r="O8" s="1" t="s">
        <v>174</v>
      </c>
      <c r="P8" s="1" t="s">
        <v>175</v>
      </c>
      <c r="Q8" s="1" t="s">
        <v>629</v>
      </c>
      <c r="R8" s="1"/>
      <c r="S8" s="1" t="s">
        <v>692</v>
      </c>
    </row>
    <row r="9" spans="1:19" x14ac:dyDescent="0.25">
      <c r="A9" s="1" t="s">
        <v>641</v>
      </c>
      <c r="B9" s="1" t="s">
        <v>71</v>
      </c>
      <c r="C9" t="s">
        <v>693</v>
      </c>
      <c r="D9" t="str" cm="1">
        <f t="array" ref="D9">IF(Tabela13[[#This Row],[Nivel]]="N1",INDEX(Tabela13[Lider],MATCH(Tabela13[[#This Row],[Nivel]]&amp;Tabela13[[#This Row],[Liderado]],Tabela13[Nivel]&amp;Tabela13[Liderado],0)))</f>
        <v>THOMAS MATIAS MICHELS</v>
      </c>
      <c r="H9" t="s">
        <v>735</v>
      </c>
      <c r="I9" s="1" t="s">
        <v>116</v>
      </c>
      <c r="J9" s="1" t="s">
        <v>189</v>
      </c>
      <c r="K9" s="1" t="s">
        <v>9</v>
      </c>
      <c r="L9" s="2" t="s">
        <v>10</v>
      </c>
      <c r="M9" s="1" t="s">
        <v>11</v>
      </c>
      <c r="N9" s="2">
        <v>11024</v>
      </c>
      <c r="O9" s="1" t="s">
        <v>40</v>
      </c>
      <c r="P9" s="1" t="s">
        <v>175</v>
      </c>
      <c r="Q9" s="1" t="s">
        <v>629</v>
      </c>
      <c r="R9" s="1"/>
      <c r="S9" s="1" t="s">
        <v>692</v>
      </c>
    </row>
    <row r="10" spans="1:19" x14ac:dyDescent="0.25">
      <c r="A10" s="1" t="s">
        <v>624</v>
      </c>
      <c r="B10" s="1" t="s">
        <v>71</v>
      </c>
      <c r="C10" t="s">
        <v>693</v>
      </c>
      <c r="D10" t="str" cm="1">
        <f t="array" ref="D10">IF(Tabela13[[#This Row],[Nivel]]="N1",INDEX(Tabela13[Lider],MATCH(Tabela13[[#This Row],[Nivel]]&amp;Tabela13[[#This Row],[Liderado]],Tabela13[Nivel]&amp;Tabela13[Liderado],0)))</f>
        <v>THOMAS MATIAS MICHELS</v>
      </c>
      <c r="H10" t="s">
        <v>735</v>
      </c>
      <c r="I10" s="1" t="s">
        <v>14</v>
      </c>
      <c r="J10" s="1" t="s">
        <v>218</v>
      </c>
      <c r="K10" s="1" t="s">
        <v>9</v>
      </c>
      <c r="L10" s="2" t="s">
        <v>10</v>
      </c>
      <c r="M10" s="1" t="s">
        <v>11</v>
      </c>
      <c r="N10" s="2">
        <v>10105</v>
      </c>
      <c r="O10" s="1" t="s">
        <v>101</v>
      </c>
      <c r="P10" s="1" t="s">
        <v>102</v>
      </c>
      <c r="Q10" s="1" t="s">
        <v>640</v>
      </c>
      <c r="R10" s="1"/>
      <c r="S10" s="1" t="s">
        <v>692</v>
      </c>
    </row>
    <row r="11" spans="1:19" x14ac:dyDescent="0.25">
      <c r="A11" s="1" t="s">
        <v>624</v>
      </c>
      <c r="B11" s="1" t="s">
        <v>71</v>
      </c>
      <c r="C11" t="s">
        <v>693</v>
      </c>
      <c r="D11" t="str" cm="1">
        <f t="array" ref="D11">IF(Tabela13[[#This Row],[Nivel]]="N1",INDEX(Tabela13[Lider],MATCH(Tabela13[[#This Row],[Nivel]]&amp;Tabela13[[#This Row],[Liderado]],Tabela13[Nivel]&amp;Tabela13[Liderado],0)))</f>
        <v>THOMAS MATIAS MICHELS</v>
      </c>
      <c r="H11" t="s">
        <v>735</v>
      </c>
      <c r="I11" s="1" t="s">
        <v>225</v>
      </c>
      <c r="J11" s="1" t="s">
        <v>203</v>
      </c>
      <c r="K11" s="1" t="s">
        <v>9</v>
      </c>
      <c r="L11" s="2" t="s">
        <v>10</v>
      </c>
      <c r="M11" s="1" t="s">
        <v>11</v>
      </c>
      <c r="N11" s="2">
        <v>10101</v>
      </c>
      <c r="O11" s="1" t="s">
        <v>83</v>
      </c>
      <c r="P11" s="1" t="s">
        <v>226</v>
      </c>
      <c r="Q11" s="1" t="s">
        <v>655</v>
      </c>
      <c r="R11" s="1"/>
      <c r="S11" s="1" t="s">
        <v>692</v>
      </c>
    </row>
    <row r="12" spans="1:19" x14ac:dyDescent="0.25">
      <c r="A12" s="1" t="s">
        <v>657</v>
      </c>
      <c r="B12" s="1" t="s">
        <v>71</v>
      </c>
      <c r="C12" t="s">
        <v>693</v>
      </c>
      <c r="D12" t="str" cm="1">
        <f t="array" ref="D12">IF(Tabela13[[#This Row],[Nivel]]="N1",INDEX(Tabela13[Lider],MATCH(Tabela13[[#This Row],[Nivel]]&amp;Tabela13[[#This Row],[Liderado]],Tabela13[Nivel]&amp;Tabela13[Liderado],0)))</f>
        <v>THOMAS MATIAS MICHELS</v>
      </c>
      <c r="H12" t="s">
        <v>735</v>
      </c>
      <c r="I12" s="1" t="s">
        <v>263</v>
      </c>
      <c r="J12" s="1" t="s">
        <v>189</v>
      </c>
      <c r="K12" s="1" t="s">
        <v>17</v>
      </c>
      <c r="L12" s="2" t="s">
        <v>10</v>
      </c>
      <c r="M12" s="1" t="s">
        <v>11</v>
      </c>
      <c r="N12" s="2">
        <v>11143</v>
      </c>
      <c r="O12" s="1" t="s">
        <v>114</v>
      </c>
      <c r="P12" s="1" t="s">
        <v>266</v>
      </c>
      <c r="Q12" s="1" t="s">
        <v>629</v>
      </c>
      <c r="R12" s="1"/>
      <c r="S12" s="1" t="s">
        <v>692</v>
      </c>
    </row>
    <row r="13" spans="1:19" x14ac:dyDescent="0.25">
      <c r="A13" s="1" t="s">
        <v>661</v>
      </c>
      <c r="B13" s="1" t="s">
        <v>271</v>
      </c>
      <c r="C13" t="s">
        <v>688</v>
      </c>
      <c r="D13" t="str" cm="1">
        <f t="array" ref="D13">IF(Tabela13[[#This Row],[Nivel]]="N1",INDEX(Tabela13[Lider],MATCH(Tabela13[[#This Row],[Nivel]]&amp;Tabela13[[#This Row],[Liderado]],Tabela13[Nivel]&amp;Tabela13[Liderado],0)))</f>
        <v>VINICIUS TEODORO MICHELS</v>
      </c>
      <c r="H13" t="s">
        <v>735</v>
      </c>
      <c r="I13" s="1" t="s">
        <v>280</v>
      </c>
      <c r="J13" s="1" t="s">
        <v>281</v>
      </c>
      <c r="K13" s="1" t="s">
        <v>17</v>
      </c>
      <c r="L13" s="2" t="s">
        <v>10</v>
      </c>
      <c r="M13" s="1" t="s">
        <v>11</v>
      </c>
      <c r="N13" s="2">
        <v>11524</v>
      </c>
      <c r="O13" s="1" t="s">
        <v>40</v>
      </c>
      <c r="P13" s="1" t="s">
        <v>282</v>
      </c>
      <c r="Q13" s="1" t="s">
        <v>629</v>
      </c>
      <c r="R13" s="1"/>
      <c r="S13" s="1" t="s">
        <v>692</v>
      </c>
    </row>
    <row r="14" spans="1:19" x14ac:dyDescent="0.25">
      <c r="A14" s="1" t="s">
        <v>658</v>
      </c>
      <c r="B14" s="1" t="s">
        <v>271</v>
      </c>
      <c r="C14" t="s">
        <v>688</v>
      </c>
      <c r="D14" t="str" cm="1">
        <f t="array" ref="D14">IF(Tabela13[[#This Row],[Nivel]]="N1",INDEX(Tabela13[Lider],MATCH(Tabela13[[#This Row],[Nivel]]&amp;Tabela13[[#This Row],[Liderado]],Tabela13[Nivel]&amp;Tabela13[Liderado],0)))</f>
        <v>VINICIUS TEODORO MICHELS</v>
      </c>
      <c r="H14" t="s">
        <v>735</v>
      </c>
      <c r="I14" s="1" t="s">
        <v>296</v>
      </c>
      <c r="J14" s="1" t="s">
        <v>281</v>
      </c>
      <c r="K14" s="1" t="s">
        <v>9</v>
      </c>
      <c r="L14" s="2" t="s">
        <v>10</v>
      </c>
      <c r="M14" s="1" t="s">
        <v>11</v>
      </c>
      <c r="N14" s="2">
        <v>11224</v>
      </c>
      <c r="O14" s="1" t="s">
        <v>40</v>
      </c>
      <c r="P14" s="1" t="s">
        <v>292</v>
      </c>
      <c r="Q14" s="1" t="s">
        <v>629</v>
      </c>
      <c r="R14" s="1"/>
      <c r="S14" s="1" t="s">
        <v>692</v>
      </c>
    </row>
    <row r="15" spans="1:19" x14ac:dyDescent="0.25">
      <c r="A15" s="1" t="s">
        <v>664</v>
      </c>
      <c r="B15" s="1" t="s">
        <v>71</v>
      </c>
      <c r="C15" t="s">
        <v>693</v>
      </c>
      <c r="D15" t="str" cm="1">
        <f t="array" ref="D15">IF(Tabela13[[#This Row],[Nivel]]="N1",INDEX(Tabela13[Lider],MATCH(Tabela13[[#This Row],[Nivel]]&amp;Tabela13[[#This Row],[Liderado]],Tabela13[Nivel]&amp;Tabela13[Liderado],0)))</f>
        <v>THOMAS MATIAS MICHELS</v>
      </c>
      <c r="H15" t="s">
        <v>735</v>
      </c>
      <c r="I15" s="1" t="s">
        <v>362</v>
      </c>
      <c r="J15" s="1" t="s">
        <v>189</v>
      </c>
      <c r="K15" s="1" t="s">
        <v>9</v>
      </c>
      <c r="L15" s="2" t="s">
        <v>10</v>
      </c>
      <c r="M15" s="1" t="s">
        <v>11</v>
      </c>
      <c r="N15" s="2">
        <v>11624</v>
      </c>
      <c r="O15" s="1" t="s">
        <v>40</v>
      </c>
      <c r="P15" s="1" t="s">
        <v>363</v>
      </c>
      <c r="Q15" s="1" t="s">
        <v>629</v>
      </c>
      <c r="R15" s="1"/>
      <c r="S15" s="1" t="s">
        <v>692</v>
      </c>
    </row>
    <row r="16" spans="1:19" x14ac:dyDescent="0.25">
      <c r="A16" s="1" t="s">
        <v>666</v>
      </c>
      <c r="B16" s="1" t="s">
        <v>71</v>
      </c>
      <c r="C16" t="s">
        <v>693</v>
      </c>
      <c r="D16" t="str" cm="1">
        <f t="array" ref="D16">IF(Tabela13[[#This Row],[Nivel]]="N1",INDEX(Tabela13[Lider],MATCH(Tabela13[[#This Row],[Nivel]]&amp;Tabela13[[#This Row],[Liderado]],Tabela13[Nivel]&amp;Tabela13[Liderado],0)))</f>
        <v>THOMAS MATIAS MICHELS</v>
      </c>
      <c r="H16" t="s">
        <v>735</v>
      </c>
      <c r="I16" s="1" t="s">
        <v>385</v>
      </c>
      <c r="J16" s="1" t="s">
        <v>104</v>
      </c>
      <c r="K16" s="1" t="s">
        <v>9</v>
      </c>
      <c r="L16" s="2" t="s">
        <v>10</v>
      </c>
      <c r="M16" s="1" t="s">
        <v>11</v>
      </c>
      <c r="N16" s="2">
        <v>10301</v>
      </c>
      <c r="O16" s="1" t="s">
        <v>83</v>
      </c>
      <c r="P16" s="1" t="s">
        <v>386</v>
      </c>
      <c r="Q16" s="1" t="s">
        <v>653</v>
      </c>
      <c r="R16" s="1"/>
      <c r="S16" s="1" t="s">
        <v>692</v>
      </c>
    </row>
    <row r="17" spans="1:19" x14ac:dyDescent="0.25">
      <c r="A17" s="1" t="s">
        <v>671</v>
      </c>
      <c r="B17" s="1" t="s">
        <v>41</v>
      </c>
      <c r="C17" t="s">
        <v>688</v>
      </c>
      <c r="D17" t="str" cm="1">
        <f t="array" ref="D17">IF(Tabela13[[#This Row],[Nivel]]="N1",INDEX(Tabela13[Lider],MATCH(Tabela13[[#This Row],[Nivel]]&amp;Tabela13[[#This Row],[Liderado]],Tabela13[Nivel]&amp;Tabela13[Liderado],0)))</f>
        <v>DOUGLAS MICHELS</v>
      </c>
      <c r="H17" t="s">
        <v>735</v>
      </c>
      <c r="I17" s="1" t="s">
        <v>440</v>
      </c>
      <c r="J17" s="1" t="s">
        <v>441</v>
      </c>
      <c r="K17" s="1" t="s">
        <v>17</v>
      </c>
      <c r="L17" s="2" t="s">
        <v>10</v>
      </c>
      <c r="M17" s="1" t="s">
        <v>11</v>
      </c>
      <c r="N17" s="2">
        <v>11424</v>
      </c>
      <c r="O17" s="1" t="s">
        <v>40</v>
      </c>
      <c r="P17" s="1" t="s">
        <v>442</v>
      </c>
      <c r="Q17" s="1" t="s">
        <v>629</v>
      </c>
      <c r="R17" s="1"/>
      <c r="S17" s="1" t="s">
        <v>687</v>
      </c>
    </row>
    <row r="18" spans="1:19" x14ac:dyDescent="0.25">
      <c r="A18" s="1" t="s">
        <v>670</v>
      </c>
      <c r="B18" s="1" t="s">
        <v>41</v>
      </c>
      <c r="C18" t="s">
        <v>688</v>
      </c>
      <c r="D18" t="str" cm="1">
        <f t="array" ref="D18">IF(Tabela13[[#This Row],[Nivel]]="N1",INDEX(Tabela13[Lider],MATCH(Tabela13[[#This Row],[Nivel]]&amp;Tabela13[[#This Row],[Liderado]],Tabela13[Nivel]&amp;Tabela13[Liderado],0)))</f>
        <v>DOUGLAS MICHELS</v>
      </c>
      <c r="H18" t="s">
        <v>735</v>
      </c>
      <c r="I18" s="1" t="s">
        <v>444</v>
      </c>
      <c r="J18" s="1" t="s">
        <v>281</v>
      </c>
      <c r="K18" s="1" t="s">
        <v>17</v>
      </c>
      <c r="L18" s="2" t="s">
        <v>10</v>
      </c>
      <c r="M18" s="1" t="s">
        <v>11</v>
      </c>
      <c r="N18" s="2">
        <v>11724</v>
      </c>
      <c r="O18" s="1" t="s">
        <v>40</v>
      </c>
      <c r="P18" s="1" t="s">
        <v>447</v>
      </c>
      <c r="Q18" s="1" t="s">
        <v>629</v>
      </c>
      <c r="R18" s="1"/>
      <c r="S18" s="1" t="s">
        <v>687</v>
      </c>
    </row>
    <row r="19" spans="1:19" x14ac:dyDescent="0.25">
      <c r="A19" s="1" t="s">
        <v>624</v>
      </c>
      <c r="B19" s="1" t="s">
        <v>14</v>
      </c>
      <c r="C19" t="s">
        <v>678</v>
      </c>
      <c r="D19" t="b" cm="1">
        <f t="array" ref="D19">IF(Tabela13[[#This Row],[Nivel]]="N1",INDEX(Tabela13[Lider],MATCH(Tabela13[[#This Row],[Nivel]]&amp;Tabela13[[#This Row],[Liderado]],Tabela13[Nivel]&amp;Tabela13[Liderado],0)))</f>
        <v>0</v>
      </c>
      <c r="H19" t="s">
        <v>737</v>
      </c>
      <c r="I19" s="1" t="s">
        <v>7</v>
      </c>
      <c r="J19" s="1" t="s">
        <v>8</v>
      </c>
      <c r="K19" s="1" t="s">
        <v>9</v>
      </c>
      <c r="L19" s="2" t="s">
        <v>10</v>
      </c>
      <c r="M19" s="1" t="s">
        <v>11</v>
      </c>
      <c r="N19" s="2">
        <v>10131</v>
      </c>
      <c r="O19" s="1" t="s">
        <v>12</v>
      </c>
      <c r="P19" s="1" t="s">
        <v>13</v>
      </c>
      <c r="Q19" s="1" t="s">
        <v>625</v>
      </c>
      <c r="R19" s="1"/>
      <c r="S19" s="1" t="s">
        <v>677</v>
      </c>
    </row>
    <row r="20" spans="1:19" x14ac:dyDescent="0.25">
      <c r="A20" s="1" t="s">
        <v>627</v>
      </c>
      <c r="B20" s="1" t="s">
        <v>27</v>
      </c>
      <c r="C20" t="s">
        <v>682</v>
      </c>
      <c r="D20" t="b" cm="1">
        <f t="array" ref="D20">IF(Tabela13[[#This Row],[Nivel]]="N1",INDEX(Tabela13[Lider],MATCH(Tabela13[[#This Row],[Nivel]]&amp;Tabela13[[#This Row],[Liderado]],Tabela13[Nivel]&amp;Tabela13[Liderado],0)))</f>
        <v>0</v>
      </c>
      <c r="H20" t="s">
        <v>737</v>
      </c>
      <c r="I20" s="1" t="s">
        <v>21</v>
      </c>
      <c r="J20" s="1" t="s">
        <v>22</v>
      </c>
      <c r="K20" s="1" t="s">
        <v>9</v>
      </c>
      <c r="L20" s="2" t="s">
        <v>23</v>
      </c>
      <c r="M20" s="1" t="s">
        <v>24</v>
      </c>
      <c r="N20" s="2">
        <v>11301</v>
      </c>
      <c r="O20" s="1" t="s">
        <v>25</v>
      </c>
      <c r="P20" s="1" t="s">
        <v>26</v>
      </c>
      <c r="Q20" s="1" t="s">
        <v>628</v>
      </c>
      <c r="R20" s="1"/>
      <c r="S20" s="1" t="s">
        <v>681</v>
      </c>
    </row>
    <row r="21" spans="1:19" x14ac:dyDescent="0.25">
      <c r="A21" s="1" t="s">
        <v>627</v>
      </c>
      <c r="B21" s="1" t="s">
        <v>38</v>
      </c>
      <c r="C21" t="s">
        <v>689</v>
      </c>
      <c r="D21" t="b" cm="1">
        <f t="array" ref="D21">IF(Tabela13[[#This Row],[Nivel]]="N1",INDEX(Tabela13[Lider],MATCH(Tabela13[[#This Row],[Nivel]]&amp;Tabela13[[#This Row],[Liderado]],Tabela13[Nivel]&amp;Tabela13[Liderado],0)))</f>
        <v>0</v>
      </c>
      <c r="H21" t="s">
        <v>737</v>
      </c>
      <c r="I21" s="1" t="s">
        <v>42</v>
      </c>
      <c r="J21" s="1" t="s">
        <v>43</v>
      </c>
      <c r="K21" s="1" t="s">
        <v>17</v>
      </c>
      <c r="L21" s="2" t="s">
        <v>10</v>
      </c>
      <c r="M21" s="1" t="s">
        <v>11</v>
      </c>
      <c r="N21" s="2">
        <v>11378</v>
      </c>
      <c r="O21" s="1" t="s">
        <v>44</v>
      </c>
      <c r="P21" s="1" t="s">
        <v>31</v>
      </c>
      <c r="Q21" s="1" t="s">
        <v>629</v>
      </c>
      <c r="R21" s="1"/>
      <c r="S21" s="1" t="s">
        <v>685</v>
      </c>
    </row>
    <row r="22" spans="1:19" x14ac:dyDescent="0.25">
      <c r="A22" s="1" t="s">
        <v>627</v>
      </c>
      <c r="B22" s="1" t="s">
        <v>27</v>
      </c>
      <c r="C22" t="s">
        <v>682</v>
      </c>
      <c r="D22" t="b" cm="1">
        <f t="array" ref="D22">IF(Tabela13[[#This Row],[Nivel]]="N1",INDEX(Tabela13[Lider],MATCH(Tabela13[[#This Row],[Nivel]]&amp;Tabela13[[#This Row],[Liderado]],Tabela13[Nivel]&amp;Tabela13[Liderado],0)))</f>
        <v>0</v>
      </c>
      <c r="H22" t="s">
        <v>737</v>
      </c>
      <c r="I22" s="1" t="s">
        <v>50</v>
      </c>
      <c r="J22" s="1" t="s">
        <v>51</v>
      </c>
      <c r="K22" s="1" t="s">
        <v>9</v>
      </c>
      <c r="L22" s="2" t="s">
        <v>10</v>
      </c>
      <c r="M22" s="1" t="s">
        <v>11</v>
      </c>
      <c r="N22" s="2">
        <v>11305</v>
      </c>
      <c r="O22" s="1" t="s">
        <v>52</v>
      </c>
      <c r="P22" s="1" t="s">
        <v>53</v>
      </c>
      <c r="Q22" s="1" t="s">
        <v>632</v>
      </c>
      <c r="R22" s="1"/>
      <c r="S22" s="1" t="s">
        <v>681</v>
      </c>
    </row>
    <row r="23" spans="1:19" x14ac:dyDescent="0.25">
      <c r="A23" s="1" t="s">
        <v>627</v>
      </c>
      <c r="B23" s="1" t="s">
        <v>38</v>
      </c>
      <c r="C23" t="s">
        <v>689</v>
      </c>
      <c r="D23" t="b" cm="1">
        <f t="array" ref="D23">IF(Tabela13[[#This Row],[Nivel]]="N1",INDEX(Tabela13[Lider],MATCH(Tabela13[[#This Row],[Nivel]]&amp;Tabela13[[#This Row],[Liderado]],Tabela13[Nivel]&amp;Tabela13[Liderado],0)))</f>
        <v>0</v>
      </c>
      <c r="H23" t="s">
        <v>737</v>
      </c>
      <c r="I23" s="1" t="s">
        <v>32</v>
      </c>
      <c r="J23" s="1" t="s">
        <v>65</v>
      </c>
      <c r="K23" s="1" t="s">
        <v>17</v>
      </c>
      <c r="L23" s="2" t="s">
        <v>10</v>
      </c>
      <c r="M23" s="1" t="s">
        <v>11</v>
      </c>
      <c r="N23" s="2">
        <v>11336</v>
      </c>
      <c r="O23" s="1" t="s">
        <v>62</v>
      </c>
      <c r="P23" s="1" t="s">
        <v>66</v>
      </c>
      <c r="Q23" s="1" t="s">
        <v>634</v>
      </c>
      <c r="R23" s="1"/>
      <c r="S23" s="1" t="s">
        <v>685</v>
      </c>
    </row>
    <row r="24" spans="1:19" x14ac:dyDescent="0.25">
      <c r="A24" s="1" t="s">
        <v>624</v>
      </c>
      <c r="B24" s="1" t="s">
        <v>67</v>
      </c>
      <c r="C24" t="s">
        <v>695</v>
      </c>
      <c r="D24" t="b" cm="1">
        <f t="array" ref="D24">IF(Tabela13[[#This Row],[Nivel]]="N1",INDEX(Tabela13[Lider],MATCH(Tabela13[[#This Row],[Nivel]]&amp;Tabela13[[#This Row],[Liderado]],Tabela13[Nivel]&amp;Tabela13[Liderado],0)))</f>
        <v>0</v>
      </c>
      <c r="H24" t="s">
        <v>737</v>
      </c>
      <c r="I24" s="1" t="s">
        <v>72</v>
      </c>
      <c r="J24" s="1" t="s">
        <v>73</v>
      </c>
      <c r="K24" s="1" t="s">
        <v>9</v>
      </c>
      <c r="L24" s="2" t="s">
        <v>10</v>
      </c>
      <c r="M24" s="1" t="s">
        <v>11</v>
      </c>
      <c r="N24" s="2">
        <v>10113</v>
      </c>
      <c r="O24" s="1" t="s">
        <v>69</v>
      </c>
      <c r="P24" s="1" t="s">
        <v>70</v>
      </c>
      <c r="Q24" s="1" t="s">
        <v>635</v>
      </c>
      <c r="R24" s="1"/>
      <c r="S24" s="1" t="s">
        <v>694</v>
      </c>
    </row>
    <row r="25" spans="1:19" x14ac:dyDescent="0.25">
      <c r="A25" s="1" t="s">
        <v>627</v>
      </c>
      <c r="B25" s="1" t="s">
        <v>38</v>
      </c>
      <c r="C25" t="s">
        <v>689</v>
      </c>
      <c r="D25" t="b" cm="1">
        <f t="array" ref="D25">IF(Tabela13[[#This Row],[Nivel]]="N1",INDEX(Tabela13[Lider],MATCH(Tabela13[[#This Row],[Nivel]]&amp;Tabela13[[#This Row],[Liderado]],Tabela13[Nivel]&amp;Tabela13[Liderado],0)))</f>
        <v>0</v>
      </c>
      <c r="H25" t="s">
        <v>737</v>
      </c>
      <c r="I25" s="1" t="s">
        <v>91</v>
      </c>
      <c r="J25" s="1" t="s">
        <v>92</v>
      </c>
      <c r="K25" s="1" t="s">
        <v>9</v>
      </c>
      <c r="L25" s="2" t="s">
        <v>10</v>
      </c>
      <c r="M25" s="1" t="s">
        <v>11</v>
      </c>
      <c r="N25" s="2">
        <v>11387</v>
      </c>
      <c r="O25" s="1" t="s">
        <v>93</v>
      </c>
      <c r="P25" s="1" t="s">
        <v>94</v>
      </c>
      <c r="Q25" s="1" t="s">
        <v>639</v>
      </c>
      <c r="R25" s="1"/>
      <c r="S25" s="1" t="s">
        <v>685</v>
      </c>
    </row>
    <row r="26" spans="1:19" x14ac:dyDescent="0.25">
      <c r="A26" s="1" t="s">
        <v>627</v>
      </c>
      <c r="B26" s="1" t="s">
        <v>14</v>
      </c>
      <c r="C26" t="s">
        <v>678</v>
      </c>
      <c r="D26" t="b" cm="1">
        <f t="array" ref="D26">IF(Tabela13[[#This Row],[Nivel]]="N1",INDEX(Tabela13[Lider],MATCH(Tabela13[[#This Row],[Nivel]]&amp;Tabela13[[#This Row],[Liderado]],Tabela13[Nivel]&amp;Tabela13[Liderado],0)))</f>
        <v>0</v>
      </c>
      <c r="H26" t="s">
        <v>737</v>
      </c>
      <c r="I26" s="1" t="s">
        <v>95</v>
      </c>
      <c r="J26" s="1" t="s">
        <v>8</v>
      </c>
      <c r="K26" s="1" t="s">
        <v>17</v>
      </c>
      <c r="L26" s="2" t="s">
        <v>10</v>
      </c>
      <c r="M26" s="1" t="s">
        <v>11</v>
      </c>
      <c r="N26" s="2">
        <v>11367</v>
      </c>
      <c r="O26" s="1" t="s">
        <v>12</v>
      </c>
      <c r="P26" s="1" t="s">
        <v>96</v>
      </c>
      <c r="Q26" s="1" t="s">
        <v>625</v>
      </c>
      <c r="R26" s="1"/>
      <c r="S26" s="1" t="s">
        <v>677</v>
      </c>
    </row>
    <row r="27" spans="1:19" x14ac:dyDescent="0.25">
      <c r="A27" s="1" t="s">
        <v>624</v>
      </c>
      <c r="B27" s="1" t="s">
        <v>14</v>
      </c>
      <c r="C27" t="s">
        <v>678</v>
      </c>
      <c r="D27" t="b" cm="1">
        <f t="array" ref="D27">IF(Tabela13[[#This Row],[Nivel]]="N1",INDEX(Tabela13[Lider],MATCH(Tabela13[[#This Row],[Nivel]]&amp;Tabela13[[#This Row],[Liderado]],Tabela13[Nivel]&amp;Tabela13[Liderado],0)))</f>
        <v>0</v>
      </c>
      <c r="H27" t="s">
        <v>737</v>
      </c>
      <c r="I27" s="1" t="s">
        <v>97</v>
      </c>
      <c r="J27" s="1" t="s">
        <v>98</v>
      </c>
      <c r="K27" s="1" t="s">
        <v>9</v>
      </c>
      <c r="L27" s="2" t="s">
        <v>10</v>
      </c>
      <c r="M27" s="1" t="s">
        <v>11</v>
      </c>
      <c r="N27" s="2">
        <v>10131</v>
      </c>
      <c r="O27" s="1" t="s">
        <v>12</v>
      </c>
      <c r="P27" s="1" t="s">
        <v>13</v>
      </c>
      <c r="Q27" s="1" t="s">
        <v>625</v>
      </c>
      <c r="R27" s="1"/>
      <c r="S27" s="1" t="s">
        <v>677</v>
      </c>
    </row>
    <row r="28" spans="1:19" x14ac:dyDescent="0.25">
      <c r="A28" s="1" t="s">
        <v>624</v>
      </c>
      <c r="B28" s="1" t="s">
        <v>14</v>
      </c>
      <c r="C28" t="s">
        <v>678</v>
      </c>
      <c r="D28" t="b" cm="1">
        <f t="array" ref="D28">IF(Tabela13[[#This Row],[Nivel]]="N1",INDEX(Tabela13[Lider],MATCH(Tabela13[[#This Row],[Nivel]]&amp;Tabela13[[#This Row],[Liderado]],Tabela13[Nivel]&amp;Tabela13[Liderado],0)))</f>
        <v>0</v>
      </c>
      <c r="H28" t="s">
        <v>737</v>
      </c>
      <c r="I28" s="1" t="s">
        <v>99</v>
      </c>
      <c r="J28" s="1" t="s">
        <v>100</v>
      </c>
      <c r="K28" s="1" t="s">
        <v>17</v>
      </c>
      <c r="L28" s="2" t="s">
        <v>10</v>
      </c>
      <c r="M28" s="1" t="s">
        <v>11</v>
      </c>
      <c r="N28" s="2">
        <v>10105</v>
      </c>
      <c r="O28" s="1" t="s">
        <v>101</v>
      </c>
      <c r="P28" s="1" t="s">
        <v>102</v>
      </c>
      <c r="Q28" s="1" t="s">
        <v>640</v>
      </c>
      <c r="R28" s="1"/>
      <c r="S28" s="1" t="s">
        <v>677</v>
      </c>
    </row>
    <row r="29" spans="1:19" x14ac:dyDescent="0.25">
      <c r="A29" s="1" t="s">
        <v>624</v>
      </c>
      <c r="B29" s="1" t="s">
        <v>27</v>
      </c>
      <c r="C29" t="s">
        <v>682</v>
      </c>
      <c r="D29" t="b" cm="1">
        <f t="array" ref="D29">IF(Tabela13[[#This Row],[Nivel]]="N1",INDEX(Tabela13[Lider],MATCH(Tabela13[[#This Row],[Nivel]]&amp;Tabela13[[#This Row],[Liderado]],Tabela13[Nivel]&amp;Tabela13[Liderado],0)))</f>
        <v>0</v>
      </c>
      <c r="H29" t="s">
        <v>737</v>
      </c>
      <c r="I29" s="1" t="s">
        <v>103</v>
      </c>
      <c r="J29" s="1" t="s">
        <v>104</v>
      </c>
      <c r="K29" s="1" t="s">
        <v>105</v>
      </c>
      <c r="L29" s="2" t="s">
        <v>10</v>
      </c>
      <c r="M29" s="1" t="s">
        <v>11</v>
      </c>
      <c r="N29" s="2">
        <v>10134</v>
      </c>
      <c r="O29" s="1" t="s">
        <v>106</v>
      </c>
      <c r="P29" s="1" t="s">
        <v>87</v>
      </c>
      <c r="Q29" s="1" t="s">
        <v>637</v>
      </c>
      <c r="R29" s="1"/>
      <c r="S29" s="1" t="s">
        <v>681</v>
      </c>
    </row>
    <row r="30" spans="1:19" x14ac:dyDescent="0.25">
      <c r="A30" s="1" t="s">
        <v>627</v>
      </c>
      <c r="B30" s="1" t="s">
        <v>27</v>
      </c>
      <c r="C30" t="s">
        <v>682</v>
      </c>
      <c r="D30" t="b" cm="1">
        <f t="array" ref="D30">IF(Tabela13[[#This Row],[Nivel]]="N1",INDEX(Tabela13[Lider],MATCH(Tabela13[[#This Row],[Nivel]]&amp;Tabela13[[#This Row],[Liderado]],Tabela13[Nivel]&amp;Tabela13[Liderado],0)))</f>
        <v>0</v>
      </c>
      <c r="H30" t="s">
        <v>737</v>
      </c>
      <c r="I30" s="1" t="s">
        <v>107</v>
      </c>
      <c r="J30" s="1" t="s">
        <v>108</v>
      </c>
      <c r="K30" s="1" t="s">
        <v>17</v>
      </c>
      <c r="L30" s="2" t="s">
        <v>10</v>
      </c>
      <c r="M30" s="1" t="s">
        <v>11</v>
      </c>
      <c r="N30" s="2">
        <v>11336</v>
      </c>
      <c r="O30" s="1" t="s">
        <v>62</v>
      </c>
      <c r="P30" s="1" t="s">
        <v>66</v>
      </c>
      <c r="Q30" s="1" t="s">
        <v>634</v>
      </c>
      <c r="R30" s="1"/>
      <c r="S30" s="1" t="s">
        <v>681</v>
      </c>
    </row>
    <row r="31" spans="1:19" x14ac:dyDescent="0.25">
      <c r="A31" s="1" t="s">
        <v>624</v>
      </c>
      <c r="B31" s="1" t="s">
        <v>27</v>
      </c>
      <c r="C31" t="s">
        <v>682</v>
      </c>
      <c r="D31" t="b" cm="1">
        <f t="array" ref="D31">IF(Tabela13[[#This Row],[Nivel]]="N1",INDEX(Tabela13[Lider],MATCH(Tabela13[[#This Row],[Nivel]]&amp;Tabela13[[#This Row],[Liderado]],Tabela13[Nivel]&amp;Tabela13[Liderado],0)))</f>
        <v>0</v>
      </c>
      <c r="H31" t="s">
        <v>737</v>
      </c>
      <c r="I31" s="1" t="s">
        <v>111</v>
      </c>
      <c r="J31" s="1" t="s">
        <v>112</v>
      </c>
      <c r="K31" s="1" t="s">
        <v>17</v>
      </c>
      <c r="L31" s="2" t="s">
        <v>10</v>
      </c>
      <c r="M31" s="1" t="s">
        <v>11</v>
      </c>
      <c r="N31" s="2">
        <v>10126</v>
      </c>
      <c r="O31" s="1" t="s">
        <v>86</v>
      </c>
      <c r="P31" s="1" t="s">
        <v>87</v>
      </c>
      <c r="Q31" s="1" t="s">
        <v>637</v>
      </c>
      <c r="R31" s="1"/>
      <c r="S31" s="1" t="s">
        <v>681</v>
      </c>
    </row>
    <row r="32" spans="1:19" x14ac:dyDescent="0.25">
      <c r="A32" s="1" t="s">
        <v>641</v>
      </c>
      <c r="B32" s="1" t="s">
        <v>116</v>
      </c>
      <c r="C32" t="s">
        <v>698</v>
      </c>
      <c r="D32" t="b" cm="1">
        <f t="array" ref="D32">IF(Tabela13[[#This Row],[Nivel]]="N1",INDEX(Tabela13[Lider],MATCH(Tabela13[[#This Row],[Nivel]]&amp;Tabela13[[#This Row],[Liderado]],Tabela13[Nivel]&amp;Tabela13[Liderado],0)))</f>
        <v>0</v>
      </c>
      <c r="H32" t="s">
        <v>737</v>
      </c>
      <c r="I32" s="1" t="s">
        <v>113</v>
      </c>
      <c r="J32" s="1" t="s">
        <v>34</v>
      </c>
      <c r="K32" s="1" t="s">
        <v>9</v>
      </c>
      <c r="L32" s="2" t="s">
        <v>10</v>
      </c>
      <c r="M32" s="1" t="s">
        <v>11</v>
      </c>
      <c r="N32" s="2">
        <v>11043</v>
      </c>
      <c r="O32" s="1" t="s">
        <v>114</v>
      </c>
      <c r="P32" s="1" t="s">
        <v>115</v>
      </c>
      <c r="Q32" s="1" t="s">
        <v>630</v>
      </c>
      <c r="R32" s="1"/>
      <c r="S32" s="1" t="s">
        <v>697</v>
      </c>
    </row>
    <row r="33" spans="1:19" x14ac:dyDescent="0.25">
      <c r="A33" s="1" t="s">
        <v>624</v>
      </c>
      <c r="B33" s="1" t="s">
        <v>67</v>
      </c>
      <c r="C33" t="s">
        <v>695</v>
      </c>
      <c r="D33" t="b" cm="1">
        <f t="array" ref="D33">IF(Tabela13[[#This Row],[Nivel]]="N1",INDEX(Tabela13[Lider],MATCH(Tabela13[[#This Row],[Nivel]]&amp;Tabela13[[#This Row],[Liderado]],Tabela13[Nivel]&amp;Tabela13[Liderado],0)))</f>
        <v>0</v>
      </c>
      <c r="H33" t="s">
        <v>737</v>
      </c>
      <c r="I33" s="1" t="s">
        <v>117</v>
      </c>
      <c r="J33" s="1" t="s">
        <v>104</v>
      </c>
      <c r="K33" s="1" t="s">
        <v>17</v>
      </c>
      <c r="L33" s="2" t="s">
        <v>10</v>
      </c>
      <c r="M33" s="1" t="s">
        <v>11</v>
      </c>
      <c r="N33" s="2">
        <v>10106</v>
      </c>
      <c r="O33" s="1" t="s">
        <v>118</v>
      </c>
      <c r="P33" s="1" t="s">
        <v>119</v>
      </c>
      <c r="Q33" s="1" t="s">
        <v>642</v>
      </c>
      <c r="R33" s="1"/>
      <c r="S33" s="1" t="s">
        <v>694</v>
      </c>
    </row>
    <row r="34" spans="1:19" x14ac:dyDescent="0.25">
      <c r="A34" s="1" t="s">
        <v>627</v>
      </c>
      <c r="B34" s="1" t="s">
        <v>38</v>
      </c>
      <c r="C34" t="s">
        <v>689</v>
      </c>
      <c r="D34" t="b" cm="1">
        <f t="array" ref="D34">IF(Tabela13[[#This Row],[Nivel]]="N1",INDEX(Tabela13[Lider],MATCH(Tabela13[[#This Row],[Nivel]]&amp;Tabela13[[#This Row],[Liderado]],Tabela13[Nivel]&amp;Tabela13[Liderado],0)))</f>
        <v>0</v>
      </c>
      <c r="H34" t="s">
        <v>737</v>
      </c>
      <c r="I34" s="1" t="s">
        <v>37</v>
      </c>
      <c r="J34" s="1" t="s">
        <v>123</v>
      </c>
      <c r="K34" s="1" t="s">
        <v>9</v>
      </c>
      <c r="L34" s="2" t="s">
        <v>10</v>
      </c>
      <c r="M34" s="1" t="s">
        <v>11</v>
      </c>
      <c r="N34" s="2">
        <v>11324</v>
      </c>
      <c r="O34" s="1" t="s">
        <v>40</v>
      </c>
      <c r="P34" s="1" t="s">
        <v>31</v>
      </c>
      <c r="Q34" s="1" t="s">
        <v>629</v>
      </c>
      <c r="R34" s="1"/>
      <c r="S34" s="1" t="s">
        <v>685</v>
      </c>
    </row>
    <row r="35" spans="1:19" x14ac:dyDescent="0.25">
      <c r="A35" s="1" t="s">
        <v>641</v>
      </c>
      <c r="B35" s="1" t="s">
        <v>116</v>
      </c>
      <c r="C35" t="s">
        <v>698</v>
      </c>
      <c r="D35" t="b" cm="1">
        <f t="array" ref="D35">IF(Tabela13[[#This Row],[Nivel]]="N1",INDEX(Tabela13[Lider],MATCH(Tabela13[[#This Row],[Nivel]]&amp;Tabela13[[#This Row],[Liderado]],Tabela13[Nivel]&amp;Tabela13[Liderado],0)))</f>
        <v>0</v>
      </c>
      <c r="H35" t="s">
        <v>737</v>
      </c>
      <c r="I35" s="1" t="s">
        <v>125</v>
      </c>
      <c r="J35" s="1" t="s">
        <v>126</v>
      </c>
      <c r="K35" s="1" t="s">
        <v>9</v>
      </c>
      <c r="L35" s="2" t="s">
        <v>10</v>
      </c>
      <c r="M35" s="1" t="s">
        <v>11</v>
      </c>
      <c r="N35" s="2">
        <v>11055</v>
      </c>
      <c r="O35" s="1" t="s">
        <v>127</v>
      </c>
      <c r="P35" s="1" t="s">
        <v>128</v>
      </c>
      <c r="Q35" s="1" t="s">
        <v>643</v>
      </c>
      <c r="R35" s="1"/>
      <c r="S35" s="1" t="s">
        <v>697</v>
      </c>
    </row>
    <row r="36" spans="1:19" x14ac:dyDescent="0.25">
      <c r="A36" s="1" t="s">
        <v>641</v>
      </c>
      <c r="B36" s="1" t="s">
        <v>116</v>
      </c>
      <c r="C36" t="s">
        <v>698</v>
      </c>
      <c r="D36" t="b" cm="1">
        <f t="array" ref="D36">IF(Tabela13[[#This Row],[Nivel]]="N1",INDEX(Tabela13[Lider],MATCH(Tabela13[[#This Row],[Nivel]]&amp;Tabela13[[#This Row],[Liderado]],Tabela13[Nivel]&amp;Tabela13[Liderado],0)))</f>
        <v>0</v>
      </c>
      <c r="H36" t="s">
        <v>737</v>
      </c>
      <c r="I36" s="1" t="s">
        <v>135</v>
      </c>
      <c r="J36" s="1" t="s">
        <v>34</v>
      </c>
      <c r="K36" s="1" t="s">
        <v>9</v>
      </c>
      <c r="L36" s="2" t="s">
        <v>10</v>
      </c>
      <c r="M36" s="1" t="s">
        <v>11</v>
      </c>
      <c r="N36" s="2">
        <v>11043</v>
      </c>
      <c r="O36" s="1" t="s">
        <v>114</v>
      </c>
      <c r="P36" s="1" t="s">
        <v>115</v>
      </c>
      <c r="Q36" s="1" t="s">
        <v>630</v>
      </c>
      <c r="R36" s="1"/>
      <c r="S36" s="1" t="s">
        <v>697</v>
      </c>
    </row>
    <row r="37" spans="1:19" x14ac:dyDescent="0.25">
      <c r="A37" s="1" t="s">
        <v>627</v>
      </c>
      <c r="B37" s="1" t="s">
        <v>38</v>
      </c>
      <c r="C37" t="s">
        <v>689</v>
      </c>
      <c r="D37" t="b" cm="1">
        <f t="array" ref="D37">IF(Tabela13[[#This Row],[Nivel]]="N1",INDEX(Tabela13[Lider],MATCH(Tabela13[[#This Row],[Nivel]]&amp;Tabela13[[#This Row],[Liderado]],Tabela13[Nivel]&amp;Tabela13[Liderado],0)))</f>
        <v>0</v>
      </c>
      <c r="H37" t="s">
        <v>737</v>
      </c>
      <c r="I37" s="1" t="s">
        <v>136</v>
      </c>
      <c r="J37" s="1" t="s">
        <v>137</v>
      </c>
      <c r="K37" s="1" t="s">
        <v>9</v>
      </c>
      <c r="L37" s="2" t="s">
        <v>10</v>
      </c>
      <c r="M37" s="1" t="s">
        <v>11</v>
      </c>
      <c r="N37" s="2">
        <v>11369</v>
      </c>
      <c r="O37" s="1" t="s">
        <v>138</v>
      </c>
      <c r="P37" s="1" t="s">
        <v>139</v>
      </c>
      <c r="Q37" s="1" t="s">
        <v>647</v>
      </c>
      <c r="R37" s="1"/>
      <c r="S37" s="1" t="s">
        <v>685</v>
      </c>
    </row>
    <row r="38" spans="1:19" x14ac:dyDescent="0.25">
      <c r="A38" s="1" t="s">
        <v>624</v>
      </c>
      <c r="B38" s="1" t="s">
        <v>141</v>
      </c>
      <c r="C38" t="s">
        <v>699</v>
      </c>
      <c r="D38" t="b" cm="1">
        <f t="array" ref="D38">IF(Tabela13[[#This Row],[Nivel]]="N1",INDEX(Tabela13[Lider],MATCH(Tabela13[[#This Row],[Nivel]]&amp;Tabela13[[#This Row],[Liderado]],Tabela13[Nivel]&amp;Tabela13[Liderado],0)))</f>
        <v>0</v>
      </c>
      <c r="H38" t="s">
        <v>737</v>
      </c>
      <c r="I38" s="1" t="s">
        <v>144</v>
      </c>
      <c r="J38" s="1" t="s">
        <v>108</v>
      </c>
      <c r="K38" s="1" t="s">
        <v>9</v>
      </c>
      <c r="L38" s="2" t="s">
        <v>10</v>
      </c>
      <c r="M38" s="1" t="s">
        <v>11</v>
      </c>
      <c r="N38" s="2">
        <v>10130</v>
      </c>
      <c r="O38" s="1" t="s">
        <v>145</v>
      </c>
      <c r="P38" s="1" t="s">
        <v>146</v>
      </c>
      <c r="Q38" s="1" t="s">
        <v>648</v>
      </c>
      <c r="R38" s="1"/>
      <c r="S38" s="1" t="s">
        <v>679</v>
      </c>
    </row>
    <row r="39" spans="1:19" x14ac:dyDescent="0.25">
      <c r="A39" s="1" t="s">
        <v>627</v>
      </c>
      <c r="B39" s="1" t="s">
        <v>38</v>
      </c>
      <c r="C39" t="s">
        <v>689</v>
      </c>
      <c r="D39" t="b" cm="1">
        <f t="array" ref="D39">IF(Tabela13[[#This Row],[Nivel]]="N1",INDEX(Tabela13[Lider],MATCH(Tabela13[[#This Row],[Nivel]]&amp;Tabela13[[#This Row],[Liderado]],Tabela13[Nivel]&amp;Tabela13[Liderado],0)))</f>
        <v>0</v>
      </c>
      <c r="H39" t="s">
        <v>737</v>
      </c>
      <c r="I39" s="1" t="s">
        <v>152</v>
      </c>
      <c r="J39" s="1" t="s">
        <v>153</v>
      </c>
      <c r="K39" s="1" t="s">
        <v>17</v>
      </c>
      <c r="L39" s="2" t="s">
        <v>10</v>
      </c>
      <c r="M39" s="1" t="s">
        <v>11</v>
      </c>
      <c r="N39" s="2">
        <v>11340</v>
      </c>
      <c r="O39" s="1" t="s">
        <v>154</v>
      </c>
      <c r="P39" s="1" t="s">
        <v>155</v>
      </c>
      <c r="Q39" s="1" t="s">
        <v>650</v>
      </c>
      <c r="R39" s="1"/>
      <c r="S39" s="1" t="s">
        <v>685</v>
      </c>
    </row>
    <row r="40" spans="1:19" x14ac:dyDescent="0.25">
      <c r="A40" s="1" t="s">
        <v>624</v>
      </c>
      <c r="B40" s="1" t="s">
        <v>14</v>
      </c>
      <c r="C40" t="s">
        <v>678</v>
      </c>
      <c r="D40" t="b" cm="1">
        <f t="array" ref="D40">IF(Tabela13[[#This Row],[Nivel]]="N1",INDEX(Tabela13[Lider],MATCH(Tabela13[[#This Row],[Nivel]]&amp;Tabela13[[#This Row],[Liderado]],Tabela13[Nivel]&amp;Tabela13[Liderado],0)))</f>
        <v>0</v>
      </c>
      <c r="H40" t="s">
        <v>737</v>
      </c>
      <c r="I40" s="1" t="s">
        <v>156</v>
      </c>
      <c r="J40" s="1" t="s">
        <v>104</v>
      </c>
      <c r="K40" s="1" t="s">
        <v>9</v>
      </c>
      <c r="L40" s="2" t="s">
        <v>10</v>
      </c>
      <c r="M40" s="1" t="s">
        <v>11</v>
      </c>
      <c r="N40" s="2">
        <v>10131</v>
      </c>
      <c r="O40" s="1" t="s">
        <v>12</v>
      </c>
      <c r="P40" s="1" t="s">
        <v>13</v>
      </c>
      <c r="Q40" s="1" t="s">
        <v>625</v>
      </c>
      <c r="R40" s="1"/>
      <c r="S40" s="1" t="s">
        <v>677</v>
      </c>
    </row>
    <row r="41" spans="1:19" x14ac:dyDescent="0.25">
      <c r="A41" s="1" t="s">
        <v>624</v>
      </c>
      <c r="B41" s="1" t="s">
        <v>141</v>
      </c>
      <c r="C41" t="s">
        <v>699</v>
      </c>
      <c r="D41" t="b" cm="1">
        <f t="array" ref="D41">IF(Tabela13[[#This Row],[Nivel]]="N1",INDEX(Tabela13[Lider],MATCH(Tabela13[[#This Row],[Nivel]]&amp;Tabela13[[#This Row],[Liderado]],Tabela13[Nivel]&amp;Tabela13[Liderado],0)))</f>
        <v>0</v>
      </c>
      <c r="H41" t="s">
        <v>737</v>
      </c>
      <c r="I41" s="1" t="s">
        <v>158</v>
      </c>
      <c r="J41" s="1" t="s">
        <v>159</v>
      </c>
      <c r="K41" s="1" t="s">
        <v>9</v>
      </c>
      <c r="L41" s="2" t="s">
        <v>10</v>
      </c>
      <c r="M41" s="1" t="s">
        <v>11</v>
      </c>
      <c r="N41" s="2">
        <v>10132</v>
      </c>
      <c r="O41" s="1" t="s">
        <v>160</v>
      </c>
      <c r="P41" s="1" t="s">
        <v>161</v>
      </c>
      <c r="Q41" s="1" t="s">
        <v>651</v>
      </c>
      <c r="R41" s="1"/>
      <c r="S41" s="1" t="s">
        <v>679</v>
      </c>
    </row>
    <row r="42" spans="1:19" x14ac:dyDescent="0.25">
      <c r="A42" s="1" t="s">
        <v>641</v>
      </c>
      <c r="B42" s="1" t="s">
        <v>116</v>
      </c>
      <c r="C42" t="s">
        <v>698</v>
      </c>
      <c r="D42" t="b" cm="1">
        <f t="array" ref="D42">IF(Tabela13[[#This Row],[Nivel]]="N1",INDEX(Tabela13[Lider],MATCH(Tabela13[[#This Row],[Nivel]]&amp;Tabela13[[#This Row],[Liderado]],Tabela13[Nivel]&amp;Tabela13[Liderado],0)))</f>
        <v>0</v>
      </c>
      <c r="H42" t="s">
        <v>737</v>
      </c>
      <c r="I42" s="1" t="s">
        <v>162</v>
      </c>
      <c r="J42" s="1" t="s">
        <v>34</v>
      </c>
      <c r="K42" s="1" t="s">
        <v>17</v>
      </c>
      <c r="L42" s="2" t="s">
        <v>10</v>
      </c>
      <c r="M42" s="1" t="s">
        <v>11</v>
      </c>
      <c r="N42" s="2">
        <v>11043</v>
      </c>
      <c r="O42" s="1" t="s">
        <v>114</v>
      </c>
      <c r="P42" s="1" t="s">
        <v>115</v>
      </c>
      <c r="Q42" s="1" t="s">
        <v>630</v>
      </c>
      <c r="R42" s="1"/>
      <c r="S42" s="1" t="s">
        <v>697</v>
      </c>
    </row>
    <row r="43" spans="1:19" x14ac:dyDescent="0.25">
      <c r="A43" s="1" t="s">
        <v>624</v>
      </c>
      <c r="B43" s="1" t="s">
        <v>141</v>
      </c>
      <c r="C43" t="s">
        <v>699</v>
      </c>
      <c r="D43" t="b" cm="1">
        <f t="array" ref="D43">IF(Tabela13[[#This Row],[Nivel]]="N1",INDEX(Tabela13[Lider],MATCH(Tabela13[[#This Row],[Nivel]]&amp;Tabela13[[#This Row],[Liderado]],Tabela13[Nivel]&amp;Tabela13[Liderado],0)))</f>
        <v>0</v>
      </c>
      <c r="H43" t="s">
        <v>737</v>
      </c>
      <c r="I43" s="1" t="s">
        <v>166</v>
      </c>
      <c r="J43" s="1" t="s">
        <v>159</v>
      </c>
      <c r="K43" s="1" t="s">
        <v>9</v>
      </c>
      <c r="L43" s="2" t="s">
        <v>10</v>
      </c>
      <c r="M43" s="1" t="s">
        <v>11</v>
      </c>
      <c r="N43" s="2">
        <v>10132</v>
      </c>
      <c r="O43" s="1" t="s">
        <v>160</v>
      </c>
      <c r="P43" s="1" t="s">
        <v>161</v>
      </c>
      <c r="Q43" s="1" t="s">
        <v>651</v>
      </c>
      <c r="R43" s="1"/>
      <c r="S43" s="1" t="s">
        <v>679</v>
      </c>
    </row>
    <row r="44" spans="1:19" x14ac:dyDescent="0.25">
      <c r="A44" s="1" t="s">
        <v>627</v>
      </c>
      <c r="B44" s="1" t="s">
        <v>38</v>
      </c>
      <c r="C44" t="s">
        <v>689</v>
      </c>
      <c r="D44" t="b" cm="1">
        <f t="array" ref="D44">IF(Tabela13[[#This Row],[Nivel]]="N1",INDEX(Tabela13[Lider],MATCH(Tabela13[[#This Row],[Nivel]]&amp;Tabela13[[#This Row],[Liderado]],Tabela13[Nivel]&amp;Tabela13[Liderado],0)))</f>
        <v>0</v>
      </c>
      <c r="H44" t="s">
        <v>737</v>
      </c>
      <c r="I44" s="1" t="s">
        <v>167</v>
      </c>
      <c r="J44" s="1" t="s">
        <v>168</v>
      </c>
      <c r="K44" s="1" t="s">
        <v>9</v>
      </c>
      <c r="L44" s="2" t="s">
        <v>10</v>
      </c>
      <c r="M44" s="1" t="s">
        <v>11</v>
      </c>
      <c r="N44" s="2">
        <v>11358</v>
      </c>
      <c r="O44" s="1" t="s">
        <v>169</v>
      </c>
      <c r="P44" s="1" t="s">
        <v>170</v>
      </c>
      <c r="Q44" s="1" t="s">
        <v>652</v>
      </c>
      <c r="R44" s="1"/>
      <c r="S44" s="1" t="s">
        <v>685</v>
      </c>
    </row>
    <row r="45" spans="1:19" x14ac:dyDescent="0.25">
      <c r="A45" s="1" t="s">
        <v>627</v>
      </c>
      <c r="B45" s="1" t="s">
        <v>38</v>
      </c>
      <c r="C45" t="s">
        <v>689</v>
      </c>
      <c r="D45" t="b" cm="1">
        <f t="array" ref="D45">IF(Tabela13[[#This Row],[Nivel]]="N1",INDEX(Tabela13[Lider],MATCH(Tabela13[[#This Row],[Nivel]]&amp;Tabela13[[#This Row],[Liderado]],Tabela13[Nivel]&amp;Tabela13[Liderado],0)))</f>
        <v>0</v>
      </c>
      <c r="H45" t="s">
        <v>737</v>
      </c>
      <c r="I45" s="1" t="s">
        <v>171</v>
      </c>
      <c r="J45" s="1" t="s">
        <v>172</v>
      </c>
      <c r="K45" s="1" t="s">
        <v>9</v>
      </c>
      <c r="L45" s="2" t="s">
        <v>10</v>
      </c>
      <c r="M45" s="1" t="s">
        <v>11</v>
      </c>
      <c r="N45" s="2">
        <v>11343</v>
      </c>
      <c r="O45" s="1" t="s">
        <v>114</v>
      </c>
      <c r="P45" s="1" t="s">
        <v>36</v>
      </c>
      <c r="Q45" s="1" t="s">
        <v>630</v>
      </c>
      <c r="R45" s="1"/>
      <c r="S45" s="1" t="s">
        <v>685</v>
      </c>
    </row>
    <row r="46" spans="1:19" x14ac:dyDescent="0.25">
      <c r="A46" s="1" t="s">
        <v>638</v>
      </c>
      <c r="B46" s="1" t="s">
        <v>14</v>
      </c>
      <c r="C46" t="s">
        <v>678</v>
      </c>
      <c r="D46" t="b" cm="1">
        <f t="array" ref="D46">IF(Tabela13[[#This Row],[Nivel]]="N1",INDEX(Tabela13[Lider],MATCH(Tabela13[[#This Row],[Nivel]]&amp;Tabela13[[#This Row],[Liderado]],Tabela13[Nivel]&amp;Tabela13[Liderado],0)))</f>
        <v>0</v>
      </c>
      <c r="H46" t="s">
        <v>737</v>
      </c>
      <c r="I46" s="1" t="s">
        <v>178</v>
      </c>
      <c r="J46" s="1" t="s">
        <v>108</v>
      </c>
      <c r="K46" s="1" t="s">
        <v>9</v>
      </c>
      <c r="L46" s="2" t="s">
        <v>179</v>
      </c>
      <c r="M46" s="1" t="s">
        <v>180</v>
      </c>
      <c r="N46" s="2">
        <v>10201</v>
      </c>
      <c r="O46" s="1" t="s">
        <v>83</v>
      </c>
      <c r="P46" s="1" t="s">
        <v>181</v>
      </c>
      <c r="Q46" s="1" t="s">
        <v>653</v>
      </c>
      <c r="R46" s="1"/>
      <c r="S46" s="1" t="s">
        <v>677</v>
      </c>
    </row>
    <row r="47" spans="1:19" x14ac:dyDescent="0.25">
      <c r="A47" s="1" t="s">
        <v>641</v>
      </c>
      <c r="B47" s="1" t="s">
        <v>27</v>
      </c>
      <c r="C47" t="s">
        <v>682</v>
      </c>
      <c r="D47" t="b" cm="1">
        <f t="array" ref="D47">IF(Tabela13[[#This Row],[Nivel]]="N1",INDEX(Tabela13[Lider],MATCH(Tabela13[[#This Row],[Nivel]]&amp;Tabela13[[#This Row],[Liderado]],Tabela13[Nivel]&amp;Tabela13[Liderado],0)))</f>
        <v>0</v>
      </c>
      <c r="H47" t="s">
        <v>737</v>
      </c>
      <c r="I47" s="1" t="s">
        <v>183</v>
      </c>
      <c r="J47" s="1" t="s">
        <v>184</v>
      </c>
      <c r="K47" s="1" t="s">
        <v>9</v>
      </c>
      <c r="L47" s="2" t="s">
        <v>10</v>
      </c>
      <c r="M47" s="1" t="s">
        <v>11</v>
      </c>
      <c r="N47" s="2">
        <v>11037</v>
      </c>
      <c r="O47" s="1" t="s">
        <v>185</v>
      </c>
      <c r="P47" s="1" t="s">
        <v>186</v>
      </c>
      <c r="Q47" s="1" t="s">
        <v>654</v>
      </c>
      <c r="R47" s="1"/>
      <c r="S47" s="1" t="s">
        <v>681</v>
      </c>
    </row>
    <row r="48" spans="1:19" x14ac:dyDescent="0.25">
      <c r="A48" s="1" t="s">
        <v>627</v>
      </c>
      <c r="B48" s="1" t="s">
        <v>38</v>
      </c>
      <c r="C48" t="s">
        <v>689</v>
      </c>
      <c r="D48" t="b" cm="1">
        <f t="array" ref="D48">IF(Tabela13[[#This Row],[Nivel]]="N1",INDEX(Tabela13[Lider],MATCH(Tabela13[[#This Row],[Nivel]]&amp;Tabela13[[#This Row],[Liderado]],Tabela13[Nivel]&amp;Tabela13[Liderado],0)))</f>
        <v>0</v>
      </c>
      <c r="H48" t="s">
        <v>737</v>
      </c>
      <c r="I48" s="1" t="s">
        <v>199</v>
      </c>
      <c r="J48" s="1" t="s">
        <v>34</v>
      </c>
      <c r="K48" s="1" t="s">
        <v>9</v>
      </c>
      <c r="L48" s="2" t="s">
        <v>10</v>
      </c>
      <c r="M48" s="1" t="s">
        <v>11</v>
      </c>
      <c r="N48" s="2">
        <v>11343</v>
      </c>
      <c r="O48" s="1" t="s">
        <v>114</v>
      </c>
      <c r="P48" s="1" t="s">
        <v>36</v>
      </c>
      <c r="Q48" s="1" t="s">
        <v>630</v>
      </c>
      <c r="R48" s="1"/>
      <c r="S48" s="1" t="s">
        <v>685</v>
      </c>
    </row>
    <row r="49" spans="1:19" x14ac:dyDescent="0.25">
      <c r="A49" s="1" t="s">
        <v>624</v>
      </c>
      <c r="B49" s="1" t="s">
        <v>14</v>
      </c>
      <c r="C49" t="s">
        <v>678</v>
      </c>
      <c r="D49" t="b" cm="1">
        <f t="array" ref="D49">IF(Tabela13[[#This Row],[Nivel]]="N1",INDEX(Tabela13[Lider],MATCH(Tabela13[[#This Row],[Nivel]]&amp;Tabela13[[#This Row],[Liderado]],Tabela13[Nivel]&amp;Tabela13[Liderado],0)))</f>
        <v>0</v>
      </c>
      <c r="H49" t="s">
        <v>737</v>
      </c>
      <c r="I49" s="1" t="s">
        <v>202</v>
      </c>
      <c r="J49" s="1" t="s">
        <v>203</v>
      </c>
      <c r="K49" s="1" t="s">
        <v>9</v>
      </c>
      <c r="L49" s="2" t="s">
        <v>10</v>
      </c>
      <c r="M49" s="1" t="s">
        <v>11</v>
      </c>
      <c r="N49" s="2">
        <v>10105</v>
      </c>
      <c r="O49" s="1" t="s">
        <v>101</v>
      </c>
      <c r="P49" s="1" t="s">
        <v>102</v>
      </c>
      <c r="Q49" s="1" t="s">
        <v>640</v>
      </c>
      <c r="R49" s="1"/>
      <c r="S49" s="1" t="s">
        <v>677</v>
      </c>
    </row>
    <row r="50" spans="1:19" x14ac:dyDescent="0.25">
      <c r="A50" s="1" t="s">
        <v>627</v>
      </c>
      <c r="B50" s="1" t="s">
        <v>27</v>
      </c>
      <c r="C50" t="s">
        <v>682</v>
      </c>
      <c r="D50" t="b" cm="1">
        <f t="array" ref="D50">IF(Tabela13[[#This Row],[Nivel]]="N1",INDEX(Tabela13[Lider],MATCH(Tabela13[[#This Row],[Nivel]]&amp;Tabela13[[#This Row],[Liderado]],Tabela13[Nivel]&amp;Tabela13[Liderado],0)))</f>
        <v>0</v>
      </c>
      <c r="H50" t="s">
        <v>737</v>
      </c>
      <c r="I50" s="1" t="s">
        <v>205</v>
      </c>
      <c r="J50" s="1" t="s">
        <v>104</v>
      </c>
      <c r="K50" s="1" t="s">
        <v>9</v>
      </c>
      <c r="L50" s="2" t="s">
        <v>10</v>
      </c>
      <c r="M50" s="1" t="s">
        <v>11</v>
      </c>
      <c r="N50" s="2">
        <v>11301</v>
      </c>
      <c r="O50" s="1" t="s">
        <v>25</v>
      </c>
      <c r="P50" s="1" t="s">
        <v>26</v>
      </c>
      <c r="Q50" s="1" t="s">
        <v>628</v>
      </c>
      <c r="R50" s="1"/>
      <c r="S50" s="1" t="s">
        <v>681</v>
      </c>
    </row>
    <row r="51" spans="1:19" x14ac:dyDescent="0.25">
      <c r="A51" s="1" t="s">
        <v>624</v>
      </c>
      <c r="B51" s="1" t="s">
        <v>141</v>
      </c>
      <c r="C51" t="s">
        <v>699</v>
      </c>
      <c r="D51" t="b" cm="1">
        <f t="array" ref="D51">IF(Tabela13[[#This Row],[Nivel]]="N1",INDEX(Tabela13[Lider],MATCH(Tabela13[[#This Row],[Nivel]]&amp;Tabela13[[#This Row],[Liderado]],Tabela13[Nivel]&amp;Tabela13[Liderado],0)))</f>
        <v>0</v>
      </c>
      <c r="H51" t="s">
        <v>737</v>
      </c>
      <c r="I51" s="1" t="s">
        <v>20</v>
      </c>
      <c r="J51" s="1" t="s">
        <v>206</v>
      </c>
      <c r="K51" s="1" t="s">
        <v>9</v>
      </c>
      <c r="L51" s="2" t="s">
        <v>10</v>
      </c>
      <c r="M51" s="1" t="s">
        <v>11</v>
      </c>
      <c r="N51" s="2">
        <v>10108</v>
      </c>
      <c r="O51" s="1" t="s">
        <v>18</v>
      </c>
      <c r="P51" s="1" t="s">
        <v>19</v>
      </c>
      <c r="Q51" s="1" t="s">
        <v>626</v>
      </c>
      <c r="R51" s="1"/>
      <c r="S51" s="1" t="s">
        <v>679</v>
      </c>
    </row>
    <row r="52" spans="1:19" x14ac:dyDescent="0.25">
      <c r="A52" s="1" t="s">
        <v>624</v>
      </c>
      <c r="B52" s="1" t="s">
        <v>14</v>
      </c>
      <c r="C52" t="s">
        <v>678</v>
      </c>
      <c r="D52" t="b" cm="1">
        <f t="array" ref="D52">IF(Tabela13[[#This Row],[Nivel]]="N1",INDEX(Tabela13[Lider],MATCH(Tabela13[[#This Row],[Nivel]]&amp;Tabela13[[#This Row],[Liderado]],Tabela13[Nivel]&amp;Tabela13[Liderado],0)))</f>
        <v>0</v>
      </c>
      <c r="H52" t="s">
        <v>737</v>
      </c>
      <c r="I52" s="1" t="s">
        <v>215</v>
      </c>
      <c r="J52" s="1" t="s">
        <v>104</v>
      </c>
      <c r="K52" s="1" t="s">
        <v>9</v>
      </c>
      <c r="L52" s="2" t="s">
        <v>10</v>
      </c>
      <c r="M52" s="1" t="s">
        <v>11</v>
      </c>
      <c r="N52" s="2">
        <v>10131</v>
      </c>
      <c r="O52" s="1" t="s">
        <v>12</v>
      </c>
      <c r="P52" s="1" t="s">
        <v>13</v>
      </c>
      <c r="Q52" s="1" t="s">
        <v>625</v>
      </c>
      <c r="R52" s="1"/>
      <c r="S52" s="1" t="s">
        <v>677</v>
      </c>
    </row>
    <row r="53" spans="1:19" x14ac:dyDescent="0.25">
      <c r="A53" s="1" t="s">
        <v>627</v>
      </c>
      <c r="B53" s="1" t="s">
        <v>38</v>
      </c>
      <c r="C53" t="s">
        <v>689</v>
      </c>
      <c r="D53" t="b" cm="1">
        <f t="array" ref="D53">IF(Tabela13[[#This Row],[Nivel]]="N1",INDEX(Tabela13[Lider],MATCH(Tabela13[[#This Row],[Nivel]]&amp;Tabela13[[#This Row],[Liderado]],Tabela13[Nivel]&amp;Tabela13[Liderado],0)))</f>
        <v>0</v>
      </c>
      <c r="H53" t="s">
        <v>737</v>
      </c>
      <c r="I53" s="1" t="s">
        <v>227</v>
      </c>
      <c r="J53" s="1" t="s">
        <v>168</v>
      </c>
      <c r="K53" s="1" t="s">
        <v>9</v>
      </c>
      <c r="L53" s="2" t="s">
        <v>10</v>
      </c>
      <c r="M53" s="1" t="s">
        <v>11</v>
      </c>
      <c r="N53" s="2">
        <v>11358</v>
      </c>
      <c r="O53" s="1" t="s">
        <v>169</v>
      </c>
      <c r="P53" s="1" t="s">
        <v>170</v>
      </c>
      <c r="Q53" s="1" t="s">
        <v>652</v>
      </c>
      <c r="R53" s="1"/>
      <c r="S53" s="1" t="s">
        <v>685</v>
      </c>
    </row>
    <row r="54" spans="1:19" x14ac:dyDescent="0.25">
      <c r="A54" s="1" t="s">
        <v>627</v>
      </c>
      <c r="B54" s="1" t="s">
        <v>38</v>
      </c>
      <c r="C54" t="s">
        <v>689</v>
      </c>
      <c r="D54" t="b" cm="1">
        <f t="array" ref="D54">IF(Tabela13[[#This Row],[Nivel]]="N1",INDEX(Tabela13[Lider],MATCH(Tabela13[[#This Row],[Nivel]]&amp;Tabela13[[#This Row],[Liderado]],Tabela13[Nivel]&amp;Tabela13[Liderado],0)))</f>
        <v>0</v>
      </c>
      <c r="H54" t="s">
        <v>737</v>
      </c>
      <c r="I54" s="1" t="s">
        <v>228</v>
      </c>
      <c r="J54" s="1" t="s">
        <v>168</v>
      </c>
      <c r="K54" s="1" t="s">
        <v>105</v>
      </c>
      <c r="L54" s="2" t="s">
        <v>10</v>
      </c>
      <c r="M54" s="1" t="s">
        <v>11</v>
      </c>
      <c r="N54" s="2">
        <v>11358</v>
      </c>
      <c r="O54" s="1" t="s">
        <v>169</v>
      </c>
      <c r="P54" s="1" t="s">
        <v>170</v>
      </c>
      <c r="Q54" s="1" t="s">
        <v>652</v>
      </c>
      <c r="R54" s="1"/>
      <c r="S54" s="1" t="s">
        <v>685</v>
      </c>
    </row>
    <row r="55" spans="1:19" x14ac:dyDescent="0.25">
      <c r="A55" s="1" t="s">
        <v>624</v>
      </c>
      <c r="B55" s="1" t="s">
        <v>14</v>
      </c>
      <c r="C55" t="s">
        <v>678</v>
      </c>
      <c r="D55" t="b" cm="1">
        <f t="array" ref="D55">IF(Tabela13[[#This Row],[Nivel]]="N1",INDEX(Tabela13[Lider],MATCH(Tabela13[[#This Row],[Nivel]]&amp;Tabela13[[#This Row],[Liderado]],Tabela13[Nivel]&amp;Tabela13[Liderado],0)))</f>
        <v>0</v>
      </c>
      <c r="H55" t="s">
        <v>737</v>
      </c>
      <c r="I55" s="1" t="s">
        <v>231</v>
      </c>
      <c r="J55" s="1" t="s">
        <v>203</v>
      </c>
      <c r="K55" s="1" t="s">
        <v>9</v>
      </c>
      <c r="L55" s="2" t="s">
        <v>10</v>
      </c>
      <c r="M55" s="1" t="s">
        <v>11</v>
      </c>
      <c r="N55" s="2">
        <v>10105</v>
      </c>
      <c r="O55" s="1" t="s">
        <v>101</v>
      </c>
      <c r="P55" s="1" t="s">
        <v>102</v>
      </c>
      <c r="Q55" s="1" t="s">
        <v>640</v>
      </c>
      <c r="R55" s="1"/>
      <c r="S55" s="1" t="s">
        <v>677</v>
      </c>
    </row>
    <row r="56" spans="1:19" x14ac:dyDescent="0.25">
      <c r="A56" s="1" t="s">
        <v>627</v>
      </c>
      <c r="B56" s="1" t="s">
        <v>38</v>
      </c>
      <c r="C56" t="s">
        <v>689</v>
      </c>
      <c r="D56" t="b" cm="1">
        <f t="array" ref="D56">IF(Tabela13[[#This Row],[Nivel]]="N1",INDEX(Tabela13[Lider],MATCH(Tabela13[[#This Row],[Nivel]]&amp;Tabela13[[#This Row],[Liderado]],Tabela13[Nivel]&amp;Tabela13[Liderado],0)))</f>
        <v>0</v>
      </c>
      <c r="H56" t="s">
        <v>737</v>
      </c>
      <c r="I56" s="1" t="s">
        <v>232</v>
      </c>
      <c r="J56" s="1" t="s">
        <v>153</v>
      </c>
      <c r="K56" s="1" t="s">
        <v>9</v>
      </c>
      <c r="L56" s="2" t="s">
        <v>10</v>
      </c>
      <c r="M56" s="1" t="s">
        <v>11</v>
      </c>
      <c r="N56" s="2">
        <v>11340</v>
      </c>
      <c r="O56" s="1" t="s">
        <v>154</v>
      </c>
      <c r="P56" s="1" t="s">
        <v>155</v>
      </c>
      <c r="Q56" s="1" t="s">
        <v>650</v>
      </c>
      <c r="R56" s="1"/>
      <c r="S56" s="1" t="s">
        <v>685</v>
      </c>
    </row>
    <row r="57" spans="1:19" x14ac:dyDescent="0.25">
      <c r="A57" s="1" t="s">
        <v>624</v>
      </c>
      <c r="B57" s="1" t="s">
        <v>236</v>
      </c>
      <c r="C57" t="s">
        <v>710</v>
      </c>
      <c r="D57" t="b" cm="1">
        <f t="array" ref="D57">IF(Tabela13[[#This Row],[Nivel]]="N1",INDEX(Tabela13[Lider],MATCH(Tabela13[[#This Row],[Nivel]]&amp;Tabela13[[#This Row],[Liderado]],Tabela13[Nivel]&amp;Tabela13[Liderado],0)))</f>
        <v>0</v>
      </c>
      <c r="H57" t="s">
        <v>737</v>
      </c>
      <c r="I57" s="1" t="s">
        <v>233</v>
      </c>
      <c r="J57" s="1" t="s">
        <v>234</v>
      </c>
      <c r="K57" s="1" t="s">
        <v>9</v>
      </c>
      <c r="L57" s="2" t="s">
        <v>10</v>
      </c>
      <c r="M57" s="1" t="s">
        <v>11</v>
      </c>
      <c r="N57" s="2">
        <v>10128</v>
      </c>
      <c r="O57" s="1" t="s">
        <v>235</v>
      </c>
      <c r="P57" s="1" t="s">
        <v>150</v>
      </c>
      <c r="Q57" s="1" t="s">
        <v>649</v>
      </c>
      <c r="R57" s="1"/>
      <c r="S57" s="1" t="s">
        <v>709</v>
      </c>
    </row>
    <row r="58" spans="1:19" x14ac:dyDescent="0.25">
      <c r="A58" s="1" t="s">
        <v>624</v>
      </c>
      <c r="B58" s="1" t="s">
        <v>141</v>
      </c>
      <c r="C58" t="s">
        <v>699</v>
      </c>
      <c r="D58" t="b" cm="1">
        <f t="array" ref="D58">IF(Tabela13[[#This Row],[Nivel]]="N1",INDEX(Tabela13[Lider],MATCH(Tabela13[[#This Row],[Nivel]]&amp;Tabela13[[#This Row],[Liderado]],Tabela13[Nivel]&amp;Tabela13[Liderado],0)))</f>
        <v>0</v>
      </c>
      <c r="H58" t="s">
        <v>737</v>
      </c>
      <c r="I58" s="1" t="s">
        <v>151</v>
      </c>
      <c r="J58" s="1" t="s">
        <v>237</v>
      </c>
      <c r="K58" s="1" t="s">
        <v>9</v>
      </c>
      <c r="L58" s="2" t="s">
        <v>10</v>
      </c>
      <c r="M58" s="1" t="s">
        <v>11</v>
      </c>
      <c r="N58" s="2">
        <v>10110</v>
      </c>
      <c r="O58" s="1" t="s">
        <v>149</v>
      </c>
      <c r="P58" s="1" t="s">
        <v>150</v>
      </c>
      <c r="Q58" s="1" t="s">
        <v>649</v>
      </c>
      <c r="R58" s="1"/>
      <c r="S58" s="1" t="s">
        <v>679</v>
      </c>
    </row>
    <row r="59" spans="1:19" x14ac:dyDescent="0.25">
      <c r="A59" s="1" t="s">
        <v>627</v>
      </c>
      <c r="B59" s="1" t="s">
        <v>38</v>
      </c>
      <c r="C59" t="s">
        <v>689</v>
      </c>
      <c r="D59" t="b" cm="1">
        <f t="array" ref="D59">IF(Tabela13[[#This Row],[Nivel]]="N1",INDEX(Tabela13[Lider],MATCH(Tabela13[[#This Row],[Nivel]]&amp;Tabela13[[#This Row],[Liderado]],Tabela13[Nivel]&amp;Tabela13[Liderado],0)))</f>
        <v>0</v>
      </c>
      <c r="H59" t="s">
        <v>737</v>
      </c>
      <c r="I59" s="1" t="s">
        <v>245</v>
      </c>
      <c r="J59" s="1" t="s">
        <v>246</v>
      </c>
      <c r="K59" s="1" t="s">
        <v>9</v>
      </c>
      <c r="L59" s="2" t="s">
        <v>10</v>
      </c>
      <c r="M59" s="1" t="s">
        <v>11</v>
      </c>
      <c r="N59" s="2">
        <v>11316</v>
      </c>
      <c r="O59" s="1" t="s">
        <v>247</v>
      </c>
      <c r="P59" s="1" t="s">
        <v>66</v>
      </c>
      <c r="Q59" s="1" t="s">
        <v>634</v>
      </c>
      <c r="R59" s="1"/>
      <c r="S59" s="1" t="s">
        <v>685</v>
      </c>
    </row>
    <row r="60" spans="1:19" x14ac:dyDescent="0.25">
      <c r="A60" s="1" t="s">
        <v>627</v>
      </c>
      <c r="B60" s="1" t="s">
        <v>27</v>
      </c>
      <c r="C60" t="s">
        <v>682</v>
      </c>
      <c r="D60" t="b" cm="1">
        <f t="array" ref="D60">IF(Tabela13[[#This Row],[Nivel]]="N1",INDEX(Tabela13[Lider],MATCH(Tabela13[[#This Row],[Nivel]]&amp;Tabela13[[#This Row],[Liderado]],Tabela13[Nivel]&amp;Tabela13[Liderado],0)))</f>
        <v>0</v>
      </c>
      <c r="H60" t="s">
        <v>737</v>
      </c>
      <c r="I60" s="1" t="s">
        <v>248</v>
      </c>
      <c r="J60" s="1" t="s">
        <v>22</v>
      </c>
      <c r="K60" s="1" t="s">
        <v>9</v>
      </c>
      <c r="L60" s="2" t="s">
        <v>10</v>
      </c>
      <c r="M60" s="1" t="s">
        <v>11</v>
      </c>
      <c r="N60" s="2">
        <v>11321</v>
      </c>
      <c r="O60" s="1" t="s">
        <v>249</v>
      </c>
      <c r="P60" s="1" t="s">
        <v>26</v>
      </c>
      <c r="Q60" s="1" t="s">
        <v>628</v>
      </c>
      <c r="R60" s="1"/>
      <c r="S60" s="1" t="s">
        <v>681</v>
      </c>
    </row>
    <row r="61" spans="1:19" x14ac:dyDescent="0.25">
      <c r="A61" s="1" t="s">
        <v>624</v>
      </c>
      <c r="B61" s="1" t="s">
        <v>236</v>
      </c>
      <c r="C61" t="s">
        <v>710</v>
      </c>
      <c r="D61" t="b" cm="1">
        <f t="array" ref="D61">IF(Tabela13[[#This Row],[Nivel]]="N1",INDEX(Tabela13[Lider],MATCH(Tabela13[[#This Row],[Nivel]]&amp;Tabela13[[#This Row],[Liderado]],Tabela13[Nivel]&amp;Tabela13[Liderado],0)))</f>
        <v>0</v>
      </c>
      <c r="H61" t="s">
        <v>737</v>
      </c>
      <c r="I61" s="1" t="s">
        <v>255</v>
      </c>
      <c r="J61" s="1" t="s">
        <v>256</v>
      </c>
      <c r="K61" s="1" t="s">
        <v>9</v>
      </c>
      <c r="L61" s="2" t="s">
        <v>10</v>
      </c>
      <c r="M61" s="1" t="s">
        <v>11</v>
      </c>
      <c r="N61" s="2">
        <v>10128</v>
      </c>
      <c r="O61" s="1" t="s">
        <v>235</v>
      </c>
      <c r="P61" s="1" t="s">
        <v>150</v>
      </c>
      <c r="Q61" s="1" t="s">
        <v>649</v>
      </c>
      <c r="R61" s="1"/>
      <c r="S61" s="1" t="s">
        <v>709</v>
      </c>
    </row>
    <row r="62" spans="1:19" x14ac:dyDescent="0.25">
      <c r="A62" s="1" t="s">
        <v>627</v>
      </c>
      <c r="B62" s="1" t="s">
        <v>38</v>
      </c>
      <c r="C62" t="s">
        <v>689</v>
      </c>
      <c r="D62" t="b" cm="1">
        <f t="array" ref="D62">IF(Tabela13[[#This Row],[Nivel]]="N1",INDEX(Tabela13[Lider],MATCH(Tabela13[[#This Row],[Nivel]]&amp;Tabela13[[#This Row],[Liderado]],Tabela13[Nivel]&amp;Tabela13[Liderado],0)))</f>
        <v>0</v>
      </c>
      <c r="H62" t="s">
        <v>737</v>
      </c>
      <c r="I62" s="1" t="s">
        <v>259</v>
      </c>
      <c r="J62" s="1" t="s">
        <v>29</v>
      </c>
      <c r="K62" s="1" t="s">
        <v>9</v>
      </c>
      <c r="L62" s="2" t="s">
        <v>10</v>
      </c>
      <c r="M62" s="1" t="s">
        <v>11</v>
      </c>
      <c r="N62" s="2">
        <v>11324</v>
      </c>
      <c r="O62" s="1" t="s">
        <v>40</v>
      </c>
      <c r="P62" s="1" t="s">
        <v>31</v>
      </c>
      <c r="Q62" s="1" t="s">
        <v>629</v>
      </c>
      <c r="R62" s="1"/>
      <c r="S62" s="1" t="s">
        <v>685</v>
      </c>
    </row>
    <row r="63" spans="1:19" x14ac:dyDescent="0.25">
      <c r="A63" s="1" t="s">
        <v>657</v>
      </c>
      <c r="B63" s="1" t="s">
        <v>263</v>
      </c>
      <c r="C63" t="s">
        <v>698</v>
      </c>
      <c r="D63" t="b" cm="1">
        <f t="array" ref="D63">IF(Tabela13[[#This Row],[Nivel]]="N1",INDEX(Tabela13[Lider],MATCH(Tabela13[[#This Row],[Nivel]]&amp;Tabela13[[#This Row],[Liderado]],Tabela13[Nivel]&amp;Tabela13[Liderado],0)))</f>
        <v>0</v>
      </c>
      <c r="H63" t="s">
        <v>737</v>
      </c>
      <c r="I63" s="1" t="s">
        <v>261</v>
      </c>
      <c r="J63" s="1" t="s">
        <v>34</v>
      </c>
      <c r="K63" s="1" t="s">
        <v>17</v>
      </c>
      <c r="L63" s="2" t="s">
        <v>10</v>
      </c>
      <c r="M63" s="1" t="s">
        <v>11</v>
      </c>
      <c r="N63" s="2">
        <v>11143</v>
      </c>
      <c r="O63" s="1" t="s">
        <v>114</v>
      </c>
      <c r="P63" s="1" t="s">
        <v>262</v>
      </c>
      <c r="Q63" s="1" t="s">
        <v>630</v>
      </c>
      <c r="R63" s="1"/>
      <c r="S63" s="1" t="s">
        <v>713</v>
      </c>
    </row>
    <row r="64" spans="1:19" x14ac:dyDescent="0.25">
      <c r="A64" s="1" t="s">
        <v>657</v>
      </c>
      <c r="B64" s="1" t="s">
        <v>263</v>
      </c>
      <c r="C64" t="s">
        <v>698</v>
      </c>
      <c r="D64" t="b" cm="1">
        <f t="array" ref="D64">IF(Tabela13[[#This Row],[Nivel]]="N1",INDEX(Tabela13[Lider],MATCH(Tabela13[[#This Row],[Nivel]]&amp;Tabela13[[#This Row],[Liderado]],Tabela13[Nivel]&amp;Tabela13[Liderado],0)))</f>
        <v>0</v>
      </c>
      <c r="H64" t="s">
        <v>737</v>
      </c>
      <c r="I64" s="1" t="s">
        <v>264</v>
      </c>
      <c r="J64" s="1" t="s">
        <v>265</v>
      </c>
      <c r="K64" s="1" t="s">
        <v>9</v>
      </c>
      <c r="L64" s="2" t="s">
        <v>10</v>
      </c>
      <c r="M64" s="1" t="s">
        <v>11</v>
      </c>
      <c r="N64" s="2">
        <v>11143</v>
      </c>
      <c r="O64" s="1" t="s">
        <v>114</v>
      </c>
      <c r="P64" s="1" t="s">
        <v>262</v>
      </c>
      <c r="Q64" s="1" t="s">
        <v>630</v>
      </c>
      <c r="R64" s="1"/>
      <c r="S64" s="1" t="s">
        <v>713</v>
      </c>
    </row>
    <row r="65" spans="1:19" x14ac:dyDescent="0.25">
      <c r="A65" s="1" t="s">
        <v>657</v>
      </c>
      <c r="B65" s="1" t="s">
        <v>263</v>
      </c>
      <c r="C65" t="s">
        <v>698</v>
      </c>
      <c r="D65" t="b" cm="1">
        <f t="array" ref="D65">IF(Tabela13[[#This Row],[Nivel]]="N1",INDEX(Tabela13[Lider],MATCH(Tabela13[[#This Row],[Nivel]]&amp;Tabela13[[#This Row],[Liderado]],Tabela13[Nivel]&amp;Tabela13[Liderado],0)))</f>
        <v>0</v>
      </c>
      <c r="H65" t="s">
        <v>737</v>
      </c>
      <c r="I65" s="1" t="s">
        <v>267</v>
      </c>
      <c r="J65" s="1" t="s">
        <v>126</v>
      </c>
      <c r="K65" s="1" t="s">
        <v>17</v>
      </c>
      <c r="L65" s="2" t="s">
        <v>268</v>
      </c>
      <c r="M65" s="1" t="s">
        <v>269</v>
      </c>
      <c r="N65" s="2">
        <v>11155</v>
      </c>
      <c r="O65" s="1" t="s">
        <v>127</v>
      </c>
      <c r="P65" s="1" t="s">
        <v>270</v>
      </c>
      <c r="Q65" s="1" t="s">
        <v>643</v>
      </c>
      <c r="R65" s="1"/>
      <c r="S65" s="1" t="s">
        <v>713</v>
      </c>
    </row>
    <row r="66" spans="1:19" x14ac:dyDescent="0.25">
      <c r="A66" s="1" t="s">
        <v>627</v>
      </c>
      <c r="B66" s="1" t="s">
        <v>27</v>
      </c>
      <c r="C66" t="s">
        <v>682</v>
      </c>
      <c r="D66" t="b" cm="1">
        <f t="array" ref="D66">IF(Tabela13[[#This Row],[Nivel]]="N1",INDEX(Tabela13[Lider],MATCH(Tabela13[[#This Row],[Nivel]]&amp;Tabela13[[#This Row],[Liderado]],Tabela13[Nivel]&amp;Tabela13[Liderado],0)))</f>
        <v>0</v>
      </c>
      <c r="H66" t="s">
        <v>737</v>
      </c>
      <c r="I66" s="1" t="s">
        <v>277</v>
      </c>
      <c r="J66" s="1" t="s">
        <v>132</v>
      </c>
      <c r="K66" s="1" t="s">
        <v>9</v>
      </c>
      <c r="L66" s="2" t="s">
        <v>10</v>
      </c>
      <c r="M66" s="1" t="s">
        <v>11</v>
      </c>
      <c r="N66" s="2">
        <v>11353</v>
      </c>
      <c r="O66" s="1" t="s">
        <v>278</v>
      </c>
      <c r="P66" s="1" t="s">
        <v>279</v>
      </c>
      <c r="Q66" s="1" t="s">
        <v>660</v>
      </c>
      <c r="R66" s="1"/>
      <c r="S66" s="1" t="s">
        <v>681</v>
      </c>
    </row>
    <row r="67" spans="1:19" x14ac:dyDescent="0.25">
      <c r="A67" s="1" t="s">
        <v>661</v>
      </c>
      <c r="B67" s="1" t="s">
        <v>280</v>
      </c>
      <c r="C67" t="s">
        <v>715</v>
      </c>
      <c r="D67" t="b" cm="1">
        <f t="array" ref="D67">IF(Tabela13[[#This Row],[Nivel]]="N1",INDEX(Tabela13[Lider],MATCH(Tabela13[[#This Row],[Nivel]]&amp;Tabela13[[#This Row],[Liderado]],Tabela13[Nivel]&amp;Tabela13[Liderado],0)))</f>
        <v>0</v>
      </c>
      <c r="H67" t="s">
        <v>737</v>
      </c>
      <c r="I67" s="1" t="s">
        <v>283</v>
      </c>
      <c r="J67" s="1" t="s">
        <v>34</v>
      </c>
      <c r="K67" s="1" t="s">
        <v>9</v>
      </c>
      <c r="L67" s="2" t="s">
        <v>10</v>
      </c>
      <c r="M67" s="1" t="s">
        <v>11</v>
      </c>
      <c r="N67" s="2">
        <v>11543</v>
      </c>
      <c r="O67" s="1" t="s">
        <v>114</v>
      </c>
      <c r="P67" s="1" t="s">
        <v>284</v>
      </c>
      <c r="Q67" s="1" t="s">
        <v>630</v>
      </c>
      <c r="R67" s="1"/>
      <c r="S67" s="1" t="s">
        <v>714</v>
      </c>
    </row>
    <row r="68" spans="1:19" x14ac:dyDescent="0.25">
      <c r="A68" s="1" t="s">
        <v>661</v>
      </c>
      <c r="B68" s="1" t="s">
        <v>280</v>
      </c>
      <c r="C68" t="s">
        <v>715</v>
      </c>
      <c r="D68" t="b" cm="1">
        <f t="array" ref="D68">IF(Tabela13[[#This Row],[Nivel]]="N1",INDEX(Tabela13[Lider],MATCH(Tabela13[[#This Row],[Nivel]]&amp;Tabela13[[#This Row],[Liderado]],Tabela13[Nivel]&amp;Tabela13[Liderado],0)))</f>
        <v>0</v>
      </c>
      <c r="H68" t="s">
        <v>737</v>
      </c>
      <c r="I68" s="1" t="s">
        <v>285</v>
      </c>
      <c r="J68" s="1" t="s">
        <v>286</v>
      </c>
      <c r="K68" s="1" t="s">
        <v>17</v>
      </c>
      <c r="L68" s="2" t="s">
        <v>10</v>
      </c>
      <c r="M68" s="1" t="s">
        <v>11</v>
      </c>
      <c r="N68" s="2">
        <v>11563</v>
      </c>
      <c r="O68" s="1" t="s">
        <v>287</v>
      </c>
      <c r="P68" s="1" t="s">
        <v>288</v>
      </c>
      <c r="Q68" s="1" t="s">
        <v>647</v>
      </c>
      <c r="R68" s="1"/>
      <c r="S68" s="1" t="s">
        <v>714</v>
      </c>
    </row>
    <row r="69" spans="1:19" x14ac:dyDescent="0.25">
      <c r="A69" s="1" t="s">
        <v>627</v>
      </c>
      <c r="B69" s="1" t="s">
        <v>38</v>
      </c>
      <c r="C69" t="s">
        <v>689</v>
      </c>
      <c r="D69" t="b" cm="1">
        <f t="array" ref="D69">IF(Tabela13[[#This Row],[Nivel]]="N1",INDEX(Tabela13[Lider],MATCH(Tabela13[[#This Row],[Nivel]]&amp;Tabela13[[#This Row],[Liderado]],Tabela13[Nivel]&amp;Tabela13[Liderado],0)))</f>
        <v>0</v>
      </c>
      <c r="H69" t="s">
        <v>737</v>
      </c>
      <c r="I69" s="1" t="s">
        <v>289</v>
      </c>
      <c r="J69" s="1" t="s">
        <v>92</v>
      </c>
      <c r="K69" s="1" t="s">
        <v>9</v>
      </c>
      <c r="L69" s="2" t="s">
        <v>10</v>
      </c>
      <c r="M69" s="1" t="s">
        <v>11</v>
      </c>
      <c r="N69" s="2">
        <v>11388</v>
      </c>
      <c r="O69" s="1" t="s">
        <v>290</v>
      </c>
      <c r="P69" s="1" t="s">
        <v>94</v>
      </c>
      <c r="Q69" s="1" t="s">
        <v>639</v>
      </c>
      <c r="R69" s="1"/>
      <c r="S69" s="1" t="s">
        <v>685</v>
      </c>
    </row>
    <row r="70" spans="1:19" x14ac:dyDescent="0.25">
      <c r="A70" s="1" t="s">
        <v>627</v>
      </c>
      <c r="B70" s="1" t="s">
        <v>38</v>
      </c>
      <c r="C70" t="s">
        <v>689</v>
      </c>
      <c r="D70" t="b" cm="1">
        <f t="array" ref="D70">IF(Tabela13[[#This Row],[Nivel]]="N1",INDEX(Tabela13[Lider],MATCH(Tabela13[[#This Row],[Nivel]]&amp;Tabela13[[#This Row],[Liderado]],Tabela13[Nivel]&amp;Tabela13[Liderado],0)))</f>
        <v>0</v>
      </c>
      <c r="H70" t="s">
        <v>737</v>
      </c>
      <c r="I70" s="1" t="s">
        <v>291</v>
      </c>
      <c r="J70" s="1" t="s">
        <v>92</v>
      </c>
      <c r="K70" s="1" t="s">
        <v>9</v>
      </c>
      <c r="L70" s="2" t="s">
        <v>10</v>
      </c>
      <c r="M70" s="1" t="s">
        <v>11</v>
      </c>
      <c r="N70" s="2">
        <v>11387</v>
      </c>
      <c r="O70" s="1" t="s">
        <v>93</v>
      </c>
      <c r="P70" s="1" t="s">
        <v>94</v>
      </c>
      <c r="Q70" s="1" t="s">
        <v>639</v>
      </c>
      <c r="R70" s="1"/>
      <c r="S70" s="1" t="s">
        <v>685</v>
      </c>
    </row>
    <row r="71" spans="1:19" x14ac:dyDescent="0.25">
      <c r="A71" s="1" t="s">
        <v>661</v>
      </c>
      <c r="B71" s="1" t="s">
        <v>280</v>
      </c>
      <c r="C71" t="s">
        <v>715</v>
      </c>
      <c r="D71" t="b" cm="1">
        <f t="array" ref="D71">IF(Tabela13[[#This Row],[Nivel]]="N1",INDEX(Tabela13[Lider],MATCH(Tabela13[[#This Row],[Nivel]]&amp;Tabela13[[#This Row],[Liderado]],Tabela13[Nivel]&amp;Tabela13[Liderado],0)))</f>
        <v>0</v>
      </c>
      <c r="H71" t="s">
        <v>737</v>
      </c>
      <c r="I71" s="1" t="s">
        <v>297</v>
      </c>
      <c r="J71" s="1" t="s">
        <v>153</v>
      </c>
      <c r="K71" s="1" t="s">
        <v>9</v>
      </c>
      <c r="L71" s="2" t="s">
        <v>10</v>
      </c>
      <c r="M71" s="1" t="s">
        <v>11</v>
      </c>
      <c r="N71" s="2">
        <v>11540</v>
      </c>
      <c r="O71" s="1" t="s">
        <v>154</v>
      </c>
      <c r="P71" s="1" t="s">
        <v>298</v>
      </c>
      <c r="Q71" s="1" t="s">
        <v>650</v>
      </c>
      <c r="R71" s="1"/>
      <c r="S71" s="1" t="s">
        <v>714</v>
      </c>
    </row>
    <row r="72" spans="1:19" x14ac:dyDescent="0.25">
      <c r="A72" s="1" t="s">
        <v>661</v>
      </c>
      <c r="B72" s="1" t="s">
        <v>280</v>
      </c>
      <c r="C72" t="s">
        <v>715</v>
      </c>
      <c r="D72" t="b" cm="1">
        <f t="array" ref="D72">IF(Tabela13[[#This Row],[Nivel]]="N1",INDEX(Tabela13[Lider],MATCH(Tabela13[[#This Row],[Nivel]]&amp;Tabela13[[#This Row],[Liderado]],Tabela13[Nivel]&amp;Tabela13[Liderado],0)))</f>
        <v>0</v>
      </c>
      <c r="H72" t="s">
        <v>737</v>
      </c>
      <c r="I72" s="1" t="s">
        <v>300</v>
      </c>
      <c r="J72" s="1" t="s">
        <v>301</v>
      </c>
      <c r="K72" s="1" t="s">
        <v>9</v>
      </c>
      <c r="L72" s="2" t="s">
        <v>10</v>
      </c>
      <c r="M72" s="1" t="s">
        <v>11</v>
      </c>
      <c r="N72" s="2">
        <v>11543</v>
      </c>
      <c r="O72" s="1" t="s">
        <v>114</v>
      </c>
      <c r="P72" s="1" t="s">
        <v>284</v>
      </c>
      <c r="Q72" s="1" t="s">
        <v>630</v>
      </c>
      <c r="R72" s="1"/>
      <c r="S72" s="1" t="s">
        <v>714</v>
      </c>
    </row>
    <row r="73" spans="1:19" x14ac:dyDescent="0.25">
      <c r="A73" s="1" t="s">
        <v>661</v>
      </c>
      <c r="B73" s="1" t="s">
        <v>280</v>
      </c>
      <c r="C73" t="s">
        <v>715</v>
      </c>
      <c r="D73" t="b" cm="1">
        <f t="array" ref="D73">IF(Tabela13[[#This Row],[Nivel]]="N1",INDEX(Tabela13[Lider],MATCH(Tabela13[[#This Row],[Nivel]]&amp;Tabela13[[#This Row],[Liderado]],Tabela13[Nivel]&amp;Tabela13[Liderado],0)))</f>
        <v>0</v>
      </c>
      <c r="H73" t="s">
        <v>737</v>
      </c>
      <c r="I73" s="1" t="s">
        <v>308</v>
      </c>
      <c r="J73" s="1" t="s">
        <v>43</v>
      </c>
      <c r="K73" s="1" t="s">
        <v>9</v>
      </c>
      <c r="L73" s="2" t="s">
        <v>10</v>
      </c>
      <c r="M73" s="1" t="s">
        <v>11</v>
      </c>
      <c r="N73" s="2">
        <v>11565</v>
      </c>
      <c r="O73" s="1" t="s">
        <v>309</v>
      </c>
      <c r="P73" s="1" t="s">
        <v>282</v>
      </c>
      <c r="Q73" s="1" t="s">
        <v>629</v>
      </c>
      <c r="R73" s="1"/>
      <c r="S73" s="1" t="s">
        <v>714</v>
      </c>
    </row>
    <row r="74" spans="1:19" x14ac:dyDescent="0.25">
      <c r="A74" s="1" t="s">
        <v>658</v>
      </c>
      <c r="B74" s="1" t="s">
        <v>27</v>
      </c>
      <c r="C74" t="s">
        <v>682</v>
      </c>
      <c r="D74" t="b" cm="1">
        <f t="array" ref="D74">IF(Tabela13[[#This Row],[Nivel]]="N1",INDEX(Tabela13[Lider],MATCH(Tabela13[[#This Row],[Nivel]]&amp;Tabela13[[#This Row],[Liderado]],Tabela13[Nivel]&amp;Tabela13[Liderado],0)))</f>
        <v>0</v>
      </c>
      <c r="H74" t="s">
        <v>737</v>
      </c>
      <c r="I74" s="1" t="s">
        <v>313</v>
      </c>
      <c r="J74" s="1" t="s">
        <v>104</v>
      </c>
      <c r="K74" s="1" t="s">
        <v>9</v>
      </c>
      <c r="L74" s="2" t="s">
        <v>10</v>
      </c>
      <c r="M74" s="1" t="s">
        <v>11</v>
      </c>
      <c r="N74" s="2">
        <v>11201</v>
      </c>
      <c r="O74" s="1" t="s">
        <v>83</v>
      </c>
      <c r="P74" s="1" t="s">
        <v>314</v>
      </c>
      <c r="Q74" s="1" t="s">
        <v>628</v>
      </c>
      <c r="R74" s="1"/>
      <c r="S74" s="1" t="s">
        <v>681</v>
      </c>
    </row>
    <row r="75" spans="1:19" x14ac:dyDescent="0.25">
      <c r="A75" s="1" t="s">
        <v>661</v>
      </c>
      <c r="B75" s="1" t="s">
        <v>27</v>
      </c>
      <c r="C75" t="s">
        <v>682</v>
      </c>
      <c r="D75" t="b" cm="1">
        <f t="array" ref="D75">IF(Tabela13[[#This Row],[Nivel]]="N1",INDEX(Tabela13[Lider],MATCH(Tabela13[[#This Row],[Nivel]]&amp;Tabela13[[#This Row],[Liderado]],Tabela13[Nivel]&amp;Tabela13[Liderado],0)))</f>
        <v>0</v>
      </c>
      <c r="H75" t="s">
        <v>737</v>
      </c>
      <c r="I75" s="1" t="s">
        <v>318</v>
      </c>
      <c r="J75" s="1" t="s">
        <v>126</v>
      </c>
      <c r="K75" s="1" t="s">
        <v>9</v>
      </c>
      <c r="L75" s="2" t="s">
        <v>10</v>
      </c>
      <c r="M75" s="1" t="s">
        <v>11</v>
      </c>
      <c r="N75" s="2">
        <v>11555</v>
      </c>
      <c r="O75" s="1" t="s">
        <v>127</v>
      </c>
      <c r="P75" s="1" t="s">
        <v>319</v>
      </c>
      <c r="Q75" s="1" t="s">
        <v>643</v>
      </c>
      <c r="R75" s="1"/>
      <c r="S75" s="1" t="s">
        <v>681</v>
      </c>
    </row>
    <row r="76" spans="1:19" x14ac:dyDescent="0.25">
      <c r="A76" s="1" t="s">
        <v>661</v>
      </c>
      <c r="B76" s="1" t="s">
        <v>27</v>
      </c>
      <c r="C76" t="s">
        <v>682</v>
      </c>
      <c r="D76" t="b" cm="1">
        <f t="array" ref="D76">IF(Tabela13[[#This Row],[Nivel]]="N1",INDEX(Tabela13[Lider],MATCH(Tabela13[[#This Row],[Nivel]]&amp;Tabela13[[#This Row],[Liderado]],Tabela13[Nivel]&amp;Tabela13[Liderado],0)))</f>
        <v>0</v>
      </c>
      <c r="H76" t="s">
        <v>737</v>
      </c>
      <c r="I76" s="1" t="s">
        <v>320</v>
      </c>
      <c r="J76" s="1" t="s">
        <v>104</v>
      </c>
      <c r="K76" s="1" t="s">
        <v>9</v>
      </c>
      <c r="L76" s="2" t="s">
        <v>10</v>
      </c>
      <c r="M76" s="1" t="s">
        <v>11</v>
      </c>
      <c r="N76" s="2">
        <v>11501</v>
      </c>
      <c r="O76" s="1" t="s">
        <v>83</v>
      </c>
      <c r="P76" s="1" t="s">
        <v>321</v>
      </c>
      <c r="Q76" s="1" t="s">
        <v>628</v>
      </c>
      <c r="R76" s="1"/>
      <c r="S76" s="1" t="s">
        <v>681</v>
      </c>
    </row>
    <row r="77" spans="1:19" x14ac:dyDescent="0.25">
      <c r="A77" s="1" t="s">
        <v>661</v>
      </c>
      <c r="B77" s="1" t="s">
        <v>280</v>
      </c>
      <c r="C77" t="s">
        <v>715</v>
      </c>
      <c r="D77" t="b" cm="1">
        <f t="array" ref="D77">IF(Tabela13[[#This Row],[Nivel]]="N1",INDEX(Tabela13[Lider],MATCH(Tabela13[[#This Row],[Nivel]]&amp;Tabela13[[#This Row],[Liderado]],Tabela13[Nivel]&amp;Tabela13[Liderado],0)))</f>
        <v>0</v>
      </c>
      <c r="H77" t="s">
        <v>737</v>
      </c>
      <c r="I77" s="1" t="s">
        <v>324</v>
      </c>
      <c r="J77" s="1" t="s">
        <v>34</v>
      </c>
      <c r="K77" s="1" t="s">
        <v>9</v>
      </c>
      <c r="L77" s="2" t="s">
        <v>10</v>
      </c>
      <c r="M77" s="1" t="s">
        <v>11</v>
      </c>
      <c r="N77" s="2">
        <v>11543</v>
      </c>
      <c r="O77" s="1" t="s">
        <v>114</v>
      </c>
      <c r="P77" s="1" t="s">
        <v>284</v>
      </c>
      <c r="Q77" s="1" t="s">
        <v>630</v>
      </c>
      <c r="R77" s="1"/>
      <c r="S77" s="1" t="s">
        <v>714</v>
      </c>
    </row>
    <row r="78" spans="1:19" x14ac:dyDescent="0.25">
      <c r="A78" s="1" t="s">
        <v>661</v>
      </c>
      <c r="B78" s="1" t="s">
        <v>280</v>
      </c>
      <c r="C78" t="s">
        <v>715</v>
      </c>
      <c r="D78" t="b" cm="1">
        <f t="array" ref="D78">IF(Tabela13[[#This Row],[Nivel]]="N1",INDEX(Tabela13[Lider],MATCH(Tabela13[[#This Row],[Nivel]]&amp;Tabela13[[#This Row],[Liderado]],Tabela13[Nivel]&amp;Tabela13[Liderado],0)))</f>
        <v>0</v>
      </c>
      <c r="H78" t="s">
        <v>737</v>
      </c>
      <c r="I78" s="1" t="s">
        <v>307</v>
      </c>
      <c r="J78" s="1" t="s">
        <v>29</v>
      </c>
      <c r="K78" s="1" t="s">
        <v>17</v>
      </c>
      <c r="L78" s="2" t="s">
        <v>10</v>
      </c>
      <c r="M78" s="1" t="s">
        <v>11</v>
      </c>
      <c r="N78" s="2">
        <v>11524</v>
      </c>
      <c r="O78" s="1" t="s">
        <v>40</v>
      </c>
      <c r="P78" s="1" t="s">
        <v>282</v>
      </c>
      <c r="Q78" s="1" t="s">
        <v>629</v>
      </c>
      <c r="R78" s="1"/>
      <c r="S78" s="1" t="s">
        <v>714</v>
      </c>
    </row>
    <row r="79" spans="1:19" x14ac:dyDescent="0.25">
      <c r="A79" s="1" t="s">
        <v>627</v>
      </c>
      <c r="B79" s="1" t="s">
        <v>27</v>
      </c>
      <c r="C79" t="s">
        <v>682</v>
      </c>
      <c r="D79" t="b" cm="1">
        <f t="array" ref="D79">IF(Tabela13[[#This Row],[Nivel]]="N1",INDEX(Tabela13[Lider],MATCH(Tabela13[[#This Row],[Nivel]]&amp;Tabela13[[#This Row],[Liderado]],Tabela13[Nivel]&amp;Tabela13[Liderado],0)))</f>
        <v>0</v>
      </c>
      <c r="H79" t="s">
        <v>737</v>
      </c>
      <c r="I79" s="1" t="s">
        <v>328</v>
      </c>
      <c r="J79" s="1" t="s">
        <v>104</v>
      </c>
      <c r="K79" s="1" t="s">
        <v>9</v>
      </c>
      <c r="L79" s="2" t="s">
        <v>10</v>
      </c>
      <c r="M79" s="1" t="s">
        <v>11</v>
      </c>
      <c r="N79" s="2">
        <v>11320</v>
      </c>
      <c r="O79" s="1" t="s">
        <v>47</v>
      </c>
      <c r="P79" s="1" t="s">
        <v>329</v>
      </c>
      <c r="Q79" s="1" t="s">
        <v>631</v>
      </c>
      <c r="R79" s="1"/>
      <c r="S79" s="1" t="s">
        <v>681</v>
      </c>
    </row>
    <row r="80" spans="1:19" x14ac:dyDescent="0.25">
      <c r="A80" s="1" t="s">
        <v>661</v>
      </c>
      <c r="B80" s="1" t="s">
        <v>27</v>
      </c>
      <c r="C80" t="s">
        <v>682</v>
      </c>
      <c r="D80" t="b" cm="1">
        <f t="array" ref="D80">IF(Tabela13[[#This Row],[Nivel]]="N1",INDEX(Tabela13[Lider],MATCH(Tabela13[[#This Row],[Nivel]]&amp;Tabela13[[#This Row],[Liderado]],Tabela13[Nivel]&amp;Tabela13[Liderado],0)))</f>
        <v>0</v>
      </c>
      <c r="H80" t="s">
        <v>737</v>
      </c>
      <c r="I80" s="1" t="s">
        <v>330</v>
      </c>
      <c r="J80" s="1" t="s">
        <v>126</v>
      </c>
      <c r="K80" s="1" t="s">
        <v>9</v>
      </c>
      <c r="L80" s="2" t="s">
        <v>10</v>
      </c>
      <c r="M80" s="1" t="s">
        <v>11</v>
      </c>
      <c r="N80" s="2">
        <v>11555</v>
      </c>
      <c r="O80" s="1" t="s">
        <v>127</v>
      </c>
      <c r="P80" s="1" t="s">
        <v>319</v>
      </c>
      <c r="Q80" s="1" t="s">
        <v>643</v>
      </c>
      <c r="R80" s="1"/>
      <c r="S80" s="1" t="s">
        <v>681</v>
      </c>
    </row>
    <row r="81" spans="1:19" x14ac:dyDescent="0.25">
      <c r="A81" s="1" t="s">
        <v>627</v>
      </c>
      <c r="B81" s="1" t="s">
        <v>38</v>
      </c>
      <c r="C81" t="s">
        <v>689</v>
      </c>
      <c r="D81" t="b" cm="1">
        <f t="array" ref="D81">IF(Tabela13[[#This Row],[Nivel]]="N1",INDEX(Tabela13[Lider],MATCH(Tabela13[[#This Row],[Nivel]]&amp;Tabela13[[#This Row],[Liderado]],Tabela13[Nivel]&amp;Tabela13[Liderado],0)))</f>
        <v>0</v>
      </c>
      <c r="H81" t="s">
        <v>737</v>
      </c>
      <c r="I81" s="1" t="s">
        <v>331</v>
      </c>
      <c r="J81" s="1" t="s">
        <v>92</v>
      </c>
      <c r="K81" s="1" t="s">
        <v>9</v>
      </c>
      <c r="L81" s="2" t="s">
        <v>10</v>
      </c>
      <c r="M81" s="1" t="s">
        <v>11</v>
      </c>
      <c r="N81" s="2">
        <v>11389</v>
      </c>
      <c r="O81" s="1" t="s">
        <v>332</v>
      </c>
      <c r="P81" s="1" t="s">
        <v>170</v>
      </c>
      <c r="Q81" s="1" t="s">
        <v>652</v>
      </c>
      <c r="R81" s="1"/>
      <c r="S81" s="1" t="s">
        <v>685</v>
      </c>
    </row>
    <row r="82" spans="1:19" x14ac:dyDescent="0.25">
      <c r="A82" s="1" t="s">
        <v>661</v>
      </c>
      <c r="B82" s="1" t="s">
        <v>280</v>
      </c>
      <c r="C82" t="s">
        <v>715</v>
      </c>
      <c r="D82" t="b" cm="1">
        <f t="array" ref="D82">IF(Tabela13[[#This Row],[Nivel]]="N1",INDEX(Tabela13[Lider],MATCH(Tabela13[[#This Row],[Nivel]]&amp;Tabela13[[#This Row],[Liderado]],Tabela13[Nivel]&amp;Tabela13[Liderado],0)))</f>
        <v>0</v>
      </c>
      <c r="H82" t="s">
        <v>737</v>
      </c>
      <c r="I82" s="1" t="s">
        <v>333</v>
      </c>
      <c r="J82" s="1" t="s">
        <v>220</v>
      </c>
      <c r="K82" s="1" t="s">
        <v>9</v>
      </c>
      <c r="L82" s="2" t="s">
        <v>10</v>
      </c>
      <c r="M82" s="1" t="s">
        <v>11</v>
      </c>
      <c r="N82" s="2">
        <v>11518</v>
      </c>
      <c r="O82" s="1" t="s">
        <v>122</v>
      </c>
      <c r="P82" s="1" t="s">
        <v>306</v>
      </c>
      <c r="Q82" s="1" t="s">
        <v>639</v>
      </c>
      <c r="R82" s="1"/>
      <c r="S82" s="1" t="s">
        <v>714</v>
      </c>
    </row>
    <row r="83" spans="1:19" x14ac:dyDescent="0.25">
      <c r="A83" s="1" t="s">
        <v>627</v>
      </c>
      <c r="B83" s="1" t="s">
        <v>27</v>
      </c>
      <c r="C83" t="s">
        <v>682</v>
      </c>
      <c r="D83" t="b" cm="1">
        <f t="array" ref="D83">IF(Tabela13[[#This Row],[Nivel]]="N1",INDEX(Tabela13[Lider],MATCH(Tabela13[[#This Row],[Nivel]]&amp;Tabela13[[#This Row],[Liderado]],Tabela13[Nivel]&amp;Tabela13[Liderado],0)))</f>
        <v>0</v>
      </c>
      <c r="H83" t="s">
        <v>737</v>
      </c>
      <c r="I83" s="1" t="s">
        <v>334</v>
      </c>
      <c r="J83" s="1" t="s">
        <v>132</v>
      </c>
      <c r="K83" s="1" t="s">
        <v>9</v>
      </c>
      <c r="L83" s="2" t="s">
        <v>10</v>
      </c>
      <c r="M83" s="1" t="s">
        <v>11</v>
      </c>
      <c r="N83" s="2">
        <v>11353</v>
      </c>
      <c r="O83" s="1" t="s">
        <v>278</v>
      </c>
      <c r="P83" s="1" t="s">
        <v>279</v>
      </c>
      <c r="Q83" s="1" t="s">
        <v>660</v>
      </c>
      <c r="R83" s="1"/>
      <c r="S83" s="1" t="s">
        <v>681</v>
      </c>
    </row>
    <row r="84" spans="1:19" x14ac:dyDescent="0.25">
      <c r="A84" s="1" t="s">
        <v>627</v>
      </c>
      <c r="B84" s="1" t="s">
        <v>27</v>
      </c>
      <c r="C84" t="s">
        <v>682</v>
      </c>
      <c r="D84" t="b" cm="1">
        <f t="array" ref="D84">IF(Tabela13[[#This Row],[Nivel]]="N1",INDEX(Tabela13[Lider],MATCH(Tabela13[[#This Row],[Nivel]]&amp;Tabela13[[#This Row],[Liderado]],Tabela13[Nivel]&amp;Tabela13[Liderado],0)))</f>
        <v>0</v>
      </c>
      <c r="H84" t="s">
        <v>737</v>
      </c>
      <c r="I84" s="1" t="s">
        <v>336</v>
      </c>
      <c r="J84" s="1" t="s">
        <v>132</v>
      </c>
      <c r="K84" s="1" t="s">
        <v>9</v>
      </c>
      <c r="L84" s="2" t="s">
        <v>10</v>
      </c>
      <c r="M84" s="1" t="s">
        <v>11</v>
      </c>
      <c r="N84" s="2">
        <v>11301</v>
      </c>
      <c r="O84" s="1" t="s">
        <v>25</v>
      </c>
      <c r="P84" s="1" t="s">
        <v>26</v>
      </c>
      <c r="Q84" s="1" t="s">
        <v>628</v>
      </c>
      <c r="R84" s="1"/>
      <c r="S84" s="1" t="s">
        <v>681</v>
      </c>
    </row>
    <row r="85" spans="1:19" x14ac:dyDescent="0.25">
      <c r="A85" s="1" t="s">
        <v>661</v>
      </c>
      <c r="B85" s="1" t="s">
        <v>280</v>
      </c>
      <c r="C85" t="s">
        <v>715</v>
      </c>
      <c r="D85" t="b" cm="1">
        <f t="array" ref="D85">IF(Tabela13[[#This Row],[Nivel]]="N1",INDEX(Tabela13[Lider],MATCH(Tabela13[[#This Row],[Nivel]]&amp;Tabela13[[#This Row],[Liderado]],Tabela13[Nivel]&amp;Tabela13[Liderado],0)))</f>
        <v>0</v>
      </c>
      <c r="H85" t="s">
        <v>737</v>
      </c>
      <c r="I85" s="1" t="s">
        <v>337</v>
      </c>
      <c r="J85" s="1" t="s">
        <v>34</v>
      </c>
      <c r="K85" s="1" t="s">
        <v>105</v>
      </c>
      <c r="L85" s="2" t="s">
        <v>10</v>
      </c>
      <c r="M85" s="1" t="s">
        <v>11</v>
      </c>
      <c r="N85" s="2">
        <v>11543</v>
      </c>
      <c r="O85" s="1" t="s">
        <v>114</v>
      </c>
      <c r="P85" s="1" t="s">
        <v>284</v>
      </c>
      <c r="Q85" s="1" t="s">
        <v>630</v>
      </c>
      <c r="R85" s="1"/>
      <c r="S85" s="1" t="s">
        <v>714</v>
      </c>
    </row>
    <row r="86" spans="1:19" x14ac:dyDescent="0.25">
      <c r="A86" s="1" t="s">
        <v>627</v>
      </c>
      <c r="B86" s="1" t="s">
        <v>27</v>
      </c>
      <c r="C86" t="s">
        <v>682</v>
      </c>
      <c r="D86" t="b" cm="1">
        <f t="array" ref="D86">IF(Tabela13[[#This Row],[Nivel]]="N1",INDEX(Tabela13[Lider],MATCH(Tabela13[[#This Row],[Nivel]]&amp;Tabela13[[#This Row],[Liderado]],Tabela13[Nivel]&amp;Tabela13[Liderado],0)))</f>
        <v>0</v>
      </c>
      <c r="H86" t="s">
        <v>737</v>
      </c>
      <c r="I86" s="1" t="s">
        <v>343</v>
      </c>
      <c r="J86" s="1" t="s">
        <v>132</v>
      </c>
      <c r="K86" s="1" t="s">
        <v>9</v>
      </c>
      <c r="L86" s="2" t="s">
        <v>10</v>
      </c>
      <c r="M86" s="1" t="s">
        <v>11</v>
      </c>
      <c r="N86" s="2">
        <v>11301</v>
      </c>
      <c r="O86" s="1" t="s">
        <v>25</v>
      </c>
      <c r="P86" s="1" t="s">
        <v>26</v>
      </c>
      <c r="Q86" s="1" t="s">
        <v>628</v>
      </c>
      <c r="R86" s="1"/>
      <c r="S86" s="1" t="s">
        <v>681</v>
      </c>
    </row>
    <row r="87" spans="1:19" x14ac:dyDescent="0.25">
      <c r="A87" s="1" t="s">
        <v>658</v>
      </c>
      <c r="B87" s="1" t="s">
        <v>27</v>
      </c>
      <c r="C87" t="s">
        <v>682</v>
      </c>
      <c r="D87" t="b" cm="1">
        <f t="array" ref="D87">IF(Tabela13[[#This Row],[Nivel]]="N1",INDEX(Tabela13[Lider],MATCH(Tabela13[[#This Row],[Nivel]]&amp;Tabela13[[#This Row],[Liderado]],Tabela13[Nivel]&amp;Tabela13[Liderado],0)))</f>
        <v>0</v>
      </c>
      <c r="H87" t="s">
        <v>737</v>
      </c>
      <c r="I87" s="1" t="s">
        <v>345</v>
      </c>
      <c r="J87" s="1" t="s">
        <v>126</v>
      </c>
      <c r="K87" s="1" t="s">
        <v>9</v>
      </c>
      <c r="L87" s="2" t="s">
        <v>10</v>
      </c>
      <c r="M87" s="1" t="s">
        <v>11</v>
      </c>
      <c r="N87" s="2">
        <v>11255</v>
      </c>
      <c r="O87" s="1" t="s">
        <v>127</v>
      </c>
      <c r="P87" s="1" t="s">
        <v>346</v>
      </c>
      <c r="Q87" s="1" t="s">
        <v>643</v>
      </c>
      <c r="R87" s="1"/>
      <c r="S87" s="1" t="s">
        <v>681</v>
      </c>
    </row>
    <row r="88" spans="1:19" x14ac:dyDescent="0.25">
      <c r="A88" s="1" t="s">
        <v>658</v>
      </c>
      <c r="B88" s="1" t="s">
        <v>27</v>
      </c>
      <c r="C88" t="s">
        <v>682</v>
      </c>
      <c r="D88" t="b" cm="1">
        <f t="array" ref="D88">IF(Tabela13[[#This Row],[Nivel]]="N1",INDEX(Tabela13[Lider],MATCH(Tabela13[[#This Row],[Nivel]]&amp;Tabela13[[#This Row],[Liderado]],Tabela13[Nivel]&amp;Tabela13[Liderado],0)))</f>
        <v>0</v>
      </c>
      <c r="H88" t="s">
        <v>737</v>
      </c>
      <c r="I88" s="1" t="s">
        <v>348</v>
      </c>
      <c r="J88" s="1" t="s">
        <v>126</v>
      </c>
      <c r="K88" s="1" t="s">
        <v>9</v>
      </c>
      <c r="L88" s="2" t="s">
        <v>10</v>
      </c>
      <c r="M88" s="1" t="s">
        <v>11</v>
      </c>
      <c r="N88" s="2">
        <v>11255</v>
      </c>
      <c r="O88" s="1" t="s">
        <v>127</v>
      </c>
      <c r="P88" s="1" t="s">
        <v>346</v>
      </c>
      <c r="Q88" s="1" t="s">
        <v>643</v>
      </c>
      <c r="R88" s="1"/>
      <c r="S88" s="1" t="s">
        <v>681</v>
      </c>
    </row>
    <row r="89" spans="1:19" x14ac:dyDescent="0.25">
      <c r="A89" s="1" t="s">
        <v>661</v>
      </c>
      <c r="B89" s="1" t="s">
        <v>27</v>
      </c>
      <c r="C89" t="s">
        <v>682</v>
      </c>
      <c r="D89" t="b" cm="1">
        <f t="array" ref="D89">IF(Tabela13[[#This Row],[Nivel]]="N1",INDEX(Tabela13[Lider],MATCH(Tabela13[[#This Row],[Nivel]]&amp;Tabela13[[#This Row],[Liderado]],Tabela13[Nivel]&amp;Tabela13[Liderado],0)))</f>
        <v>0</v>
      </c>
      <c r="H89" t="s">
        <v>737</v>
      </c>
      <c r="I89" s="1" t="s">
        <v>350</v>
      </c>
      <c r="J89" s="1" t="s">
        <v>126</v>
      </c>
      <c r="K89" s="1" t="s">
        <v>105</v>
      </c>
      <c r="L89" s="2" t="s">
        <v>10</v>
      </c>
      <c r="M89" s="1" t="s">
        <v>11</v>
      </c>
      <c r="N89" s="2">
        <v>11555</v>
      </c>
      <c r="O89" s="1" t="s">
        <v>127</v>
      </c>
      <c r="P89" s="1" t="s">
        <v>319</v>
      </c>
      <c r="Q89" s="1" t="s">
        <v>643</v>
      </c>
      <c r="R89" s="1"/>
      <c r="S89" s="1" t="s">
        <v>681</v>
      </c>
    </row>
    <row r="90" spans="1:19" x14ac:dyDescent="0.25">
      <c r="A90" s="1" t="s">
        <v>661</v>
      </c>
      <c r="B90" s="1" t="s">
        <v>280</v>
      </c>
      <c r="C90" t="s">
        <v>715</v>
      </c>
      <c r="D90" t="b" cm="1">
        <f t="array" ref="D90">IF(Tabela13[[#This Row],[Nivel]]="N1",INDEX(Tabela13[Lider],MATCH(Tabela13[[#This Row],[Nivel]]&amp;Tabela13[[#This Row],[Liderado]],Tabela13[Nivel]&amp;Tabela13[Liderado],0)))</f>
        <v>0</v>
      </c>
      <c r="H90" t="s">
        <v>737</v>
      </c>
      <c r="I90" s="1" t="s">
        <v>351</v>
      </c>
      <c r="J90" s="1" t="s">
        <v>34</v>
      </c>
      <c r="K90" s="1" t="s">
        <v>105</v>
      </c>
      <c r="L90" s="2" t="s">
        <v>10</v>
      </c>
      <c r="M90" s="1" t="s">
        <v>11</v>
      </c>
      <c r="N90" s="2">
        <v>11543</v>
      </c>
      <c r="O90" s="1" t="s">
        <v>114</v>
      </c>
      <c r="P90" s="1" t="s">
        <v>284</v>
      </c>
      <c r="Q90" s="1" t="s">
        <v>630</v>
      </c>
      <c r="R90" s="1"/>
      <c r="S90" s="1" t="s">
        <v>714</v>
      </c>
    </row>
    <row r="91" spans="1:19" x14ac:dyDescent="0.25">
      <c r="A91" s="1" t="s">
        <v>658</v>
      </c>
      <c r="B91" s="1" t="s">
        <v>296</v>
      </c>
      <c r="C91" t="s">
        <v>715</v>
      </c>
      <c r="D91" t="b" cm="1">
        <f t="array" ref="D91">IF(Tabela13[[#This Row],[Nivel]]="N1",INDEX(Tabela13[Lider],MATCH(Tabela13[[#This Row],[Nivel]]&amp;Tabela13[[#This Row],[Liderado]],Tabela13[Nivel]&amp;Tabela13[Liderado],0)))</f>
        <v>0</v>
      </c>
      <c r="H91" t="s">
        <v>737</v>
      </c>
      <c r="I91" s="1" t="s">
        <v>352</v>
      </c>
      <c r="J91" s="1" t="s">
        <v>34</v>
      </c>
      <c r="K91" s="1" t="s">
        <v>9</v>
      </c>
      <c r="L91" s="2" t="s">
        <v>10</v>
      </c>
      <c r="M91" s="1" t="s">
        <v>11</v>
      </c>
      <c r="N91" s="2">
        <v>11243</v>
      </c>
      <c r="O91" s="1" t="s">
        <v>114</v>
      </c>
      <c r="P91" s="1" t="s">
        <v>273</v>
      </c>
      <c r="Q91" s="1" t="s">
        <v>630</v>
      </c>
      <c r="R91" s="1"/>
      <c r="S91" s="1" t="s">
        <v>719</v>
      </c>
    </row>
    <row r="92" spans="1:19" x14ac:dyDescent="0.25">
      <c r="A92" s="1" t="s">
        <v>661</v>
      </c>
      <c r="B92" s="1" t="s">
        <v>280</v>
      </c>
      <c r="C92" t="s">
        <v>715</v>
      </c>
      <c r="D92" t="b" cm="1">
        <f t="array" ref="D92">IF(Tabela13[[#This Row],[Nivel]]="N1",INDEX(Tabela13[Lider],MATCH(Tabela13[[#This Row],[Nivel]]&amp;Tabela13[[#This Row],[Liderado]],Tabela13[Nivel]&amp;Tabela13[Liderado],0)))</f>
        <v>0</v>
      </c>
      <c r="H92" t="s">
        <v>737</v>
      </c>
      <c r="I92" s="1" t="s">
        <v>354</v>
      </c>
      <c r="J92" s="1" t="s">
        <v>301</v>
      </c>
      <c r="K92" s="1" t="s">
        <v>9</v>
      </c>
      <c r="L92" s="2" t="s">
        <v>10</v>
      </c>
      <c r="M92" s="1" t="s">
        <v>11</v>
      </c>
      <c r="N92" s="2">
        <v>11543</v>
      </c>
      <c r="O92" s="1" t="s">
        <v>114</v>
      </c>
      <c r="P92" s="1" t="s">
        <v>284</v>
      </c>
      <c r="Q92" s="1" t="s">
        <v>630</v>
      </c>
      <c r="R92" s="1"/>
      <c r="S92" s="1" t="s">
        <v>714</v>
      </c>
    </row>
    <row r="93" spans="1:19" x14ac:dyDescent="0.25">
      <c r="A93" s="1" t="s">
        <v>658</v>
      </c>
      <c r="B93" s="1" t="s">
        <v>296</v>
      </c>
      <c r="C93" t="s">
        <v>715</v>
      </c>
      <c r="D93" t="b" cm="1">
        <f t="array" ref="D93">IF(Tabela13[[#This Row],[Nivel]]="N1",INDEX(Tabela13[Lider],MATCH(Tabela13[[#This Row],[Nivel]]&amp;Tabela13[[#This Row],[Liderado]],Tabela13[Nivel]&amp;Tabela13[Liderado],0)))</f>
        <v>0</v>
      </c>
      <c r="H93" t="s">
        <v>737</v>
      </c>
      <c r="I93" s="1" t="s">
        <v>355</v>
      </c>
      <c r="J93" s="1" t="s">
        <v>34</v>
      </c>
      <c r="K93" s="1" t="s">
        <v>9</v>
      </c>
      <c r="L93" s="2" t="s">
        <v>10</v>
      </c>
      <c r="M93" s="1" t="s">
        <v>11</v>
      </c>
      <c r="N93" s="2">
        <v>11243</v>
      </c>
      <c r="O93" s="1" t="s">
        <v>114</v>
      </c>
      <c r="P93" s="1" t="s">
        <v>273</v>
      </c>
      <c r="Q93" s="1" t="s">
        <v>630</v>
      </c>
      <c r="R93" s="1"/>
      <c r="S93" s="1" t="s">
        <v>719</v>
      </c>
    </row>
    <row r="94" spans="1:19" x14ac:dyDescent="0.25">
      <c r="A94" s="1" t="s">
        <v>661</v>
      </c>
      <c r="B94" s="1" t="s">
        <v>280</v>
      </c>
      <c r="C94" t="s">
        <v>715</v>
      </c>
      <c r="D94" t="b" cm="1">
        <f t="array" ref="D94">IF(Tabela13[[#This Row],[Nivel]]="N1",INDEX(Tabela13[Lider],MATCH(Tabela13[[#This Row],[Nivel]]&amp;Tabela13[[#This Row],[Liderado]],Tabela13[Nivel]&amp;Tabela13[Liderado],0)))</f>
        <v>0</v>
      </c>
      <c r="H94" t="s">
        <v>737</v>
      </c>
      <c r="I94" s="1" t="s">
        <v>357</v>
      </c>
      <c r="J94" s="1" t="s">
        <v>34</v>
      </c>
      <c r="K94" s="1" t="s">
        <v>9</v>
      </c>
      <c r="L94" s="2" t="s">
        <v>10</v>
      </c>
      <c r="M94" s="1" t="s">
        <v>11</v>
      </c>
      <c r="N94" s="2">
        <v>11543</v>
      </c>
      <c r="O94" s="1" t="s">
        <v>114</v>
      </c>
      <c r="P94" s="1" t="s">
        <v>284</v>
      </c>
      <c r="Q94" s="1" t="s">
        <v>630</v>
      </c>
      <c r="R94" s="1"/>
      <c r="S94" s="1" t="s">
        <v>714</v>
      </c>
    </row>
    <row r="95" spans="1:19" x14ac:dyDescent="0.25">
      <c r="A95" s="1" t="s">
        <v>661</v>
      </c>
      <c r="B95" s="1" t="s">
        <v>27</v>
      </c>
      <c r="C95" t="s">
        <v>682</v>
      </c>
      <c r="D95" t="b" cm="1">
        <f t="array" ref="D95">IF(Tabela13[[#This Row],[Nivel]]="N1",INDEX(Tabela13[Lider],MATCH(Tabela13[[#This Row],[Nivel]]&amp;Tabela13[[#This Row],[Liderado]],Tabela13[Nivel]&amp;Tabela13[Liderado],0)))</f>
        <v>0</v>
      </c>
      <c r="H95" t="s">
        <v>737</v>
      </c>
      <c r="I95" s="1" t="s">
        <v>358</v>
      </c>
      <c r="J95" s="1" t="s">
        <v>104</v>
      </c>
      <c r="K95" s="1" t="s">
        <v>9</v>
      </c>
      <c r="L95" s="2" t="s">
        <v>10</v>
      </c>
      <c r="M95" s="1" t="s">
        <v>11</v>
      </c>
      <c r="N95" s="2">
        <v>11501</v>
      </c>
      <c r="O95" s="1" t="s">
        <v>83</v>
      </c>
      <c r="P95" s="1" t="s">
        <v>321</v>
      </c>
      <c r="Q95" s="1" t="s">
        <v>628</v>
      </c>
      <c r="R95" s="1"/>
      <c r="S95" s="1" t="s">
        <v>681</v>
      </c>
    </row>
    <row r="96" spans="1:19" x14ac:dyDescent="0.25">
      <c r="A96" s="1" t="s">
        <v>627</v>
      </c>
      <c r="B96" s="1" t="s">
        <v>27</v>
      </c>
      <c r="C96" t="s">
        <v>682</v>
      </c>
      <c r="D96" t="b" cm="1">
        <f t="array" ref="D96">IF(Tabela13[[#This Row],[Nivel]]="N1",INDEX(Tabela13[Lider],MATCH(Tabela13[[#This Row],[Nivel]]&amp;Tabela13[[#This Row],[Liderado]],Tabela13[Nivel]&amp;Tabela13[Liderado],0)))</f>
        <v>0</v>
      </c>
      <c r="H96" t="s">
        <v>737</v>
      </c>
      <c r="I96" s="1" t="s">
        <v>359</v>
      </c>
      <c r="J96" s="1" t="s">
        <v>132</v>
      </c>
      <c r="K96" s="1" t="s">
        <v>105</v>
      </c>
      <c r="L96" s="2" t="s">
        <v>10</v>
      </c>
      <c r="M96" s="1" t="s">
        <v>11</v>
      </c>
      <c r="N96" s="2">
        <v>11353</v>
      </c>
      <c r="O96" s="1" t="s">
        <v>278</v>
      </c>
      <c r="P96" s="1" t="s">
        <v>279</v>
      </c>
      <c r="Q96" s="1" t="s">
        <v>660</v>
      </c>
      <c r="R96" s="1"/>
      <c r="S96" s="1" t="s">
        <v>681</v>
      </c>
    </row>
    <row r="97" spans="1:19" x14ac:dyDescent="0.25">
      <c r="A97" s="1" t="s">
        <v>641</v>
      </c>
      <c r="B97" s="1" t="s">
        <v>116</v>
      </c>
      <c r="C97" t="s">
        <v>698</v>
      </c>
      <c r="D97" t="b" cm="1">
        <f t="array" ref="D97">IF(Tabela13[[#This Row],[Nivel]]="N1",INDEX(Tabela13[Lider],MATCH(Tabela13[[#This Row],[Nivel]]&amp;Tabela13[[#This Row],[Liderado]],Tabela13[Nivel]&amp;Tabela13[Liderado],0)))</f>
        <v>0</v>
      </c>
      <c r="H97" t="s">
        <v>737</v>
      </c>
      <c r="I97" s="1" t="s">
        <v>361</v>
      </c>
      <c r="J97" s="1" t="s">
        <v>265</v>
      </c>
      <c r="K97" s="1" t="s">
        <v>9</v>
      </c>
      <c r="L97" s="2" t="s">
        <v>10</v>
      </c>
      <c r="M97" s="1" t="s">
        <v>11</v>
      </c>
      <c r="N97" s="2">
        <v>11043</v>
      </c>
      <c r="O97" s="1" t="s">
        <v>114</v>
      </c>
      <c r="P97" s="1" t="s">
        <v>115</v>
      </c>
      <c r="Q97" s="1" t="s">
        <v>630</v>
      </c>
      <c r="R97" s="1"/>
      <c r="S97" s="1" t="s">
        <v>697</v>
      </c>
    </row>
    <row r="98" spans="1:19" x14ac:dyDescent="0.25">
      <c r="A98" s="1" t="s">
        <v>627</v>
      </c>
      <c r="B98" s="1" t="s">
        <v>38</v>
      </c>
      <c r="C98" t="s">
        <v>689</v>
      </c>
      <c r="D98" t="b" cm="1">
        <f t="array" ref="D98">IF(Tabela13[[#This Row],[Nivel]]="N1",INDEX(Tabela13[Lider],MATCH(Tabela13[[#This Row],[Nivel]]&amp;Tabela13[[#This Row],[Liderado]],Tabela13[Nivel]&amp;Tabela13[Liderado],0)))</f>
        <v>0</v>
      </c>
      <c r="H98" t="s">
        <v>737</v>
      </c>
      <c r="I98" s="1" t="s">
        <v>365</v>
      </c>
      <c r="J98" s="1" t="s">
        <v>301</v>
      </c>
      <c r="K98" s="1" t="s">
        <v>9</v>
      </c>
      <c r="L98" s="2" t="s">
        <v>10</v>
      </c>
      <c r="M98" s="1" t="s">
        <v>11</v>
      </c>
      <c r="N98" s="2">
        <v>11343</v>
      </c>
      <c r="O98" s="1" t="s">
        <v>114</v>
      </c>
      <c r="P98" s="1" t="s">
        <v>36</v>
      </c>
      <c r="Q98" s="1" t="s">
        <v>630</v>
      </c>
      <c r="R98" s="1"/>
      <c r="S98" s="1" t="s">
        <v>685</v>
      </c>
    </row>
    <row r="99" spans="1:19" x14ac:dyDescent="0.25">
      <c r="A99" s="1" t="s">
        <v>658</v>
      </c>
      <c r="B99" s="1" t="s">
        <v>27</v>
      </c>
      <c r="C99" t="s">
        <v>682</v>
      </c>
      <c r="D99" t="b" cm="1">
        <f t="array" ref="D99">IF(Tabela13[[#This Row],[Nivel]]="N1",INDEX(Tabela13[Lider],MATCH(Tabela13[[#This Row],[Nivel]]&amp;Tabela13[[#This Row],[Liderado]],Tabela13[Nivel]&amp;Tabela13[Liderado],0)))</f>
        <v>0</v>
      </c>
      <c r="H99" t="s">
        <v>737</v>
      </c>
      <c r="I99" s="1" t="s">
        <v>366</v>
      </c>
      <c r="J99" s="1" t="s">
        <v>220</v>
      </c>
      <c r="K99" s="1" t="s">
        <v>9</v>
      </c>
      <c r="L99" s="2" t="s">
        <v>10</v>
      </c>
      <c r="M99" s="1" t="s">
        <v>11</v>
      </c>
      <c r="N99" s="2">
        <v>11218</v>
      </c>
      <c r="O99" s="1" t="s">
        <v>122</v>
      </c>
      <c r="P99" s="1" t="s">
        <v>367</v>
      </c>
      <c r="Q99" s="1" t="s">
        <v>639</v>
      </c>
      <c r="R99" s="1"/>
      <c r="S99" s="1" t="s">
        <v>681</v>
      </c>
    </row>
    <row r="100" spans="1:19" x14ac:dyDescent="0.25">
      <c r="A100" s="1" t="s">
        <v>627</v>
      </c>
      <c r="B100" s="1" t="s">
        <v>38</v>
      </c>
      <c r="C100" t="s">
        <v>689</v>
      </c>
      <c r="D100" t="b" cm="1">
        <f t="array" ref="D100">IF(Tabela13[[#This Row],[Nivel]]="N1",INDEX(Tabela13[Lider],MATCH(Tabela13[[#This Row],[Nivel]]&amp;Tabela13[[#This Row],[Liderado]],Tabela13[Nivel]&amp;Tabela13[Liderado],0)))</f>
        <v>0</v>
      </c>
      <c r="H100" t="s">
        <v>737</v>
      </c>
      <c r="I100" s="1" t="s">
        <v>368</v>
      </c>
      <c r="J100" s="1" t="s">
        <v>301</v>
      </c>
      <c r="K100" s="1" t="s">
        <v>17</v>
      </c>
      <c r="L100" s="2" t="s">
        <v>10</v>
      </c>
      <c r="M100" s="1" t="s">
        <v>11</v>
      </c>
      <c r="N100" s="2">
        <v>11343</v>
      </c>
      <c r="O100" s="1" t="s">
        <v>114</v>
      </c>
      <c r="P100" s="1" t="s">
        <v>36</v>
      </c>
      <c r="Q100" s="1" t="s">
        <v>630</v>
      </c>
      <c r="R100" s="1"/>
      <c r="S100" s="1" t="s">
        <v>685</v>
      </c>
    </row>
    <row r="101" spans="1:19" x14ac:dyDescent="0.25">
      <c r="A101" s="1" t="s">
        <v>627</v>
      </c>
      <c r="B101" s="1" t="s">
        <v>38</v>
      </c>
      <c r="C101" t="s">
        <v>689</v>
      </c>
      <c r="D101" t="b" cm="1">
        <f t="array" ref="D101">IF(Tabela13[[#This Row],[Nivel]]="N1",INDEX(Tabela13[Lider],MATCH(Tabela13[[#This Row],[Nivel]]&amp;Tabela13[[#This Row],[Liderado]],Tabela13[Nivel]&amp;Tabela13[Liderado],0)))</f>
        <v>0</v>
      </c>
      <c r="H101" t="s">
        <v>737</v>
      </c>
      <c r="I101" s="1" t="s">
        <v>373</v>
      </c>
      <c r="J101" s="1" t="s">
        <v>301</v>
      </c>
      <c r="K101" s="1" t="s">
        <v>9</v>
      </c>
      <c r="L101" s="2" t="s">
        <v>10</v>
      </c>
      <c r="M101" s="1" t="s">
        <v>11</v>
      </c>
      <c r="N101" s="2">
        <v>11343</v>
      </c>
      <c r="O101" s="1" t="s">
        <v>114</v>
      </c>
      <c r="P101" s="1" t="s">
        <v>36</v>
      </c>
      <c r="Q101" s="1" t="s">
        <v>630</v>
      </c>
      <c r="R101" s="1"/>
      <c r="S101" s="1" t="s">
        <v>685</v>
      </c>
    </row>
    <row r="102" spans="1:19" x14ac:dyDescent="0.25">
      <c r="A102" s="1" t="s">
        <v>627</v>
      </c>
      <c r="B102" s="1" t="s">
        <v>38</v>
      </c>
      <c r="C102" t="s">
        <v>689</v>
      </c>
      <c r="D102" t="b" cm="1">
        <f t="array" ref="D102">IF(Tabela13[[#This Row],[Nivel]]="N1",INDEX(Tabela13[Lider],MATCH(Tabela13[[#This Row],[Nivel]]&amp;Tabela13[[#This Row],[Liderado]],Tabela13[Nivel]&amp;Tabela13[Liderado],0)))</f>
        <v>0</v>
      </c>
      <c r="H102" t="s">
        <v>737</v>
      </c>
      <c r="I102" s="1" t="s">
        <v>379</v>
      </c>
      <c r="J102" s="1" t="s">
        <v>92</v>
      </c>
      <c r="K102" s="1" t="s">
        <v>9</v>
      </c>
      <c r="L102" s="2" t="s">
        <v>10</v>
      </c>
      <c r="M102" s="1" t="s">
        <v>11</v>
      </c>
      <c r="N102" s="2">
        <v>11389</v>
      </c>
      <c r="O102" s="1" t="s">
        <v>332</v>
      </c>
      <c r="P102" s="1" t="s">
        <v>170</v>
      </c>
      <c r="Q102" s="1" t="s">
        <v>652</v>
      </c>
      <c r="R102" s="1"/>
      <c r="S102" s="1" t="s">
        <v>685</v>
      </c>
    </row>
    <row r="103" spans="1:19" x14ac:dyDescent="0.25">
      <c r="A103" s="1" t="s">
        <v>664</v>
      </c>
      <c r="B103" s="1" t="s">
        <v>384</v>
      </c>
      <c r="C103" t="s">
        <v>721</v>
      </c>
      <c r="D103" t="b" cm="1">
        <f t="array" ref="D103">IF(Tabela13[[#This Row],[Nivel]]="N1",INDEX(Tabela13[Lider],MATCH(Tabela13[[#This Row],[Nivel]]&amp;Tabela13[[#This Row],[Liderado]],Tabela13[Nivel]&amp;Tabela13[Liderado],0)))</f>
        <v>0</v>
      </c>
      <c r="H103" t="s">
        <v>737</v>
      </c>
      <c r="I103" s="1" t="s">
        <v>380</v>
      </c>
      <c r="J103" s="1" t="s">
        <v>381</v>
      </c>
      <c r="K103" s="1" t="s">
        <v>9</v>
      </c>
      <c r="L103" s="2" t="s">
        <v>10</v>
      </c>
      <c r="M103" s="1" t="s">
        <v>11</v>
      </c>
      <c r="N103" s="2">
        <v>11631</v>
      </c>
      <c r="O103" s="1" t="s">
        <v>382</v>
      </c>
      <c r="P103" s="1" t="s">
        <v>383</v>
      </c>
      <c r="Q103" s="1" t="s">
        <v>665</v>
      </c>
      <c r="R103" s="1"/>
      <c r="S103" s="1" t="s">
        <v>720</v>
      </c>
    </row>
    <row r="104" spans="1:19" x14ac:dyDescent="0.25">
      <c r="A104" s="1" t="s">
        <v>664</v>
      </c>
      <c r="B104" s="1" t="s">
        <v>380</v>
      </c>
      <c r="C104" t="s">
        <v>721</v>
      </c>
      <c r="D104" t="b" cm="1">
        <f t="array" ref="D104">IF(Tabela13[[#This Row],[Nivel]]="N1",INDEX(Tabela13[Lider],MATCH(Tabela13[[#This Row],[Nivel]]&amp;Tabela13[[#This Row],[Liderado]],Tabela13[Nivel]&amp;Tabela13[Liderado],0)))</f>
        <v>0</v>
      </c>
      <c r="H104" t="s">
        <v>737</v>
      </c>
      <c r="I104" s="1" t="s">
        <v>387</v>
      </c>
      <c r="J104" s="1" t="s">
        <v>388</v>
      </c>
      <c r="K104" s="1" t="s">
        <v>9</v>
      </c>
      <c r="L104" s="2" t="s">
        <v>10</v>
      </c>
      <c r="M104" s="1" t="s">
        <v>11</v>
      </c>
      <c r="N104" s="2">
        <v>11648</v>
      </c>
      <c r="O104" s="1" t="s">
        <v>389</v>
      </c>
      <c r="P104" s="1" t="s">
        <v>390</v>
      </c>
      <c r="Q104" s="1" t="s">
        <v>667</v>
      </c>
      <c r="R104" s="1"/>
      <c r="S104" s="1" t="s">
        <v>722</v>
      </c>
    </row>
    <row r="105" spans="1:19" x14ac:dyDescent="0.25">
      <c r="A105" s="1" t="s">
        <v>664</v>
      </c>
      <c r="B105" s="1" t="s">
        <v>380</v>
      </c>
      <c r="C105" t="s">
        <v>721</v>
      </c>
      <c r="D105" t="b" cm="1">
        <f t="array" ref="D105">IF(Tabela13[[#This Row],[Nivel]]="N1",INDEX(Tabela13[Lider],MATCH(Tabela13[[#This Row],[Nivel]]&amp;Tabela13[[#This Row],[Liderado]],Tabela13[Nivel]&amp;Tabela13[Liderado],0)))</f>
        <v>0</v>
      </c>
      <c r="H105" t="s">
        <v>737</v>
      </c>
      <c r="I105" s="1" t="s">
        <v>391</v>
      </c>
      <c r="J105" s="1" t="s">
        <v>388</v>
      </c>
      <c r="K105" s="1" t="s">
        <v>9</v>
      </c>
      <c r="L105" s="2" t="s">
        <v>10</v>
      </c>
      <c r="M105" s="1" t="s">
        <v>11</v>
      </c>
      <c r="N105" s="2">
        <v>11648</v>
      </c>
      <c r="O105" s="1" t="s">
        <v>389</v>
      </c>
      <c r="P105" s="1" t="s">
        <v>390</v>
      </c>
      <c r="Q105" s="1" t="s">
        <v>667</v>
      </c>
      <c r="R105" s="1"/>
      <c r="S105" s="1" t="s">
        <v>722</v>
      </c>
    </row>
    <row r="106" spans="1:19" x14ac:dyDescent="0.25">
      <c r="A106" s="1" t="s">
        <v>664</v>
      </c>
      <c r="B106" s="1" t="s">
        <v>380</v>
      </c>
      <c r="C106" t="s">
        <v>721</v>
      </c>
      <c r="D106" t="b" cm="1">
        <f t="array" ref="D106">IF(Tabela13[[#This Row],[Nivel]]="N1",INDEX(Tabela13[Lider],MATCH(Tabela13[[#This Row],[Nivel]]&amp;Tabela13[[#This Row],[Liderado]],Tabela13[Nivel]&amp;Tabela13[Liderado],0)))</f>
        <v>0</v>
      </c>
      <c r="H106" t="s">
        <v>737</v>
      </c>
      <c r="I106" s="1" t="s">
        <v>392</v>
      </c>
      <c r="J106" s="1" t="s">
        <v>388</v>
      </c>
      <c r="K106" s="1" t="s">
        <v>9</v>
      </c>
      <c r="L106" s="2" t="s">
        <v>10</v>
      </c>
      <c r="M106" s="1" t="s">
        <v>11</v>
      </c>
      <c r="N106" s="2">
        <v>11648</v>
      </c>
      <c r="O106" s="1" t="s">
        <v>389</v>
      </c>
      <c r="P106" s="1" t="s">
        <v>390</v>
      </c>
      <c r="Q106" s="1" t="s">
        <v>667</v>
      </c>
      <c r="R106" s="1"/>
      <c r="S106" s="1" t="s">
        <v>722</v>
      </c>
    </row>
    <row r="107" spans="1:19" x14ac:dyDescent="0.25">
      <c r="A107" s="1" t="s">
        <v>664</v>
      </c>
      <c r="B107" s="1" t="s">
        <v>380</v>
      </c>
      <c r="C107" t="s">
        <v>721</v>
      </c>
      <c r="D107" t="b" cm="1">
        <f t="array" ref="D107">IF(Tabela13[[#This Row],[Nivel]]="N1",INDEX(Tabela13[Lider],MATCH(Tabela13[[#This Row],[Nivel]]&amp;Tabela13[[#This Row],[Liderado]],Tabela13[Nivel]&amp;Tabela13[Liderado],0)))</f>
        <v>0</v>
      </c>
      <c r="H107" t="s">
        <v>737</v>
      </c>
      <c r="I107" s="1" t="s">
        <v>393</v>
      </c>
      <c r="J107" s="1" t="s">
        <v>388</v>
      </c>
      <c r="K107" s="1" t="s">
        <v>9</v>
      </c>
      <c r="L107" s="2" t="s">
        <v>10</v>
      </c>
      <c r="M107" s="1" t="s">
        <v>11</v>
      </c>
      <c r="N107" s="2">
        <v>11648</v>
      </c>
      <c r="O107" s="1" t="s">
        <v>389</v>
      </c>
      <c r="P107" s="1" t="s">
        <v>390</v>
      </c>
      <c r="Q107" s="1" t="s">
        <v>667</v>
      </c>
      <c r="R107" s="1"/>
      <c r="S107" s="1" t="s">
        <v>722</v>
      </c>
    </row>
    <row r="108" spans="1:19" x14ac:dyDescent="0.25">
      <c r="A108" s="1" t="s">
        <v>664</v>
      </c>
      <c r="B108" s="1" t="s">
        <v>380</v>
      </c>
      <c r="C108" t="s">
        <v>721</v>
      </c>
      <c r="D108" t="b" cm="1">
        <f t="array" ref="D108">IF(Tabela13[[#This Row],[Nivel]]="N1",INDEX(Tabela13[Lider],MATCH(Tabela13[[#This Row],[Nivel]]&amp;Tabela13[[#This Row],[Liderado]],Tabela13[Nivel]&amp;Tabela13[Liderado],0)))</f>
        <v>0</v>
      </c>
      <c r="H108" t="s">
        <v>737</v>
      </c>
      <c r="I108" s="1" t="s">
        <v>394</v>
      </c>
      <c r="J108" s="1" t="s">
        <v>388</v>
      </c>
      <c r="K108" s="1" t="s">
        <v>9</v>
      </c>
      <c r="L108" s="2" t="s">
        <v>10</v>
      </c>
      <c r="M108" s="1" t="s">
        <v>11</v>
      </c>
      <c r="N108" s="2">
        <v>11648</v>
      </c>
      <c r="O108" s="1" t="s">
        <v>389</v>
      </c>
      <c r="P108" s="1" t="s">
        <v>390</v>
      </c>
      <c r="Q108" s="1" t="s">
        <v>667</v>
      </c>
      <c r="R108" s="1"/>
      <c r="S108" s="1" t="s">
        <v>722</v>
      </c>
    </row>
    <row r="109" spans="1:19" x14ac:dyDescent="0.25">
      <c r="A109" s="1" t="s">
        <v>664</v>
      </c>
      <c r="B109" s="1" t="s">
        <v>380</v>
      </c>
      <c r="C109" t="s">
        <v>721</v>
      </c>
      <c r="D109" t="b" cm="1">
        <f t="array" ref="D109">IF(Tabela13[[#This Row],[Nivel]]="N1",INDEX(Tabela13[Lider],MATCH(Tabela13[[#This Row],[Nivel]]&amp;Tabela13[[#This Row],[Liderado]],Tabela13[Nivel]&amp;Tabela13[Liderado],0)))</f>
        <v>0</v>
      </c>
      <c r="H109" t="s">
        <v>737</v>
      </c>
      <c r="I109" s="1" t="s">
        <v>395</v>
      </c>
      <c r="J109" s="1" t="s">
        <v>388</v>
      </c>
      <c r="K109" s="1" t="s">
        <v>9</v>
      </c>
      <c r="L109" s="2" t="s">
        <v>10</v>
      </c>
      <c r="M109" s="1" t="s">
        <v>11</v>
      </c>
      <c r="N109" s="2">
        <v>11648</v>
      </c>
      <c r="O109" s="1" t="s">
        <v>389</v>
      </c>
      <c r="P109" s="1" t="s">
        <v>390</v>
      </c>
      <c r="Q109" s="1" t="s">
        <v>667</v>
      </c>
      <c r="R109" s="1"/>
      <c r="S109" s="1" t="s">
        <v>722</v>
      </c>
    </row>
    <row r="110" spans="1:19" x14ac:dyDescent="0.25">
      <c r="A110" s="1" t="s">
        <v>664</v>
      </c>
      <c r="B110" s="1" t="s">
        <v>380</v>
      </c>
      <c r="C110" t="s">
        <v>721</v>
      </c>
      <c r="D110" t="b" cm="1">
        <f t="array" ref="D110">IF(Tabela13[[#This Row],[Nivel]]="N1",INDEX(Tabela13[Lider],MATCH(Tabela13[[#This Row],[Nivel]]&amp;Tabela13[[#This Row],[Liderado]],Tabela13[Nivel]&amp;Tabela13[Liderado],0)))</f>
        <v>0</v>
      </c>
      <c r="H110" t="s">
        <v>737</v>
      </c>
      <c r="I110" s="1" t="s">
        <v>396</v>
      </c>
      <c r="J110" s="1" t="s">
        <v>388</v>
      </c>
      <c r="K110" s="1" t="s">
        <v>9</v>
      </c>
      <c r="L110" s="2" t="s">
        <v>10</v>
      </c>
      <c r="M110" s="1" t="s">
        <v>11</v>
      </c>
      <c r="N110" s="2">
        <v>11648</v>
      </c>
      <c r="O110" s="1" t="s">
        <v>389</v>
      </c>
      <c r="P110" s="1" t="s">
        <v>390</v>
      </c>
      <c r="Q110" s="1" t="s">
        <v>667</v>
      </c>
      <c r="R110" s="1"/>
      <c r="S110" s="1" t="s">
        <v>722</v>
      </c>
    </row>
    <row r="111" spans="1:19" x14ac:dyDescent="0.25">
      <c r="A111" s="1" t="s">
        <v>664</v>
      </c>
      <c r="B111" s="1" t="s">
        <v>380</v>
      </c>
      <c r="C111" t="s">
        <v>721</v>
      </c>
      <c r="D111" t="b" cm="1">
        <f t="array" ref="D111">IF(Tabela13[[#This Row],[Nivel]]="N1",INDEX(Tabela13[Lider],MATCH(Tabela13[[#This Row],[Nivel]]&amp;Tabela13[[#This Row],[Liderado]],Tabela13[Nivel]&amp;Tabela13[Liderado],0)))</f>
        <v>0</v>
      </c>
      <c r="H111" t="s">
        <v>737</v>
      </c>
      <c r="I111" s="1" t="s">
        <v>397</v>
      </c>
      <c r="J111" s="1" t="s">
        <v>388</v>
      </c>
      <c r="K111" s="1" t="s">
        <v>9</v>
      </c>
      <c r="L111" s="2" t="s">
        <v>10</v>
      </c>
      <c r="M111" s="1" t="s">
        <v>11</v>
      </c>
      <c r="N111" s="2">
        <v>11648</v>
      </c>
      <c r="O111" s="1" t="s">
        <v>389</v>
      </c>
      <c r="P111" s="1" t="s">
        <v>390</v>
      </c>
      <c r="Q111" s="1" t="s">
        <v>667</v>
      </c>
      <c r="R111" s="1"/>
      <c r="S111" s="1" t="s">
        <v>722</v>
      </c>
    </row>
    <row r="112" spans="1:19" x14ac:dyDescent="0.25">
      <c r="A112" s="1" t="s">
        <v>664</v>
      </c>
      <c r="B112" s="1" t="s">
        <v>380</v>
      </c>
      <c r="C112" t="s">
        <v>721</v>
      </c>
      <c r="D112" t="b" cm="1">
        <f t="array" ref="D112">IF(Tabela13[[#This Row],[Nivel]]="N1",INDEX(Tabela13[Lider],MATCH(Tabela13[[#This Row],[Nivel]]&amp;Tabela13[[#This Row],[Liderado]],Tabela13[Nivel]&amp;Tabela13[Liderado],0)))</f>
        <v>0</v>
      </c>
      <c r="H112" t="s">
        <v>737</v>
      </c>
      <c r="I112" s="1" t="s">
        <v>398</v>
      </c>
      <c r="J112" s="1" t="s">
        <v>388</v>
      </c>
      <c r="K112" s="1" t="s">
        <v>9</v>
      </c>
      <c r="L112" s="2" t="s">
        <v>10</v>
      </c>
      <c r="M112" s="1" t="s">
        <v>11</v>
      </c>
      <c r="N112" s="2">
        <v>11648</v>
      </c>
      <c r="O112" s="1" t="s">
        <v>389</v>
      </c>
      <c r="P112" s="1" t="s">
        <v>390</v>
      </c>
      <c r="Q112" s="1" t="s">
        <v>667</v>
      </c>
      <c r="R112" s="1"/>
      <c r="S112" s="1" t="s">
        <v>722</v>
      </c>
    </row>
    <row r="113" spans="1:19" x14ac:dyDescent="0.25">
      <c r="A113" s="1" t="s">
        <v>664</v>
      </c>
      <c r="B113" s="1" t="s">
        <v>380</v>
      </c>
      <c r="C113" t="s">
        <v>721</v>
      </c>
      <c r="D113" t="b" cm="1">
        <f t="array" ref="D113">IF(Tabela13[[#This Row],[Nivel]]="N1",INDEX(Tabela13[Lider],MATCH(Tabela13[[#This Row],[Nivel]]&amp;Tabela13[[#This Row],[Liderado]],Tabela13[Nivel]&amp;Tabela13[Liderado],0)))</f>
        <v>0</v>
      </c>
      <c r="H113" t="s">
        <v>737</v>
      </c>
      <c r="I113" s="1" t="s">
        <v>399</v>
      </c>
      <c r="J113" s="1" t="s">
        <v>400</v>
      </c>
      <c r="K113" s="1" t="s">
        <v>105</v>
      </c>
      <c r="L113" s="2" t="s">
        <v>10</v>
      </c>
      <c r="M113" s="1" t="s">
        <v>11</v>
      </c>
      <c r="N113" s="2">
        <v>11648</v>
      </c>
      <c r="O113" s="1" t="s">
        <v>389</v>
      </c>
      <c r="P113" s="1" t="s">
        <v>390</v>
      </c>
      <c r="Q113" s="1" t="s">
        <v>667</v>
      </c>
      <c r="R113" s="1"/>
      <c r="S113" s="1" t="s">
        <v>722</v>
      </c>
    </row>
    <row r="114" spans="1:19" x14ac:dyDescent="0.25">
      <c r="A114" s="1" t="s">
        <v>664</v>
      </c>
      <c r="B114" s="1" t="s">
        <v>380</v>
      </c>
      <c r="C114" t="s">
        <v>721</v>
      </c>
      <c r="D114" t="b" cm="1">
        <f t="array" ref="D114">IF(Tabela13[[#This Row],[Nivel]]="N1",INDEX(Tabela13[Lider],MATCH(Tabela13[[#This Row],[Nivel]]&amp;Tabela13[[#This Row],[Liderado]],Tabela13[Nivel]&amp;Tabela13[Liderado],0)))</f>
        <v>0</v>
      </c>
      <c r="H114" t="s">
        <v>737</v>
      </c>
      <c r="I114" s="1" t="s">
        <v>401</v>
      </c>
      <c r="J114" s="1" t="s">
        <v>388</v>
      </c>
      <c r="K114" s="1" t="s">
        <v>9</v>
      </c>
      <c r="L114" s="2" t="s">
        <v>10</v>
      </c>
      <c r="M114" s="1" t="s">
        <v>11</v>
      </c>
      <c r="N114" s="2">
        <v>11648</v>
      </c>
      <c r="O114" s="1" t="s">
        <v>389</v>
      </c>
      <c r="P114" s="1" t="s">
        <v>390</v>
      </c>
      <c r="Q114" s="1" t="s">
        <v>667</v>
      </c>
      <c r="R114" s="1"/>
      <c r="S114" s="1" t="s">
        <v>722</v>
      </c>
    </row>
    <row r="115" spans="1:19" x14ac:dyDescent="0.25">
      <c r="A115" s="1" t="s">
        <v>664</v>
      </c>
      <c r="B115" s="1" t="s">
        <v>380</v>
      </c>
      <c r="C115" t="s">
        <v>721</v>
      </c>
      <c r="D115" t="b" cm="1">
        <f t="array" ref="D115">IF(Tabela13[[#This Row],[Nivel]]="N1",INDEX(Tabela13[Lider],MATCH(Tabela13[[#This Row],[Nivel]]&amp;Tabela13[[#This Row],[Liderado]],Tabela13[Nivel]&amp;Tabela13[Liderado],0)))</f>
        <v>0</v>
      </c>
      <c r="H115" t="s">
        <v>737</v>
      </c>
      <c r="I115" s="1" t="s">
        <v>403</v>
      </c>
      <c r="J115" s="1" t="s">
        <v>388</v>
      </c>
      <c r="K115" s="1" t="s">
        <v>9</v>
      </c>
      <c r="L115" s="2" t="s">
        <v>10</v>
      </c>
      <c r="M115" s="1" t="s">
        <v>11</v>
      </c>
      <c r="N115" s="2">
        <v>11648</v>
      </c>
      <c r="O115" s="1" t="s">
        <v>389</v>
      </c>
      <c r="P115" s="1" t="s">
        <v>390</v>
      </c>
      <c r="Q115" s="1" t="s">
        <v>667</v>
      </c>
      <c r="R115" s="1"/>
      <c r="S115" s="1" t="s">
        <v>722</v>
      </c>
    </row>
    <row r="116" spans="1:19" x14ac:dyDescent="0.25">
      <c r="A116" s="1" t="s">
        <v>664</v>
      </c>
      <c r="B116" s="1" t="s">
        <v>380</v>
      </c>
      <c r="C116" t="s">
        <v>721</v>
      </c>
      <c r="D116" t="b" cm="1">
        <f t="array" ref="D116">IF(Tabela13[[#This Row],[Nivel]]="N1",INDEX(Tabela13[Lider],MATCH(Tabela13[[#This Row],[Nivel]]&amp;Tabela13[[#This Row],[Liderado]],Tabela13[Nivel]&amp;Tabela13[Liderado],0)))</f>
        <v>0</v>
      </c>
      <c r="H116" t="s">
        <v>737</v>
      </c>
      <c r="I116" s="1" t="s">
        <v>404</v>
      </c>
      <c r="J116" s="1" t="s">
        <v>388</v>
      </c>
      <c r="K116" s="1" t="s">
        <v>105</v>
      </c>
      <c r="L116" s="2" t="s">
        <v>10</v>
      </c>
      <c r="M116" s="1" t="s">
        <v>11</v>
      </c>
      <c r="N116" s="2">
        <v>11648</v>
      </c>
      <c r="O116" s="1" t="s">
        <v>389</v>
      </c>
      <c r="P116" s="1" t="s">
        <v>390</v>
      </c>
      <c r="Q116" s="1" t="s">
        <v>667</v>
      </c>
      <c r="R116" s="1"/>
      <c r="S116" s="1" t="s">
        <v>722</v>
      </c>
    </row>
    <row r="117" spans="1:19" x14ac:dyDescent="0.25">
      <c r="A117" s="1" t="s">
        <v>664</v>
      </c>
      <c r="B117" s="1" t="s">
        <v>380</v>
      </c>
      <c r="C117" t="s">
        <v>721</v>
      </c>
      <c r="D117" t="b" cm="1">
        <f t="array" ref="D117">IF(Tabela13[[#This Row],[Nivel]]="N1",INDEX(Tabela13[Lider],MATCH(Tabela13[[#This Row],[Nivel]]&amp;Tabela13[[#This Row],[Liderado]],Tabela13[Nivel]&amp;Tabela13[Liderado],0)))</f>
        <v>0</v>
      </c>
      <c r="H117" t="s">
        <v>737</v>
      </c>
      <c r="I117" s="1" t="s">
        <v>405</v>
      </c>
      <c r="J117" s="1" t="s">
        <v>388</v>
      </c>
      <c r="K117" s="1" t="s">
        <v>9</v>
      </c>
      <c r="L117" s="2" t="s">
        <v>10</v>
      </c>
      <c r="M117" s="1" t="s">
        <v>11</v>
      </c>
      <c r="N117" s="2">
        <v>11648</v>
      </c>
      <c r="O117" s="1" t="s">
        <v>389</v>
      </c>
      <c r="P117" s="1" t="s">
        <v>390</v>
      </c>
      <c r="Q117" s="1" t="s">
        <v>667</v>
      </c>
      <c r="R117" s="1"/>
      <c r="S117" s="1" t="s">
        <v>722</v>
      </c>
    </row>
    <row r="118" spans="1:19" x14ac:dyDescent="0.25">
      <c r="A118" s="1" t="s">
        <v>664</v>
      </c>
      <c r="B118" s="1" t="s">
        <v>380</v>
      </c>
      <c r="C118" t="s">
        <v>721</v>
      </c>
      <c r="D118" t="b" cm="1">
        <f t="array" ref="D118">IF(Tabela13[[#This Row],[Nivel]]="N1",INDEX(Tabela13[Lider],MATCH(Tabela13[[#This Row],[Nivel]]&amp;Tabela13[[#This Row],[Liderado]],Tabela13[Nivel]&amp;Tabela13[Liderado],0)))</f>
        <v>0</v>
      </c>
      <c r="H118" t="s">
        <v>737</v>
      </c>
      <c r="I118" s="1" t="s">
        <v>406</v>
      </c>
      <c r="J118" s="1" t="s">
        <v>126</v>
      </c>
      <c r="K118" s="1" t="s">
        <v>9</v>
      </c>
      <c r="L118" s="2" t="s">
        <v>10</v>
      </c>
      <c r="M118" s="1" t="s">
        <v>11</v>
      </c>
      <c r="N118" s="2">
        <v>11655</v>
      </c>
      <c r="O118" s="1" t="s">
        <v>407</v>
      </c>
      <c r="P118" s="1" t="s">
        <v>408</v>
      </c>
      <c r="Q118" s="1" t="s">
        <v>643</v>
      </c>
      <c r="R118" s="1"/>
      <c r="S118" s="1" t="s">
        <v>722</v>
      </c>
    </row>
    <row r="119" spans="1:19" x14ac:dyDescent="0.25">
      <c r="A119" s="1" t="s">
        <v>664</v>
      </c>
      <c r="B119" s="1" t="s">
        <v>380</v>
      </c>
      <c r="C119" t="s">
        <v>721</v>
      </c>
      <c r="D119" t="b" cm="1">
        <f t="array" ref="D119">IF(Tabela13[[#This Row],[Nivel]]="N1",INDEX(Tabela13[Lider],MATCH(Tabela13[[#This Row],[Nivel]]&amp;Tabela13[[#This Row],[Liderado]],Tabela13[Nivel]&amp;Tabela13[Liderado],0)))</f>
        <v>0</v>
      </c>
      <c r="H119" t="s">
        <v>737</v>
      </c>
      <c r="I119" s="1" t="s">
        <v>409</v>
      </c>
      <c r="J119" s="1" t="s">
        <v>410</v>
      </c>
      <c r="K119" s="1" t="s">
        <v>9</v>
      </c>
      <c r="L119" s="2" t="s">
        <v>10</v>
      </c>
      <c r="M119" s="1" t="s">
        <v>11</v>
      </c>
      <c r="N119" s="2">
        <v>11648</v>
      </c>
      <c r="O119" s="1" t="s">
        <v>389</v>
      </c>
      <c r="P119" s="1" t="s">
        <v>390</v>
      </c>
      <c r="Q119" s="1" t="s">
        <v>667</v>
      </c>
      <c r="R119" s="1"/>
      <c r="S119" s="1" t="s">
        <v>722</v>
      </c>
    </row>
    <row r="120" spans="1:19" x14ac:dyDescent="0.25">
      <c r="A120" s="1" t="s">
        <v>627</v>
      </c>
      <c r="B120" s="1" t="s">
        <v>38</v>
      </c>
      <c r="C120" t="s">
        <v>689</v>
      </c>
      <c r="D120" t="b" cm="1">
        <f t="array" ref="D120">IF(Tabela13[[#This Row],[Nivel]]="N1",INDEX(Tabela13[Lider],MATCH(Tabela13[[#This Row],[Nivel]]&amp;Tabela13[[#This Row],[Liderado]],Tabela13[Nivel]&amp;Tabela13[Liderado],0)))</f>
        <v>0</v>
      </c>
      <c r="H120" t="s">
        <v>737</v>
      </c>
      <c r="I120" s="1" t="s">
        <v>411</v>
      </c>
      <c r="J120" s="1" t="s">
        <v>168</v>
      </c>
      <c r="K120" s="1" t="s">
        <v>105</v>
      </c>
      <c r="L120" s="2" t="s">
        <v>10</v>
      </c>
      <c r="M120" s="1" t="s">
        <v>11</v>
      </c>
      <c r="N120" s="2">
        <v>11358</v>
      </c>
      <c r="O120" s="1" t="s">
        <v>169</v>
      </c>
      <c r="P120" s="1" t="s">
        <v>170</v>
      </c>
      <c r="Q120" s="1" t="s">
        <v>652</v>
      </c>
      <c r="R120" s="1"/>
      <c r="S120" s="1" t="s">
        <v>685</v>
      </c>
    </row>
    <row r="121" spans="1:19" x14ac:dyDescent="0.25">
      <c r="A121" s="1" t="s">
        <v>664</v>
      </c>
      <c r="B121" s="1" t="s">
        <v>380</v>
      </c>
      <c r="C121" t="s">
        <v>721</v>
      </c>
      <c r="D121" t="b" cm="1">
        <f t="array" ref="D121">IF(Tabela13[[#This Row],[Nivel]]="N1",INDEX(Tabela13[Lider],MATCH(Tabela13[[#This Row],[Nivel]]&amp;Tabela13[[#This Row],[Liderado]],Tabela13[Nivel]&amp;Tabela13[Liderado],0)))</f>
        <v>0</v>
      </c>
      <c r="H121" t="s">
        <v>737</v>
      </c>
      <c r="I121" s="1" t="s">
        <v>414</v>
      </c>
      <c r="J121" s="1" t="s">
        <v>415</v>
      </c>
      <c r="K121" s="1" t="s">
        <v>9</v>
      </c>
      <c r="L121" s="2" t="s">
        <v>179</v>
      </c>
      <c r="M121" s="1" t="s">
        <v>180</v>
      </c>
      <c r="N121" s="2">
        <v>11648</v>
      </c>
      <c r="O121" s="1" t="s">
        <v>389</v>
      </c>
      <c r="P121" s="1" t="s">
        <v>390</v>
      </c>
      <c r="Q121" s="1" t="s">
        <v>667</v>
      </c>
      <c r="R121" s="1"/>
      <c r="S121" s="1" t="s">
        <v>722</v>
      </c>
    </row>
    <row r="122" spans="1:19" x14ac:dyDescent="0.25">
      <c r="A122" s="1" t="s">
        <v>627</v>
      </c>
      <c r="B122" s="1" t="s">
        <v>38</v>
      </c>
      <c r="C122" t="s">
        <v>689</v>
      </c>
      <c r="D122" t="b" cm="1">
        <f t="array" ref="D122">IF(Tabela13[[#This Row],[Nivel]]="N1",INDEX(Tabela13[Lider],MATCH(Tabela13[[#This Row],[Nivel]]&amp;Tabela13[[#This Row],[Liderado]],Tabela13[Nivel]&amp;Tabela13[Liderado],0)))</f>
        <v>0</v>
      </c>
      <c r="H122" t="s">
        <v>737</v>
      </c>
      <c r="I122" s="1" t="s">
        <v>417</v>
      </c>
      <c r="J122" s="1" t="s">
        <v>34</v>
      </c>
      <c r="K122" s="1" t="s">
        <v>9</v>
      </c>
      <c r="L122" s="2" t="s">
        <v>120</v>
      </c>
      <c r="M122" s="1" t="s">
        <v>121</v>
      </c>
      <c r="N122" s="2">
        <v>11343</v>
      </c>
      <c r="O122" s="1" t="s">
        <v>114</v>
      </c>
      <c r="P122" s="1" t="s">
        <v>36</v>
      </c>
      <c r="Q122" s="1" t="s">
        <v>630</v>
      </c>
      <c r="R122" s="1"/>
      <c r="S122" s="1" t="s">
        <v>685</v>
      </c>
    </row>
    <row r="123" spans="1:19" x14ac:dyDescent="0.25">
      <c r="A123" s="1" t="s">
        <v>664</v>
      </c>
      <c r="B123" s="1" t="s">
        <v>380</v>
      </c>
      <c r="C123" t="s">
        <v>721</v>
      </c>
      <c r="D123" t="b" cm="1">
        <f t="array" ref="D123">IF(Tabela13[[#This Row],[Nivel]]="N1",INDEX(Tabela13[Lider],MATCH(Tabela13[[#This Row],[Nivel]]&amp;Tabela13[[#This Row],[Liderado]],Tabela13[Nivel]&amp;Tabela13[Liderado],0)))</f>
        <v>0</v>
      </c>
      <c r="H123" t="s">
        <v>737</v>
      </c>
      <c r="I123" s="1" t="s">
        <v>418</v>
      </c>
      <c r="J123" s="1" t="s">
        <v>388</v>
      </c>
      <c r="K123" s="1" t="s">
        <v>9</v>
      </c>
      <c r="L123" s="2" t="s">
        <v>10</v>
      </c>
      <c r="M123" s="1" t="s">
        <v>11</v>
      </c>
      <c r="N123" s="2">
        <v>11648</v>
      </c>
      <c r="O123" s="1" t="s">
        <v>389</v>
      </c>
      <c r="P123" s="1" t="s">
        <v>390</v>
      </c>
      <c r="Q123" s="1" t="s">
        <v>667</v>
      </c>
      <c r="R123" s="1"/>
      <c r="S123" s="1" t="s">
        <v>722</v>
      </c>
    </row>
    <row r="124" spans="1:19" x14ac:dyDescent="0.25">
      <c r="A124" s="1" t="s">
        <v>664</v>
      </c>
      <c r="B124" s="1" t="s">
        <v>380</v>
      </c>
      <c r="C124" t="s">
        <v>721</v>
      </c>
      <c r="D124" t="b" cm="1">
        <f t="array" ref="D124">IF(Tabela13[[#This Row],[Nivel]]="N1",INDEX(Tabela13[Lider],MATCH(Tabela13[[#This Row],[Nivel]]&amp;Tabela13[[#This Row],[Liderado]],Tabela13[Nivel]&amp;Tabela13[Liderado],0)))</f>
        <v>0</v>
      </c>
      <c r="H124" t="s">
        <v>737</v>
      </c>
      <c r="I124" s="1" t="s">
        <v>419</v>
      </c>
      <c r="J124" s="1" t="s">
        <v>388</v>
      </c>
      <c r="K124" s="1" t="s">
        <v>9</v>
      </c>
      <c r="L124" s="2" t="s">
        <v>10</v>
      </c>
      <c r="M124" s="1" t="s">
        <v>11</v>
      </c>
      <c r="N124" s="2">
        <v>11648</v>
      </c>
      <c r="O124" s="1" t="s">
        <v>389</v>
      </c>
      <c r="P124" s="1" t="s">
        <v>390</v>
      </c>
      <c r="Q124" s="1" t="s">
        <v>667</v>
      </c>
      <c r="R124" s="1"/>
      <c r="S124" s="1" t="s">
        <v>722</v>
      </c>
    </row>
    <row r="125" spans="1:19" x14ac:dyDescent="0.25">
      <c r="A125" s="1" t="s">
        <v>658</v>
      </c>
      <c r="B125" s="1" t="s">
        <v>27</v>
      </c>
      <c r="C125" t="s">
        <v>682</v>
      </c>
      <c r="D125" t="b" cm="1">
        <f t="array" ref="D125">IF(Tabela13[[#This Row],[Nivel]]="N1",INDEX(Tabela13[Lider],MATCH(Tabela13[[#This Row],[Nivel]]&amp;Tabela13[[#This Row],[Liderado]],Tabela13[Nivel]&amp;Tabela13[Liderado],0)))</f>
        <v>0</v>
      </c>
      <c r="H125" t="s">
        <v>737</v>
      </c>
      <c r="I125" s="1" t="s">
        <v>421</v>
      </c>
      <c r="J125" s="1" t="s">
        <v>104</v>
      </c>
      <c r="K125" s="1" t="s">
        <v>9</v>
      </c>
      <c r="L125" s="2" t="s">
        <v>10</v>
      </c>
      <c r="M125" s="1" t="s">
        <v>11</v>
      </c>
      <c r="N125" s="2">
        <v>11201</v>
      </c>
      <c r="O125" s="1" t="s">
        <v>83</v>
      </c>
      <c r="P125" s="1" t="s">
        <v>314</v>
      </c>
      <c r="Q125" s="1" t="s">
        <v>628</v>
      </c>
      <c r="R125" s="1"/>
      <c r="S125" s="1" t="s">
        <v>681</v>
      </c>
    </row>
    <row r="126" spans="1:19" x14ac:dyDescent="0.25">
      <c r="A126" s="1" t="s">
        <v>664</v>
      </c>
      <c r="B126" s="1" t="s">
        <v>380</v>
      </c>
      <c r="C126" t="s">
        <v>721</v>
      </c>
      <c r="D126" t="b" cm="1">
        <f t="array" ref="D126">IF(Tabela13[[#This Row],[Nivel]]="N1",INDEX(Tabela13[Lider],MATCH(Tabela13[[#This Row],[Nivel]]&amp;Tabela13[[#This Row],[Liderado]],Tabela13[Nivel]&amp;Tabela13[Liderado],0)))</f>
        <v>0</v>
      </c>
      <c r="H126" t="s">
        <v>737</v>
      </c>
      <c r="I126" s="1" t="s">
        <v>422</v>
      </c>
      <c r="J126" s="1" t="s">
        <v>388</v>
      </c>
      <c r="K126" s="1" t="s">
        <v>9</v>
      </c>
      <c r="L126" s="2" t="s">
        <v>10</v>
      </c>
      <c r="M126" s="1" t="s">
        <v>11</v>
      </c>
      <c r="N126" s="2">
        <v>11648</v>
      </c>
      <c r="O126" s="1" t="s">
        <v>389</v>
      </c>
      <c r="P126" s="1" t="s">
        <v>390</v>
      </c>
      <c r="Q126" s="1" t="s">
        <v>667</v>
      </c>
      <c r="R126" s="1"/>
      <c r="S126" s="1" t="s">
        <v>722</v>
      </c>
    </row>
    <row r="127" spans="1:19" x14ac:dyDescent="0.25">
      <c r="A127" s="1" t="s">
        <v>664</v>
      </c>
      <c r="B127" s="1" t="s">
        <v>380</v>
      </c>
      <c r="C127" t="s">
        <v>721</v>
      </c>
      <c r="D127" t="b" cm="1">
        <f t="array" ref="D127">IF(Tabela13[[#This Row],[Nivel]]="N1",INDEX(Tabela13[Lider],MATCH(Tabela13[[#This Row],[Nivel]]&amp;Tabela13[[#This Row],[Liderado]],Tabela13[Nivel]&amp;Tabela13[Liderado],0)))</f>
        <v>0</v>
      </c>
      <c r="H127" t="s">
        <v>737</v>
      </c>
      <c r="I127" s="1" t="s">
        <v>423</v>
      </c>
      <c r="J127" s="1" t="s">
        <v>400</v>
      </c>
      <c r="K127" s="1" t="s">
        <v>9</v>
      </c>
      <c r="L127" s="2" t="s">
        <v>10</v>
      </c>
      <c r="M127" s="1" t="s">
        <v>11</v>
      </c>
      <c r="N127" s="2">
        <v>11648</v>
      </c>
      <c r="O127" s="1" t="s">
        <v>389</v>
      </c>
      <c r="P127" s="1" t="s">
        <v>390</v>
      </c>
      <c r="Q127" s="1" t="s">
        <v>667</v>
      </c>
      <c r="R127" s="1"/>
      <c r="S127" s="1" t="s">
        <v>722</v>
      </c>
    </row>
    <row r="128" spans="1:19" x14ac:dyDescent="0.25">
      <c r="A128" s="1" t="s">
        <v>664</v>
      </c>
      <c r="B128" s="1" t="s">
        <v>380</v>
      </c>
      <c r="C128" t="s">
        <v>721</v>
      </c>
      <c r="D128" t="b" cm="1">
        <f t="array" ref="D128">IF(Tabela13[[#This Row],[Nivel]]="N1",INDEX(Tabela13[Lider],MATCH(Tabela13[[#This Row],[Nivel]]&amp;Tabela13[[#This Row],[Liderado]],Tabela13[Nivel]&amp;Tabela13[Liderado],0)))</f>
        <v>0</v>
      </c>
      <c r="H128" t="s">
        <v>737</v>
      </c>
      <c r="I128" s="1" t="s">
        <v>424</v>
      </c>
      <c r="J128" s="1" t="s">
        <v>388</v>
      </c>
      <c r="K128" s="1" t="s">
        <v>105</v>
      </c>
      <c r="L128" s="2" t="s">
        <v>10</v>
      </c>
      <c r="M128" s="1" t="s">
        <v>11</v>
      </c>
      <c r="N128" s="2">
        <v>11648</v>
      </c>
      <c r="O128" s="1" t="s">
        <v>389</v>
      </c>
      <c r="P128" s="1" t="s">
        <v>390</v>
      </c>
      <c r="Q128" s="1" t="s">
        <v>667</v>
      </c>
      <c r="R128" s="1"/>
      <c r="S128" s="1" t="s">
        <v>722</v>
      </c>
    </row>
    <row r="129" spans="1:19" x14ac:dyDescent="0.25">
      <c r="A129" s="1" t="s">
        <v>664</v>
      </c>
      <c r="B129" s="1" t="s">
        <v>380</v>
      </c>
      <c r="C129" t="s">
        <v>721</v>
      </c>
      <c r="D129" t="b" cm="1">
        <f t="array" ref="D129">IF(Tabela13[[#This Row],[Nivel]]="N1",INDEX(Tabela13[Lider],MATCH(Tabela13[[#This Row],[Nivel]]&amp;Tabela13[[#This Row],[Liderado]],Tabela13[Nivel]&amp;Tabela13[Liderado],0)))</f>
        <v>0</v>
      </c>
      <c r="H129" t="s">
        <v>737</v>
      </c>
      <c r="I129" s="1" t="s">
        <v>425</v>
      </c>
      <c r="J129" s="1" t="s">
        <v>388</v>
      </c>
      <c r="K129" s="1" t="s">
        <v>105</v>
      </c>
      <c r="L129" s="2" t="s">
        <v>10</v>
      </c>
      <c r="M129" s="1" t="s">
        <v>11</v>
      </c>
      <c r="N129" s="2">
        <v>11648</v>
      </c>
      <c r="O129" s="1" t="s">
        <v>389</v>
      </c>
      <c r="P129" s="1" t="s">
        <v>390</v>
      </c>
      <c r="Q129" s="1" t="s">
        <v>667</v>
      </c>
      <c r="R129" s="1"/>
      <c r="S129" s="1" t="s">
        <v>722</v>
      </c>
    </row>
    <row r="130" spans="1:19" x14ac:dyDescent="0.25">
      <c r="A130" s="1" t="s">
        <v>664</v>
      </c>
      <c r="B130" s="1" t="s">
        <v>380</v>
      </c>
      <c r="C130" t="s">
        <v>721</v>
      </c>
      <c r="D130" t="b" cm="1">
        <f t="array" ref="D130">IF(Tabela13[[#This Row],[Nivel]]="N1",INDEX(Tabela13[Lider],MATCH(Tabela13[[#This Row],[Nivel]]&amp;Tabela13[[#This Row],[Liderado]],Tabela13[Nivel]&amp;Tabela13[Liderado],0)))</f>
        <v>0</v>
      </c>
      <c r="H130" t="s">
        <v>737</v>
      </c>
      <c r="I130" s="1" t="s">
        <v>427</v>
      </c>
      <c r="J130" s="1" t="s">
        <v>388</v>
      </c>
      <c r="K130" s="1" t="s">
        <v>9</v>
      </c>
      <c r="L130" s="2" t="s">
        <v>10</v>
      </c>
      <c r="M130" s="1" t="s">
        <v>11</v>
      </c>
      <c r="N130" s="2">
        <v>11648</v>
      </c>
      <c r="O130" s="1" t="s">
        <v>389</v>
      </c>
      <c r="P130" s="1" t="s">
        <v>390</v>
      </c>
      <c r="Q130" s="1" t="s">
        <v>667</v>
      </c>
      <c r="R130" s="1"/>
      <c r="S130" s="1" t="s">
        <v>722</v>
      </c>
    </row>
    <row r="131" spans="1:19" x14ac:dyDescent="0.25">
      <c r="A131" s="1" t="s">
        <v>664</v>
      </c>
      <c r="B131" s="1" t="s">
        <v>380</v>
      </c>
      <c r="C131" t="s">
        <v>721</v>
      </c>
      <c r="D131" t="b" cm="1">
        <f t="array" ref="D131">IF(Tabela13[[#This Row],[Nivel]]="N1",INDEX(Tabela13[Lider],MATCH(Tabela13[[#This Row],[Nivel]]&amp;Tabela13[[#This Row],[Liderado]],Tabela13[Nivel]&amp;Tabela13[Liderado],0)))</f>
        <v>0</v>
      </c>
      <c r="H131" t="s">
        <v>737</v>
      </c>
      <c r="I131" s="1" t="s">
        <v>428</v>
      </c>
      <c r="J131" s="1" t="s">
        <v>388</v>
      </c>
      <c r="K131" s="1" t="s">
        <v>9</v>
      </c>
      <c r="L131" s="2" t="s">
        <v>10</v>
      </c>
      <c r="M131" s="1" t="s">
        <v>11</v>
      </c>
      <c r="N131" s="2">
        <v>11648</v>
      </c>
      <c r="O131" s="1" t="s">
        <v>389</v>
      </c>
      <c r="P131" s="1" t="s">
        <v>390</v>
      </c>
      <c r="Q131" s="1" t="s">
        <v>667</v>
      </c>
      <c r="R131" s="1"/>
      <c r="S131" s="1" t="s">
        <v>722</v>
      </c>
    </row>
    <row r="132" spans="1:19" x14ac:dyDescent="0.25">
      <c r="A132" s="1" t="s">
        <v>627</v>
      </c>
      <c r="B132" s="1" t="s">
        <v>38</v>
      </c>
      <c r="C132" t="s">
        <v>689</v>
      </c>
      <c r="D132" t="b" cm="1">
        <f t="array" ref="D132">IF(Tabela13[[#This Row],[Nivel]]="N1",INDEX(Tabela13[Lider],MATCH(Tabela13[[#This Row],[Nivel]]&amp;Tabela13[[#This Row],[Liderado]],Tabela13[Nivel]&amp;Tabela13[Liderado],0)))</f>
        <v>0</v>
      </c>
      <c r="H132" t="s">
        <v>737</v>
      </c>
      <c r="I132" s="1" t="s">
        <v>429</v>
      </c>
      <c r="J132" s="1" t="s">
        <v>92</v>
      </c>
      <c r="K132" s="1" t="s">
        <v>9</v>
      </c>
      <c r="L132" s="2" t="s">
        <v>10</v>
      </c>
      <c r="M132" s="1" t="s">
        <v>11</v>
      </c>
      <c r="N132" s="2">
        <v>11389</v>
      </c>
      <c r="O132" s="1" t="s">
        <v>332</v>
      </c>
      <c r="P132" s="1" t="s">
        <v>170</v>
      </c>
      <c r="Q132" s="1" t="s">
        <v>652</v>
      </c>
      <c r="R132" s="1"/>
      <c r="S132" s="1" t="s">
        <v>685</v>
      </c>
    </row>
    <row r="133" spans="1:19" x14ac:dyDescent="0.25">
      <c r="A133" s="1" t="s">
        <v>664</v>
      </c>
      <c r="B133" s="1" t="s">
        <v>380</v>
      </c>
      <c r="C133" t="s">
        <v>721</v>
      </c>
      <c r="D133" t="b" cm="1">
        <f t="array" ref="D133">IF(Tabela13[[#This Row],[Nivel]]="N1",INDEX(Tabela13[Lider],MATCH(Tabela13[[#This Row],[Nivel]]&amp;Tabela13[[#This Row],[Liderado]],Tabela13[Nivel]&amp;Tabela13[Liderado],0)))</f>
        <v>0</v>
      </c>
      <c r="H133" t="s">
        <v>737</v>
      </c>
      <c r="I133" s="1" t="s">
        <v>430</v>
      </c>
      <c r="J133" s="1" t="s">
        <v>400</v>
      </c>
      <c r="K133" s="1" t="s">
        <v>9</v>
      </c>
      <c r="L133" s="2" t="s">
        <v>10</v>
      </c>
      <c r="M133" s="1" t="s">
        <v>11</v>
      </c>
      <c r="N133" s="2">
        <v>11648</v>
      </c>
      <c r="O133" s="1" t="s">
        <v>389</v>
      </c>
      <c r="P133" s="1" t="s">
        <v>390</v>
      </c>
      <c r="Q133" s="1" t="s">
        <v>667</v>
      </c>
      <c r="R133" s="1"/>
      <c r="S133" s="1" t="s">
        <v>722</v>
      </c>
    </row>
    <row r="134" spans="1:19" x14ac:dyDescent="0.25">
      <c r="A134" s="1" t="s">
        <v>658</v>
      </c>
      <c r="B134" s="1" t="s">
        <v>296</v>
      </c>
      <c r="C134" t="s">
        <v>715</v>
      </c>
      <c r="D134" t="b" cm="1">
        <f t="array" ref="D134">IF(Tabela13[[#This Row],[Nivel]]="N1",INDEX(Tabela13[Lider],MATCH(Tabela13[[#This Row],[Nivel]]&amp;Tabela13[[#This Row],[Liderado]],Tabela13[Nivel]&amp;Tabela13[Liderado],0)))</f>
        <v>0</v>
      </c>
      <c r="H134" t="s">
        <v>737</v>
      </c>
      <c r="I134" s="1" t="s">
        <v>431</v>
      </c>
      <c r="J134" s="1" t="s">
        <v>34</v>
      </c>
      <c r="K134" s="1" t="s">
        <v>9</v>
      </c>
      <c r="L134" s="2" t="s">
        <v>10</v>
      </c>
      <c r="M134" s="1" t="s">
        <v>11</v>
      </c>
      <c r="N134" s="2">
        <v>11243</v>
      </c>
      <c r="O134" s="1" t="s">
        <v>114</v>
      </c>
      <c r="P134" s="1" t="s">
        <v>273</v>
      </c>
      <c r="Q134" s="1" t="s">
        <v>630</v>
      </c>
      <c r="R134" s="1"/>
      <c r="S134" s="1" t="s">
        <v>719</v>
      </c>
    </row>
    <row r="135" spans="1:19" x14ac:dyDescent="0.25">
      <c r="A135" s="1" t="s">
        <v>664</v>
      </c>
      <c r="B135" s="1" t="s">
        <v>380</v>
      </c>
      <c r="C135" t="s">
        <v>721</v>
      </c>
      <c r="D135" t="b" cm="1">
        <f t="array" ref="D135">IF(Tabela13[[#This Row],[Nivel]]="N1",INDEX(Tabela13[Lider],MATCH(Tabela13[[#This Row],[Nivel]]&amp;Tabela13[[#This Row],[Liderado]],Tabela13[Nivel]&amp;Tabela13[Liderado],0)))</f>
        <v>0</v>
      </c>
      <c r="H135" t="s">
        <v>737</v>
      </c>
      <c r="I135" s="1" t="s">
        <v>433</v>
      </c>
      <c r="J135" s="1" t="s">
        <v>388</v>
      </c>
      <c r="K135" s="1" t="s">
        <v>105</v>
      </c>
      <c r="L135" s="2" t="s">
        <v>10</v>
      </c>
      <c r="M135" s="1" t="s">
        <v>11</v>
      </c>
      <c r="N135" s="2">
        <v>11648</v>
      </c>
      <c r="O135" s="1" t="s">
        <v>389</v>
      </c>
      <c r="P135" s="1" t="s">
        <v>390</v>
      </c>
      <c r="Q135" s="1" t="s">
        <v>667</v>
      </c>
      <c r="R135" s="1"/>
      <c r="S135" s="1" t="s">
        <v>722</v>
      </c>
    </row>
    <row r="136" spans="1:19" x14ac:dyDescent="0.25">
      <c r="A136" s="1" t="s">
        <v>641</v>
      </c>
      <c r="B136" s="1" t="s">
        <v>116</v>
      </c>
      <c r="C136" t="s">
        <v>698</v>
      </c>
      <c r="D136" t="b" cm="1">
        <f t="array" ref="D136">IF(Tabela13[[#This Row],[Nivel]]="N1",INDEX(Tabela13[Lider],MATCH(Tabela13[[#This Row],[Nivel]]&amp;Tabela13[[#This Row],[Liderado]],Tabela13[Nivel]&amp;Tabela13[Liderado],0)))</f>
        <v>0</v>
      </c>
      <c r="H136" t="s">
        <v>737</v>
      </c>
      <c r="I136" s="1" t="s">
        <v>434</v>
      </c>
      <c r="J136" s="1" t="s">
        <v>34</v>
      </c>
      <c r="K136" s="1" t="s">
        <v>9</v>
      </c>
      <c r="L136" s="2" t="s">
        <v>10</v>
      </c>
      <c r="M136" s="1" t="s">
        <v>11</v>
      </c>
      <c r="N136" s="2">
        <v>11043</v>
      </c>
      <c r="O136" s="1" t="s">
        <v>114</v>
      </c>
      <c r="P136" s="1" t="s">
        <v>115</v>
      </c>
      <c r="Q136" s="1" t="s">
        <v>630</v>
      </c>
      <c r="R136" s="1"/>
      <c r="S136" s="1" t="s">
        <v>697</v>
      </c>
    </row>
    <row r="137" spans="1:19" x14ac:dyDescent="0.25">
      <c r="A137" s="1" t="s">
        <v>670</v>
      </c>
      <c r="B137" s="1" t="s">
        <v>444</v>
      </c>
      <c r="C137" t="s">
        <v>715</v>
      </c>
      <c r="D137" t="b" cm="1">
        <f t="array" ref="D137">IF(Tabela13[[#This Row],[Nivel]]="N1",INDEX(Tabela13[Lider],MATCH(Tabela13[[#This Row],[Nivel]]&amp;Tabela13[[#This Row],[Liderado]],Tabela13[Nivel]&amp;Tabela13[Liderado],0)))</f>
        <v>0</v>
      </c>
      <c r="H137" t="s">
        <v>737</v>
      </c>
      <c r="I137" s="1" t="s">
        <v>443</v>
      </c>
      <c r="J137" s="1" t="s">
        <v>34</v>
      </c>
      <c r="K137" s="1" t="s">
        <v>17</v>
      </c>
      <c r="L137" s="2" t="s">
        <v>10</v>
      </c>
      <c r="M137" s="1" t="s">
        <v>11</v>
      </c>
      <c r="N137" s="2">
        <v>11743</v>
      </c>
      <c r="O137" s="1" t="s">
        <v>114</v>
      </c>
      <c r="P137" s="1" t="s">
        <v>436</v>
      </c>
      <c r="Q137" s="1" t="s">
        <v>630</v>
      </c>
      <c r="R137" s="1"/>
      <c r="S137" s="1" t="s">
        <v>724</v>
      </c>
    </row>
    <row r="138" spans="1:19" x14ac:dyDescent="0.25">
      <c r="A138" s="1" t="s">
        <v>670</v>
      </c>
      <c r="B138" s="1" t="s">
        <v>444</v>
      </c>
      <c r="C138" t="s">
        <v>715</v>
      </c>
      <c r="D138" t="b" cm="1">
        <f t="array" ref="D138">IF(Tabela13[[#This Row],[Nivel]]="N1",INDEX(Tabela13[Lider],MATCH(Tabela13[[#This Row],[Nivel]]&amp;Tabela13[[#This Row],[Liderado]],Tabela13[Nivel]&amp;Tabela13[Liderado],0)))</f>
        <v>0</v>
      </c>
      <c r="H138" t="s">
        <v>737</v>
      </c>
      <c r="I138" s="1" t="s">
        <v>437</v>
      </c>
      <c r="J138" s="1" t="s">
        <v>43</v>
      </c>
      <c r="K138" s="1" t="s">
        <v>17</v>
      </c>
      <c r="L138" s="2" t="s">
        <v>10</v>
      </c>
      <c r="M138" s="1" t="s">
        <v>11</v>
      </c>
      <c r="N138" s="2">
        <v>11776</v>
      </c>
      <c r="O138" s="1" t="s">
        <v>448</v>
      </c>
      <c r="P138" s="1" t="s">
        <v>447</v>
      </c>
      <c r="Q138" s="1" t="s">
        <v>629</v>
      </c>
      <c r="R138" s="1"/>
      <c r="S138" s="1" t="s">
        <v>724</v>
      </c>
    </row>
    <row r="139" spans="1:19" x14ac:dyDescent="0.25">
      <c r="A139" s="1" t="s">
        <v>627</v>
      </c>
      <c r="B139" s="1" t="s">
        <v>38</v>
      </c>
      <c r="C139" t="s">
        <v>689</v>
      </c>
      <c r="D139" t="b" cm="1">
        <f t="array" ref="D139">IF(Tabela13[[#This Row],[Nivel]]="N1",INDEX(Tabela13[Lider],MATCH(Tabela13[[#This Row],[Nivel]]&amp;Tabela13[[#This Row],[Liderado]],Tabela13[Nivel]&amp;Tabela13[Liderado],0)))</f>
        <v>0</v>
      </c>
      <c r="H139" t="s">
        <v>737</v>
      </c>
      <c r="I139" s="1" t="s">
        <v>463</v>
      </c>
      <c r="J139" s="1" t="s">
        <v>168</v>
      </c>
      <c r="K139" s="1" t="s">
        <v>9</v>
      </c>
      <c r="L139" s="2" t="s">
        <v>10</v>
      </c>
      <c r="M139" s="1" t="s">
        <v>11</v>
      </c>
      <c r="N139" s="2">
        <v>11358</v>
      </c>
      <c r="O139" s="1" t="s">
        <v>169</v>
      </c>
      <c r="P139" s="1" t="s">
        <v>170</v>
      </c>
      <c r="Q139" s="1" t="s">
        <v>652</v>
      </c>
      <c r="R139" s="1"/>
      <c r="S139" s="1" t="s">
        <v>685</v>
      </c>
    </row>
    <row r="140" spans="1:19" x14ac:dyDescent="0.25">
      <c r="A140" s="1" t="s">
        <v>671</v>
      </c>
      <c r="B140" s="1" t="s">
        <v>27</v>
      </c>
      <c r="C140" t="s">
        <v>682</v>
      </c>
      <c r="D140" t="b" cm="1">
        <f t="array" ref="D140">IF(Tabela13[[#This Row],[Nivel]]="N1",INDEX(Tabela13[Lider],MATCH(Tabela13[[#This Row],[Nivel]]&amp;Tabela13[[#This Row],[Liderado]],Tabela13[Nivel]&amp;Tabela13[Liderado],0)))</f>
        <v>0</v>
      </c>
      <c r="H140" t="s">
        <v>737</v>
      </c>
      <c r="I140" s="1" t="s">
        <v>467</v>
      </c>
      <c r="J140" s="1" t="s">
        <v>339</v>
      </c>
      <c r="K140" s="1" t="s">
        <v>9</v>
      </c>
      <c r="L140" s="2" t="s">
        <v>10</v>
      </c>
      <c r="M140" s="1" t="s">
        <v>11</v>
      </c>
      <c r="N140" s="2">
        <v>11455</v>
      </c>
      <c r="O140" s="1" t="s">
        <v>127</v>
      </c>
      <c r="P140" s="1" t="s">
        <v>468</v>
      </c>
      <c r="Q140" s="1" t="s">
        <v>643</v>
      </c>
      <c r="R140" s="1"/>
      <c r="S140" s="1" t="s">
        <v>681</v>
      </c>
    </row>
    <row r="141" spans="1:19" x14ac:dyDescent="0.25">
      <c r="A141" s="1" t="s">
        <v>671</v>
      </c>
      <c r="B141" s="1" t="s">
        <v>27</v>
      </c>
      <c r="C141" t="s">
        <v>682</v>
      </c>
      <c r="D141" t="b" cm="1">
        <f t="array" ref="D141">IF(Tabela13[[#This Row],[Nivel]]="N1",INDEX(Tabela13[Lider],MATCH(Tabela13[[#This Row],[Nivel]]&amp;Tabela13[[#This Row],[Liderado]],Tabela13[Nivel]&amp;Tabela13[Liderado],0)))</f>
        <v>0</v>
      </c>
      <c r="H141" t="s">
        <v>737</v>
      </c>
      <c r="I141" s="1" t="s">
        <v>473</v>
      </c>
      <c r="J141" s="1" t="s">
        <v>220</v>
      </c>
      <c r="K141" s="1" t="s">
        <v>9</v>
      </c>
      <c r="L141" s="2" t="s">
        <v>10</v>
      </c>
      <c r="M141" s="1" t="s">
        <v>11</v>
      </c>
      <c r="N141" s="2">
        <v>11418</v>
      </c>
      <c r="O141" s="1" t="s">
        <v>122</v>
      </c>
      <c r="P141" s="1" t="s">
        <v>474</v>
      </c>
      <c r="Q141" s="1" t="s">
        <v>639</v>
      </c>
      <c r="R141" s="1"/>
      <c r="S141" s="1" t="s">
        <v>681</v>
      </c>
    </row>
    <row r="142" spans="1:19" x14ac:dyDescent="0.25">
      <c r="A142" s="1" t="s">
        <v>670</v>
      </c>
      <c r="B142" s="1" t="s">
        <v>444</v>
      </c>
      <c r="C142" t="s">
        <v>715</v>
      </c>
      <c r="D142" t="b" cm="1">
        <f t="array" ref="D142">IF(Tabela13[[#This Row],[Nivel]]="N1",INDEX(Tabela13[Lider],MATCH(Tabela13[[#This Row],[Nivel]]&amp;Tabela13[[#This Row],[Liderado]],Tabela13[Nivel]&amp;Tabela13[Liderado],0)))</f>
        <v>0</v>
      </c>
      <c r="H142" t="s">
        <v>737</v>
      </c>
      <c r="I142" s="1" t="s">
        <v>475</v>
      </c>
      <c r="J142" s="1" t="s">
        <v>34</v>
      </c>
      <c r="K142" s="1" t="s">
        <v>9</v>
      </c>
      <c r="L142" s="2" t="s">
        <v>10</v>
      </c>
      <c r="M142" s="1" t="s">
        <v>11</v>
      </c>
      <c r="N142" s="2">
        <v>11743</v>
      </c>
      <c r="O142" s="1" t="s">
        <v>114</v>
      </c>
      <c r="P142" s="1" t="s">
        <v>436</v>
      </c>
      <c r="Q142" s="1" t="s">
        <v>630</v>
      </c>
      <c r="R142" s="1"/>
      <c r="S142" s="1" t="s">
        <v>724</v>
      </c>
    </row>
    <row r="143" spans="1:19" x14ac:dyDescent="0.25">
      <c r="A143" s="1" t="s">
        <v>671</v>
      </c>
      <c r="B143" s="1" t="s">
        <v>27</v>
      </c>
      <c r="C143" t="s">
        <v>682</v>
      </c>
      <c r="D143" t="b" cm="1">
        <f t="array" ref="D143">IF(Tabela13[[#This Row],[Nivel]]="N1",INDEX(Tabela13[Lider],MATCH(Tabela13[[#This Row],[Nivel]]&amp;Tabela13[[#This Row],[Liderado]],Tabela13[Nivel]&amp;Tabela13[Liderado],0)))</f>
        <v>0</v>
      </c>
      <c r="H143" t="s">
        <v>737</v>
      </c>
      <c r="I143" s="1" t="s">
        <v>485</v>
      </c>
      <c r="J143" s="1" t="s">
        <v>126</v>
      </c>
      <c r="K143" s="1" t="s">
        <v>9</v>
      </c>
      <c r="L143" s="2" t="s">
        <v>10</v>
      </c>
      <c r="M143" s="1" t="s">
        <v>11</v>
      </c>
      <c r="N143" s="2">
        <v>11455</v>
      </c>
      <c r="O143" s="1" t="s">
        <v>127</v>
      </c>
      <c r="P143" s="1" t="s">
        <v>468</v>
      </c>
      <c r="Q143" s="1" t="s">
        <v>643</v>
      </c>
      <c r="R143" s="1"/>
      <c r="S143" s="1" t="s">
        <v>681</v>
      </c>
    </row>
    <row r="144" spans="1:19" x14ac:dyDescent="0.25">
      <c r="A144" s="1" t="s">
        <v>671</v>
      </c>
      <c r="B144" s="1" t="s">
        <v>440</v>
      </c>
      <c r="C144" t="s">
        <v>733</v>
      </c>
      <c r="D144" t="b" cm="1">
        <f t="array" ref="D144">IF(Tabela13[[#This Row],[Nivel]]="N1",INDEX(Tabela13[Lider],MATCH(Tabela13[[#This Row],[Nivel]]&amp;Tabela13[[#This Row],[Liderado]],Tabela13[Nivel]&amp;Tabela13[Liderado],0)))</f>
        <v>0</v>
      </c>
      <c r="H144" t="s">
        <v>737</v>
      </c>
      <c r="I144" s="1" t="s">
        <v>450</v>
      </c>
      <c r="J144" s="1" t="s">
        <v>486</v>
      </c>
      <c r="K144" s="1" t="s">
        <v>9</v>
      </c>
      <c r="L144" s="2" t="s">
        <v>10</v>
      </c>
      <c r="M144" s="1" t="s">
        <v>11</v>
      </c>
      <c r="N144" s="2">
        <v>11436</v>
      </c>
      <c r="O144" s="1" t="s">
        <v>62</v>
      </c>
      <c r="P144" s="1" t="s">
        <v>487</v>
      </c>
      <c r="Q144" s="1" t="s">
        <v>634</v>
      </c>
      <c r="R144" s="1"/>
      <c r="S144" s="1" t="s">
        <v>732</v>
      </c>
    </row>
    <row r="145" spans="1:19" x14ac:dyDescent="0.25">
      <c r="A145" s="1" t="s">
        <v>671</v>
      </c>
      <c r="B145" s="1" t="s">
        <v>440</v>
      </c>
      <c r="C145" t="s">
        <v>733</v>
      </c>
      <c r="D145" t="b" cm="1">
        <f t="array" ref="D145">IF(Tabela13[[#This Row],[Nivel]]="N1",INDEX(Tabela13[Lider],MATCH(Tabela13[[#This Row],[Nivel]]&amp;Tabela13[[#This Row],[Liderado]],Tabela13[Nivel]&amp;Tabela13[Liderado],0)))</f>
        <v>0</v>
      </c>
      <c r="H145" t="s">
        <v>737</v>
      </c>
      <c r="I145" s="1" t="s">
        <v>488</v>
      </c>
      <c r="J145" s="1" t="s">
        <v>29</v>
      </c>
      <c r="K145" s="1" t="s">
        <v>17</v>
      </c>
      <c r="L145" s="2" t="s">
        <v>10</v>
      </c>
      <c r="M145" s="1" t="s">
        <v>11</v>
      </c>
      <c r="N145" s="2">
        <v>11424</v>
      </c>
      <c r="O145" s="1" t="s">
        <v>40</v>
      </c>
      <c r="P145" s="1" t="s">
        <v>442</v>
      </c>
      <c r="Q145" s="1" t="s">
        <v>629</v>
      </c>
      <c r="R145" s="1"/>
      <c r="S145" s="1" t="s">
        <v>732</v>
      </c>
    </row>
    <row r="146" spans="1:19" x14ac:dyDescent="0.25">
      <c r="A146" s="1" t="s">
        <v>627</v>
      </c>
      <c r="B146" s="1" t="s">
        <v>38</v>
      </c>
      <c r="C146" t="s">
        <v>689</v>
      </c>
      <c r="D146" t="b" cm="1">
        <f t="array" ref="D146">IF(Tabela13[[#This Row],[Nivel]]="N1",INDEX(Tabela13[Lider],MATCH(Tabela13[[#This Row],[Nivel]]&amp;Tabela13[[#This Row],[Liderado]],Tabela13[Nivel]&amp;Tabela13[Liderado],0)))</f>
        <v>0</v>
      </c>
      <c r="H146" t="s">
        <v>737</v>
      </c>
      <c r="I146" s="1" t="s">
        <v>498</v>
      </c>
      <c r="J146" s="1" t="s">
        <v>34</v>
      </c>
      <c r="K146" s="1" t="s">
        <v>9</v>
      </c>
      <c r="L146" s="2" t="s">
        <v>10</v>
      </c>
      <c r="M146" s="1" t="s">
        <v>11</v>
      </c>
      <c r="N146" s="2">
        <v>11343</v>
      </c>
      <c r="O146" s="1" t="s">
        <v>114</v>
      </c>
      <c r="P146" s="1" t="s">
        <v>36</v>
      </c>
      <c r="Q146" s="1" t="s">
        <v>630</v>
      </c>
      <c r="R146" s="1"/>
      <c r="S146" s="1" t="s">
        <v>685</v>
      </c>
    </row>
    <row r="147" spans="1:19" x14ac:dyDescent="0.25">
      <c r="A147" s="1" t="s">
        <v>670</v>
      </c>
      <c r="B147" s="1" t="s">
        <v>384</v>
      </c>
      <c r="C147" t="s">
        <v>721</v>
      </c>
      <c r="D147" t="b" cm="1">
        <f t="array" ref="D147">IF(Tabela13[[#This Row],[Nivel]]="N1",INDEX(Tabela13[Lider],MATCH(Tabela13[[#This Row],[Nivel]]&amp;Tabela13[[#This Row],[Liderado]],Tabela13[Nivel]&amp;Tabela13[Liderado],0)))</f>
        <v>0</v>
      </c>
      <c r="H147" t="s">
        <v>737</v>
      </c>
      <c r="I147" s="1" t="s">
        <v>499</v>
      </c>
      <c r="J147" s="1" t="s">
        <v>388</v>
      </c>
      <c r="K147" s="1" t="s">
        <v>9</v>
      </c>
      <c r="L147" s="2" t="s">
        <v>10</v>
      </c>
      <c r="M147" s="1" t="s">
        <v>11</v>
      </c>
      <c r="N147" s="2">
        <v>11748</v>
      </c>
      <c r="O147" s="1" t="s">
        <v>389</v>
      </c>
      <c r="P147" s="1" t="s">
        <v>500</v>
      </c>
      <c r="Q147" s="1" t="s">
        <v>667</v>
      </c>
      <c r="R147" s="1"/>
      <c r="S147" s="1" t="s">
        <v>720</v>
      </c>
    </row>
    <row r="148" spans="1:19" x14ac:dyDescent="0.25">
      <c r="A148" s="1" t="s">
        <v>670</v>
      </c>
      <c r="B148" s="1" t="s">
        <v>27</v>
      </c>
      <c r="C148" t="s">
        <v>682</v>
      </c>
      <c r="D148" t="b" cm="1">
        <f t="array" ref="D148">IF(Tabela13[[#This Row],[Nivel]]="N1",INDEX(Tabela13[Lider],MATCH(Tabela13[[#This Row],[Nivel]]&amp;Tabela13[[#This Row],[Liderado]],Tabela13[Nivel]&amp;Tabela13[Liderado],0)))</f>
        <v>0</v>
      </c>
      <c r="H148" t="s">
        <v>737</v>
      </c>
      <c r="I148" s="1" t="s">
        <v>501</v>
      </c>
      <c r="J148" s="1" t="s">
        <v>126</v>
      </c>
      <c r="K148" s="1" t="s">
        <v>9</v>
      </c>
      <c r="L148" s="2" t="s">
        <v>10</v>
      </c>
      <c r="M148" s="1" t="s">
        <v>11</v>
      </c>
      <c r="N148" s="2">
        <v>11791</v>
      </c>
      <c r="O148" s="1" t="s">
        <v>407</v>
      </c>
      <c r="P148" s="1" t="s">
        <v>502</v>
      </c>
      <c r="Q148" s="1" t="s">
        <v>668</v>
      </c>
      <c r="R148" s="1"/>
      <c r="S148" s="1" t="s">
        <v>681</v>
      </c>
    </row>
    <row r="149" spans="1:19" x14ac:dyDescent="0.25">
      <c r="A149" s="1" t="s">
        <v>671</v>
      </c>
      <c r="B149" s="1" t="s">
        <v>27</v>
      </c>
      <c r="C149" t="s">
        <v>682</v>
      </c>
      <c r="D149" t="b" cm="1">
        <f t="array" ref="D149">IF(Tabela13[[#This Row],[Nivel]]="N1",INDEX(Tabela13[Lider],MATCH(Tabela13[[#This Row],[Nivel]]&amp;Tabela13[[#This Row],[Liderado]],Tabela13[Nivel]&amp;Tabela13[Liderado],0)))</f>
        <v>0</v>
      </c>
      <c r="H149" t="s">
        <v>737</v>
      </c>
      <c r="I149" s="1" t="s">
        <v>505</v>
      </c>
      <c r="J149" s="1" t="s">
        <v>104</v>
      </c>
      <c r="K149" s="1" t="s">
        <v>9</v>
      </c>
      <c r="L149" s="2" t="s">
        <v>10</v>
      </c>
      <c r="M149" s="1" t="s">
        <v>11</v>
      </c>
      <c r="N149" s="2">
        <v>11401</v>
      </c>
      <c r="O149" s="1" t="s">
        <v>83</v>
      </c>
      <c r="P149" s="1" t="s">
        <v>506</v>
      </c>
      <c r="Q149" s="1" t="s">
        <v>628</v>
      </c>
      <c r="R149" s="1"/>
      <c r="S149" s="1" t="s">
        <v>681</v>
      </c>
    </row>
    <row r="150" spans="1:19" x14ac:dyDescent="0.25">
      <c r="A150" s="1" t="s">
        <v>627</v>
      </c>
      <c r="B150" s="1" t="s">
        <v>38</v>
      </c>
      <c r="C150" t="s">
        <v>689</v>
      </c>
      <c r="D150" t="b" cm="1">
        <f t="array" ref="D150">IF(Tabela13[[#This Row],[Nivel]]="N1",INDEX(Tabela13[Lider],MATCH(Tabela13[[#This Row],[Nivel]]&amp;Tabela13[[#This Row],[Liderado]],Tabela13[Nivel]&amp;Tabela13[Liderado],0)))</f>
        <v>0</v>
      </c>
      <c r="H150" t="s">
        <v>737</v>
      </c>
      <c r="I150" s="1" t="s">
        <v>508</v>
      </c>
      <c r="J150" s="1" t="s">
        <v>34</v>
      </c>
      <c r="K150" s="1" t="s">
        <v>9</v>
      </c>
      <c r="L150" s="2" t="s">
        <v>10</v>
      </c>
      <c r="M150" s="1" t="s">
        <v>11</v>
      </c>
      <c r="N150" s="2">
        <v>11343</v>
      </c>
      <c r="O150" s="1" t="s">
        <v>114</v>
      </c>
      <c r="P150" s="1" t="s">
        <v>36</v>
      </c>
      <c r="Q150" s="1" t="s">
        <v>630</v>
      </c>
      <c r="R150" s="1"/>
      <c r="S150" s="1" t="s">
        <v>685</v>
      </c>
    </row>
    <row r="151" spans="1:19" x14ac:dyDescent="0.25">
      <c r="A151" s="1" t="s">
        <v>670</v>
      </c>
      <c r="B151" s="1" t="s">
        <v>27</v>
      </c>
      <c r="C151" t="s">
        <v>682</v>
      </c>
      <c r="D151" t="b" cm="1">
        <f t="array" ref="D151">IF(Tabela13[[#This Row],[Nivel]]="N1",INDEX(Tabela13[Lider],MATCH(Tabela13[[#This Row],[Nivel]]&amp;Tabela13[[#This Row],[Liderado]],Tabela13[Nivel]&amp;Tabela13[Liderado],0)))</f>
        <v>0</v>
      </c>
      <c r="H151" t="s">
        <v>737</v>
      </c>
      <c r="I151" s="1" t="s">
        <v>509</v>
      </c>
      <c r="J151" s="1" t="s">
        <v>126</v>
      </c>
      <c r="K151" s="1" t="s">
        <v>9</v>
      </c>
      <c r="L151" s="2" t="s">
        <v>10</v>
      </c>
      <c r="M151" s="1" t="s">
        <v>11</v>
      </c>
      <c r="N151" s="2">
        <v>11755</v>
      </c>
      <c r="O151" s="1" t="s">
        <v>127</v>
      </c>
      <c r="P151" s="1" t="s">
        <v>510</v>
      </c>
      <c r="Q151" s="1" t="s">
        <v>643</v>
      </c>
      <c r="R151" s="1"/>
      <c r="S151" s="1" t="s">
        <v>681</v>
      </c>
    </row>
    <row r="152" spans="1:19" x14ac:dyDescent="0.25">
      <c r="A152" s="1" t="s">
        <v>670</v>
      </c>
      <c r="B152" s="1" t="s">
        <v>384</v>
      </c>
      <c r="C152" t="s">
        <v>721</v>
      </c>
      <c r="D152" t="b" cm="1">
        <f t="array" ref="D152">IF(Tabela13[[#This Row],[Nivel]]="N1",INDEX(Tabela13[Lider],MATCH(Tabela13[[#This Row],[Nivel]]&amp;Tabela13[[#This Row],[Liderado]],Tabela13[Nivel]&amp;Tabela13[Liderado],0)))</f>
        <v>0</v>
      </c>
      <c r="H152" t="s">
        <v>737</v>
      </c>
      <c r="I152" s="1" t="s">
        <v>515</v>
      </c>
      <c r="J152" s="1" t="s">
        <v>400</v>
      </c>
      <c r="K152" s="1" t="s">
        <v>9</v>
      </c>
      <c r="L152" s="2" t="s">
        <v>10</v>
      </c>
      <c r="M152" s="1" t="s">
        <v>11</v>
      </c>
      <c r="N152" s="2">
        <v>11741</v>
      </c>
      <c r="O152" s="1" t="s">
        <v>516</v>
      </c>
      <c r="P152" s="1" t="s">
        <v>517</v>
      </c>
      <c r="Q152" s="1" t="s">
        <v>672</v>
      </c>
      <c r="R152" s="1"/>
      <c r="S152" s="1" t="s">
        <v>720</v>
      </c>
    </row>
    <row r="153" spans="1:19" x14ac:dyDescent="0.25">
      <c r="A153" s="1" t="s">
        <v>670</v>
      </c>
      <c r="B153" s="1" t="s">
        <v>384</v>
      </c>
      <c r="C153" t="s">
        <v>721</v>
      </c>
      <c r="D153" t="b" cm="1">
        <f t="array" ref="D153">IF(Tabela13[[#This Row],[Nivel]]="N1",INDEX(Tabela13[Lider],MATCH(Tabela13[[#This Row],[Nivel]]&amp;Tabela13[[#This Row],[Liderado]],Tabela13[Nivel]&amp;Tabela13[Liderado],0)))</f>
        <v>0</v>
      </c>
      <c r="H153" t="s">
        <v>737</v>
      </c>
      <c r="I153" s="1" t="s">
        <v>518</v>
      </c>
      <c r="J153" s="1" t="s">
        <v>400</v>
      </c>
      <c r="K153" s="1" t="s">
        <v>9</v>
      </c>
      <c r="L153" s="2" t="s">
        <v>10</v>
      </c>
      <c r="M153" s="1" t="s">
        <v>11</v>
      </c>
      <c r="N153" s="2">
        <v>11741</v>
      </c>
      <c r="O153" s="1" t="s">
        <v>516</v>
      </c>
      <c r="P153" s="1" t="s">
        <v>517</v>
      </c>
      <c r="Q153" s="1" t="s">
        <v>672</v>
      </c>
      <c r="R153" s="1"/>
      <c r="S153" s="1" t="s">
        <v>720</v>
      </c>
    </row>
    <row r="154" spans="1:19" x14ac:dyDescent="0.25">
      <c r="A154" s="1" t="s">
        <v>671</v>
      </c>
      <c r="B154" s="1" t="s">
        <v>27</v>
      </c>
      <c r="C154" t="s">
        <v>682</v>
      </c>
      <c r="D154" t="b" cm="1">
        <f t="array" ref="D154">IF(Tabela13[[#This Row],[Nivel]]="N1",INDEX(Tabela13[Lider],MATCH(Tabela13[[#This Row],[Nivel]]&amp;Tabela13[[#This Row],[Liderado]],Tabela13[Nivel]&amp;Tabela13[Liderado],0)))</f>
        <v>0</v>
      </c>
      <c r="H154" t="s">
        <v>737</v>
      </c>
      <c r="I154" s="1" t="s">
        <v>520</v>
      </c>
      <c r="J154" s="1" t="s">
        <v>132</v>
      </c>
      <c r="K154" s="1" t="s">
        <v>105</v>
      </c>
      <c r="L154" s="2" t="s">
        <v>10</v>
      </c>
      <c r="M154" s="1" t="s">
        <v>11</v>
      </c>
      <c r="N154" s="2">
        <v>11401</v>
      </c>
      <c r="O154" s="1" t="s">
        <v>83</v>
      </c>
      <c r="P154" s="1" t="s">
        <v>506</v>
      </c>
      <c r="Q154" s="1" t="s">
        <v>628</v>
      </c>
      <c r="R154" s="1"/>
      <c r="S154" s="1" t="s">
        <v>681</v>
      </c>
    </row>
    <row r="155" spans="1:19" x14ac:dyDescent="0.25">
      <c r="A155" s="1" t="s">
        <v>670</v>
      </c>
      <c r="B155" s="1" t="s">
        <v>444</v>
      </c>
      <c r="C155" t="s">
        <v>715</v>
      </c>
      <c r="D155" t="b" cm="1">
        <f t="array" ref="D155">IF(Tabela13[[#This Row],[Nivel]]="N1",INDEX(Tabela13[Lider],MATCH(Tabela13[[#This Row],[Nivel]]&amp;Tabela13[[#This Row],[Liderado]],Tabela13[Nivel]&amp;Tabela13[Liderado],0)))</f>
        <v>0</v>
      </c>
      <c r="H155" t="s">
        <v>737</v>
      </c>
      <c r="I155" s="1" t="s">
        <v>523</v>
      </c>
      <c r="J155" s="1" t="s">
        <v>61</v>
      </c>
      <c r="K155" s="1" t="s">
        <v>17</v>
      </c>
      <c r="L155" s="2" t="s">
        <v>10</v>
      </c>
      <c r="M155" s="1" t="s">
        <v>11</v>
      </c>
      <c r="N155" s="2">
        <v>11736</v>
      </c>
      <c r="O155" s="1" t="s">
        <v>62</v>
      </c>
      <c r="P155" s="1" t="s">
        <v>524</v>
      </c>
      <c r="Q155" s="1" t="s">
        <v>633</v>
      </c>
      <c r="R155" s="1"/>
      <c r="S155" s="1" t="s">
        <v>724</v>
      </c>
    </row>
    <row r="156" spans="1:19" x14ac:dyDescent="0.25">
      <c r="A156" s="1" t="s">
        <v>671</v>
      </c>
      <c r="B156" s="1" t="s">
        <v>27</v>
      </c>
      <c r="C156" t="s">
        <v>682</v>
      </c>
      <c r="D156" t="b" cm="1">
        <f t="array" ref="D156">IF(Tabela13[[#This Row],[Nivel]]="N1",INDEX(Tabela13[Lider],MATCH(Tabela13[[#This Row],[Nivel]]&amp;Tabela13[[#This Row],[Liderado]],Tabela13[Nivel]&amp;Tabela13[Liderado],0)))</f>
        <v>0</v>
      </c>
      <c r="H156" t="s">
        <v>737</v>
      </c>
      <c r="I156" s="1" t="s">
        <v>525</v>
      </c>
      <c r="J156" s="1" t="s">
        <v>132</v>
      </c>
      <c r="K156" s="1" t="s">
        <v>9</v>
      </c>
      <c r="L156" s="2" t="s">
        <v>10</v>
      </c>
      <c r="M156" s="1" t="s">
        <v>11</v>
      </c>
      <c r="N156" s="2">
        <v>11404</v>
      </c>
      <c r="O156" s="1" t="s">
        <v>526</v>
      </c>
      <c r="P156" s="1" t="s">
        <v>527</v>
      </c>
      <c r="Q156" s="1" t="s">
        <v>632</v>
      </c>
      <c r="R156" s="1"/>
      <c r="S156" s="1" t="s">
        <v>681</v>
      </c>
    </row>
    <row r="157" spans="1:19" x14ac:dyDescent="0.25">
      <c r="A157" s="1" t="s">
        <v>670</v>
      </c>
      <c r="B157" s="1" t="s">
        <v>27</v>
      </c>
      <c r="C157" t="s">
        <v>682</v>
      </c>
      <c r="D157" t="b" cm="1">
        <f t="array" ref="D157">IF(Tabela13[[#This Row],[Nivel]]="N1",INDEX(Tabela13[Lider],MATCH(Tabela13[[#This Row],[Nivel]]&amp;Tabela13[[#This Row],[Liderado]],Tabela13[Nivel]&amp;Tabela13[Liderado],0)))</f>
        <v>0</v>
      </c>
      <c r="H157" t="s">
        <v>737</v>
      </c>
      <c r="I157" s="1" t="s">
        <v>530</v>
      </c>
      <c r="J157" s="1" t="s">
        <v>126</v>
      </c>
      <c r="K157" s="1" t="s">
        <v>9</v>
      </c>
      <c r="L157" s="2" t="s">
        <v>10</v>
      </c>
      <c r="M157" s="1" t="s">
        <v>11</v>
      </c>
      <c r="N157" s="2">
        <v>11755</v>
      </c>
      <c r="O157" s="1" t="s">
        <v>127</v>
      </c>
      <c r="P157" s="1" t="s">
        <v>510</v>
      </c>
      <c r="Q157" s="1" t="s">
        <v>643</v>
      </c>
      <c r="R157" s="1"/>
      <c r="S157" s="1" t="s">
        <v>681</v>
      </c>
    </row>
    <row r="158" spans="1:19" x14ac:dyDescent="0.25">
      <c r="A158" s="1" t="s">
        <v>670</v>
      </c>
      <c r="B158" s="1" t="s">
        <v>444</v>
      </c>
      <c r="C158" t="s">
        <v>715</v>
      </c>
      <c r="D158" t="b" cm="1">
        <f t="array" ref="D158">IF(Tabela13[[#This Row],[Nivel]]="N1",INDEX(Tabela13[Lider],MATCH(Tabela13[[#This Row],[Nivel]]&amp;Tabela13[[#This Row],[Liderado]],Tabela13[Nivel]&amp;Tabela13[Liderado],0)))</f>
        <v>0</v>
      </c>
      <c r="H158" t="s">
        <v>737</v>
      </c>
      <c r="I158" s="1" t="s">
        <v>535</v>
      </c>
      <c r="J158" s="1" t="s">
        <v>536</v>
      </c>
      <c r="K158" s="1" t="s">
        <v>9</v>
      </c>
      <c r="L158" s="2" t="s">
        <v>10</v>
      </c>
      <c r="M158" s="1" t="s">
        <v>11</v>
      </c>
      <c r="N158" s="2">
        <v>11736</v>
      </c>
      <c r="O158" s="1" t="s">
        <v>62</v>
      </c>
      <c r="P158" s="1" t="s">
        <v>524</v>
      </c>
      <c r="Q158" s="1" t="s">
        <v>633</v>
      </c>
      <c r="R158" s="1"/>
      <c r="S158" s="1" t="s">
        <v>724</v>
      </c>
    </row>
    <row r="159" spans="1:19" x14ac:dyDescent="0.25">
      <c r="A159" s="1" t="s">
        <v>627</v>
      </c>
      <c r="B159" s="1" t="s">
        <v>38</v>
      </c>
      <c r="C159" t="s">
        <v>689</v>
      </c>
      <c r="D159" t="b" cm="1">
        <f t="array" ref="D159">IF(Tabela13[[#This Row],[Nivel]]="N1",INDEX(Tabela13[Lider],MATCH(Tabela13[[#This Row],[Nivel]]&amp;Tabela13[[#This Row],[Liderado]],Tabela13[Nivel]&amp;Tabela13[Liderado],0)))</f>
        <v>0</v>
      </c>
      <c r="H159" t="s">
        <v>737</v>
      </c>
      <c r="I159" s="1" t="s">
        <v>540</v>
      </c>
      <c r="J159" s="1" t="s">
        <v>541</v>
      </c>
      <c r="K159" s="1" t="s">
        <v>9</v>
      </c>
      <c r="L159" s="2" t="s">
        <v>10</v>
      </c>
      <c r="M159" s="1" t="s">
        <v>11</v>
      </c>
      <c r="N159" s="2">
        <v>11307</v>
      </c>
      <c r="O159" s="1" t="s">
        <v>295</v>
      </c>
      <c r="P159" s="1" t="s">
        <v>472</v>
      </c>
      <c r="Q159" s="1" t="s">
        <v>662</v>
      </c>
      <c r="R159" s="1"/>
      <c r="S159" s="1" t="s">
        <v>685</v>
      </c>
    </row>
    <row r="160" spans="1:19" x14ac:dyDescent="0.25">
      <c r="A160" s="1" t="s">
        <v>627</v>
      </c>
      <c r="B160" s="1" t="s">
        <v>38</v>
      </c>
      <c r="C160" t="s">
        <v>689</v>
      </c>
      <c r="D160" t="b" cm="1">
        <f t="array" ref="D160">IF(Tabela13[[#This Row],[Nivel]]="N1",INDEX(Tabela13[Lider],MATCH(Tabela13[[#This Row],[Nivel]]&amp;Tabela13[[#This Row],[Liderado]],Tabela13[Nivel]&amp;Tabela13[Liderado],0)))</f>
        <v>0</v>
      </c>
      <c r="H160" t="s">
        <v>737</v>
      </c>
      <c r="I160" s="1" t="s">
        <v>455</v>
      </c>
      <c r="J160" s="1" t="s">
        <v>137</v>
      </c>
      <c r="K160" s="1" t="s">
        <v>9</v>
      </c>
      <c r="L160" s="2" t="s">
        <v>10</v>
      </c>
      <c r="M160" s="1" t="s">
        <v>11</v>
      </c>
      <c r="N160" s="2">
        <v>11370</v>
      </c>
      <c r="O160" s="1" t="s">
        <v>453</v>
      </c>
      <c r="P160" s="1" t="s">
        <v>139</v>
      </c>
      <c r="Q160" s="1" t="s">
        <v>647</v>
      </c>
      <c r="R160" s="1"/>
      <c r="S160" s="1" t="s">
        <v>685</v>
      </c>
    </row>
    <row r="161" spans="1:19" x14ac:dyDescent="0.25">
      <c r="A161" s="1" t="s">
        <v>671</v>
      </c>
      <c r="B161" s="1" t="s">
        <v>27</v>
      </c>
      <c r="C161" t="s">
        <v>682</v>
      </c>
      <c r="D161" t="b" cm="1">
        <f t="array" ref="D161">IF(Tabela13[[#This Row],[Nivel]]="N1",INDEX(Tabela13[Lider],MATCH(Tabela13[[#This Row],[Nivel]]&amp;Tabela13[[#This Row],[Liderado]],Tabela13[Nivel]&amp;Tabela13[Liderado],0)))</f>
        <v>0</v>
      </c>
      <c r="H161" t="s">
        <v>737</v>
      </c>
      <c r="I161" s="1" t="s">
        <v>548</v>
      </c>
      <c r="J161" s="1" t="s">
        <v>220</v>
      </c>
      <c r="K161" s="1" t="s">
        <v>9</v>
      </c>
      <c r="L161" s="2" t="s">
        <v>10</v>
      </c>
      <c r="M161" s="1" t="s">
        <v>11</v>
      </c>
      <c r="N161" s="2">
        <v>11418</v>
      </c>
      <c r="O161" s="1" t="s">
        <v>122</v>
      </c>
      <c r="P161" s="1" t="s">
        <v>474</v>
      </c>
      <c r="Q161" s="1" t="s">
        <v>639</v>
      </c>
      <c r="R161" s="1"/>
      <c r="S161" s="1" t="s">
        <v>681</v>
      </c>
    </row>
    <row r="162" spans="1:19" x14ac:dyDescent="0.25">
      <c r="A162" s="1" t="s">
        <v>670</v>
      </c>
      <c r="B162" s="1" t="s">
        <v>27</v>
      </c>
      <c r="C162" t="s">
        <v>682</v>
      </c>
      <c r="D162" t="b" cm="1">
        <f t="array" ref="D162">IF(Tabela13[[#This Row],[Nivel]]="N1",INDEX(Tabela13[Lider],MATCH(Tabela13[[#This Row],[Nivel]]&amp;Tabela13[[#This Row],[Liderado]],Tabela13[Nivel]&amp;Tabela13[Liderado],0)))</f>
        <v>0</v>
      </c>
      <c r="H162" t="s">
        <v>737</v>
      </c>
      <c r="I162" s="1" t="s">
        <v>549</v>
      </c>
      <c r="J162" s="1" t="s">
        <v>104</v>
      </c>
      <c r="K162" s="1" t="s">
        <v>9</v>
      </c>
      <c r="L162" s="2" t="s">
        <v>120</v>
      </c>
      <c r="M162" s="1" t="s">
        <v>121</v>
      </c>
      <c r="N162" s="2">
        <v>11701</v>
      </c>
      <c r="O162" s="1" t="s">
        <v>83</v>
      </c>
      <c r="P162" s="1" t="s">
        <v>550</v>
      </c>
      <c r="Q162" s="1" t="s">
        <v>628</v>
      </c>
      <c r="R162" s="1"/>
      <c r="S162" s="1" t="s">
        <v>681</v>
      </c>
    </row>
    <row r="163" spans="1:19" x14ac:dyDescent="0.25">
      <c r="A163" s="1" t="s">
        <v>670</v>
      </c>
      <c r="B163" s="1" t="s">
        <v>384</v>
      </c>
      <c r="C163" t="s">
        <v>721</v>
      </c>
      <c r="D163" t="b" cm="1">
        <f t="array" ref="D163">IF(Tabela13[[#This Row],[Nivel]]="N1",INDEX(Tabela13[Lider],MATCH(Tabela13[[#This Row],[Nivel]]&amp;Tabela13[[#This Row],[Liderado]],Tabela13[Nivel]&amp;Tabela13[Liderado],0)))</f>
        <v>0</v>
      </c>
      <c r="H163" t="s">
        <v>737</v>
      </c>
      <c r="I163" s="1" t="s">
        <v>552</v>
      </c>
      <c r="J163" s="1" t="s">
        <v>388</v>
      </c>
      <c r="K163" s="1" t="s">
        <v>105</v>
      </c>
      <c r="L163" s="2" t="s">
        <v>10</v>
      </c>
      <c r="M163" s="1" t="s">
        <v>11</v>
      </c>
      <c r="N163" s="2">
        <v>11741</v>
      </c>
      <c r="O163" s="1" t="s">
        <v>516</v>
      </c>
      <c r="P163" s="1" t="s">
        <v>517</v>
      </c>
      <c r="Q163" s="1" t="s">
        <v>672</v>
      </c>
      <c r="R163" s="1"/>
      <c r="S163" s="1" t="s">
        <v>720</v>
      </c>
    </row>
    <row r="164" spans="1:19" x14ac:dyDescent="0.25">
      <c r="A164" s="1" t="s">
        <v>670</v>
      </c>
      <c r="B164" s="1" t="s">
        <v>384</v>
      </c>
      <c r="C164" t="s">
        <v>721</v>
      </c>
      <c r="D164" t="b" cm="1">
        <f t="array" ref="D164">IF(Tabela13[[#This Row],[Nivel]]="N1",INDEX(Tabela13[Lider],MATCH(Tabela13[[#This Row],[Nivel]]&amp;Tabela13[[#This Row],[Liderado]],Tabela13[Nivel]&amp;Tabela13[Liderado],0)))</f>
        <v>0</v>
      </c>
      <c r="H164" t="s">
        <v>737</v>
      </c>
      <c r="I164" s="1" t="s">
        <v>561</v>
      </c>
      <c r="J164" s="1" t="s">
        <v>562</v>
      </c>
      <c r="K164" s="1" t="s">
        <v>9</v>
      </c>
      <c r="L164" s="2" t="s">
        <v>10</v>
      </c>
      <c r="M164" s="1" t="s">
        <v>11</v>
      </c>
      <c r="N164" s="2">
        <v>11748</v>
      </c>
      <c r="O164" s="1" t="s">
        <v>389</v>
      </c>
      <c r="P164" s="1" t="s">
        <v>500</v>
      </c>
      <c r="Q164" s="1" t="s">
        <v>667</v>
      </c>
      <c r="R164" s="1"/>
      <c r="S164" s="1" t="s">
        <v>720</v>
      </c>
    </row>
    <row r="165" spans="1:19" x14ac:dyDescent="0.25">
      <c r="A165" s="1" t="s">
        <v>670</v>
      </c>
      <c r="B165" s="1" t="s">
        <v>384</v>
      </c>
      <c r="C165" t="s">
        <v>721</v>
      </c>
      <c r="D165" t="b" cm="1">
        <f t="array" ref="D165">IF(Tabela13[[#This Row],[Nivel]]="N1",INDEX(Tabela13[Lider],MATCH(Tabela13[[#This Row],[Nivel]]&amp;Tabela13[[#This Row],[Liderado]],Tabela13[Nivel]&amp;Tabela13[Liderado],0)))</f>
        <v>0</v>
      </c>
      <c r="H165" t="s">
        <v>737</v>
      </c>
      <c r="I165" s="1" t="s">
        <v>563</v>
      </c>
      <c r="J165" s="1" t="s">
        <v>388</v>
      </c>
      <c r="K165" s="1" t="s">
        <v>9</v>
      </c>
      <c r="L165" s="2" t="s">
        <v>10</v>
      </c>
      <c r="M165" s="1" t="s">
        <v>11</v>
      </c>
      <c r="N165" s="2">
        <v>11741</v>
      </c>
      <c r="O165" s="1" t="s">
        <v>516</v>
      </c>
      <c r="P165" s="1" t="s">
        <v>517</v>
      </c>
      <c r="Q165" s="1" t="s">
        <v>672</v>
      </c>
      <c r="R165" s="1"/>
      <c r="S165" s="1" t="s">
        <v>720</v>
      </c>
    </row>
    <row r="166" spans="1:19" x14ac:dyDescent="0.25">
      <c r="A166" s="1" t="s">
        <v>671</v>
      </c>
      <c r="B166" s="1" t="s">
        <v>440</v>
      </c>
      <c r="C166" t="s">
        <v>733</v>
      </c>
      <c r="D166" t="b" cm="1">
        <f t="array" ref="D166">IF(Tabela13[[#This Row],[Nivel]]="N1",INDEX(Tabela13[Lider],MATCH(Tabela13[[#This Row],[Nivel]]&amp;Tabela13[[#This Row],[Liderado]],Tabela13[Nivel]&amp;Tabela13[Liderado],0)))</f>
        <v>0</v>
      </c>
      <c r="H166" t="s">
        <v>737</v>
      </c>
      <c r="I166" s="1" t="s">
        <v>481</v>
      </c>
      <c r="J166" s="1" t="s">
        <v>211</v>
      </c>
      <c r="K166" s="1" t="s">
        <v>17</v>
      </c>
      <c r="L166" s="2" t="s">
        <v>10</v>
      </c>
      <c r="M166" s="1" t="s">
        <v>11</v>
      </c>
      <c r="N166" s="2">
        <v>11470</v>
      </c>
      <c r="O166" s="1" t="s">
        <v>564</v>
      </c>
      <c r="P166" s="1" t="s">
        <v>565</v>
      </c>
      <c r="Q166" s="1" t="s">
        <v>654</v>
      </c>
      <c r="R166" s="1"/>
      <c r="S166" s="1" t="s">
        <v>732</v>
      </c>
    </row>
    <row r="167" spans="1:19" x14ac:dyDescent="0.25">
      <c r="A167" s="1" t="s">
        <v>670</v>
      </c>
      <c r="B167" s="1" t="s">
        <v>27</v>
      </c>
      <c r="C167" t="s">
        <v>682</v>
      </c>
      <c r="D167" t="b" cm="1">
        <f t="array" ref="D167">IF(Tabela13[[#This Row],[Nivel]]="N1",INDEX(Tabela13[Lider],MATCH(Tabela13[[#This Row],[Nivel]]&amp;Tabela13[[#This Row],[Liderado]],Tabela13[Nivel]&amp;Tabela13[Liderado],0)))</f>
        <v>0</v>
      </c>
      <c r="H167" t="s">
        <v>737</v>
      </c>
      <c r="I167" s="1" t="s">
        <v>566</v>
      </c>
      <c r="J167" s="1" t="s">
        <v>126</v>
      </c>
      <c r="K167" s="1" t="s">
        <v>9</v>
      </c>
      <c r="L167" s="2" t="s">
        <v>10</v>
      </c>
      <c r="M167" s="1" t="s">
        <v>11</v>
      </c>
      <c r="N167" s="2">
        <v>11755</v>
      </c>
      <c r="O167" s="1" t="s">
        <v>127</v>
      </c>
      <c r="P167" s="1" t="s">
        <v>510</v>
      </c>
      <c r="Q167" s="1" t="s">
        <v>643</v>
      </c>
      <c r="R167" s="1"/>
      <c r="S167" s="1" t="s">
        <v>681</v>
      </c>
    </row>
    <row r="168" spans="1:19" x14ac:dyDescent="0.25">
      <c r="A168" s="1" t="s">
        <v>670</v>
      </c>
      <c r="B168" s="1" t="s">
        <v>384</v>
      </c>
      <c r="C168" t="s">
        <v>721</v>
      </c>
      <c r="D168" t="b" cm="1">
        <f t="array" ref="D168">IF(Tabela13[[#This Row],[Nivel]]="N1",INDEX(Tabela13[Lider],MATCH(Tabela13[[#This Row],[Nivel]]&amp;Tabela13[[#This Row],[Liderado]],Tabela13[Nivel]&amp;Tabela13[Liderado],0)))</f>
        <v>0</v>
      </c>
      <c r="H168" t="s">
        <v>737</v>
      </c>
      <c r="I168" s="1" t="s">
        <v>567</v>
      </c>
      <c r="J168" s="1" t="s">
        <v>388</v>
      </c>
      <c r="K168" s="1" t="s">
        <v>105</v>
      </c>
      <c r="L168" s="2" t="s">
        <v>10</v>
      </c>
      <c r="M168" s="1" t="s">
        <v>11</v>
      </c>
      <c r="N168" s="2">
        <v>11741</v>
      </c>
      <c r="O168" s="1" t="s">
        <v>516</v>
      </c>
      <c r="P168" s="1" t="s">
        <v>517</v>
      </c>
      <c r="Q168" s="1" t="s">
        <v>672</v>
      </c>
      <c r="R168" s="1"/>
      <c r="S168" s="1" t="s">
        <v>720</v>
      </c>
    </row>
    <row r="169" spans="1:19" x14ac:dyDescent="0.25">
      <c r="A169" s="1" t="s">
        <v>670</v>
      </c>
      <c r="B169" s="1" t="s">
        <v>384</v>
      </c>
      <c r="C169" t="s">
        <v>721</v>
      </c>
      <c r="D169" t="b" cm="1">
        <f t="array" ref="D169">IF(Tabela13[[#This Row],[Nivel]]="N1",INDEX(Tabela13[Lider],MATCH(Tabela13[[#This Row],[Nivel]]&amp;Tabela13[[#This Row],[Liderado]],Tabela13[Nivel]&amp;Tabela13[Liderado],0)))</f>
        <v>0</v>
      </c>
      <c r="H169" t="s">
        <v>737</v>
      </c>
      <c r="I169" s="1" t="s">
        <v>568</v>
      </c>
      <c r="J169" s="1" t="s">
        <v>400</v>
      </c>
      <c r="K169" s="1" t="s">
        <v>9</v>
      </c>
      <c r="L169" s="2" t="s">
        <v>10</v>
      </c>
      <c r="M169" s="1" t="s">
        <v>11</v>
      </c>
      <c r="N169" s="2">
        <v>11741</v>
      </c>
      <c r="O169" s="1" t="s">
        <v>516</v>
      </c>
      <c r="P169" s="1" t="s">
        <v>517</v>
      </c>
      <c r="Q169" s="1" t="s">
        <v>672</v>
      </c>
      <c r="R169" s="1"/>
      <c r="S169" s="1" t="s">
        <v>720</v>
      </c>
    </row>
    <row r="170" spans="1:19" x14ac:dyDescent="0.25">
      <c r="A170" s="1" t="s">
        <v>671</v>
      </c>
      <c r="B170" s="1" t="s">
        <v>440</v>
      </c>
      <c r="C170" t="s">
        <v>733</v>
      </c>
      <c r="D170" t="b" cm="1">
        <f t="array" ref="D170">IF(Tabela13[[#This Row],[Nivel]]="N1",INDEX(Tabela13[Lider],MATCH(Tabela13[[#This Row],[Nivel]]&amp;Tabela13[[#This Row],[Liderado]],Tabela13[Nivel]&amp;Tabela13[Liderado],0)))</f>
        <v>0</v>
      </c>
      <c r="H170" t="s">
        <v>737</v>
      </c>
      <c r="I170" s="1" t="s">
        <v>569</v>
      </c>
      <c r="J170" s="1" t="s">
        <v>34</v>
      </c>
      <c r="K170" s="1" t="s">
        <v>9</v>
      </c>
      <c r="L170" s="2" t="s">
        <v>10</v>
      </c>
      <c r="M170" s="1" t="s">
        <v>11</v>
      </c>
      <c r="N170" s="2">
        <v>11443</v>
      </c>
      <c r="O170" s="1" t="s">
        <v>114</v>
      </c>
      <c r="P170" s="1" t="s">
        <v>439</v>
      </c>
      <c r="Q170" s="1" t="s">
        <v>630</v>
      </c>
      <c r="R170" s="1"/>
      <c r="S170" s="1" t="s">
        <v>732</v>
      </c>
    </row>
    <row r="171" spans="1:19" x14ac:dyDescent="0.25">
      <c r="A171" s="1" t="s">
        <v>671</v>
      </c>
      <c r="B171" s="1" t="s">
        <v>27</v>
      </c>
      <c r="C171" t="s">
        <v>682</v>
      </c>
      <c r="D171" t="b" cm="1">
        <f t="array" ref="D171">IF(Tabela13[[#This Row],[Nivel]]="N1",INDEX(Tabela13[Lider],MATCH(Tabela13[[#This Row],[Nivel]]&amp;Tabela13[[#This Row],[Liderado]],Tabela13[Nivel]&amp;Tabela13[Liderado],0)))</f>
        <v>0</v>
      </c>
      <c r="H171" t="s">
        <v>737</v>
      </c>
      <c r="I171" s="1" t="s">
        <v>570</v>
      </c>
      <c r="J171" s="1" t="s">
        <v>339</v>
      </c>
      <c r="K171" s="1" t="s">
        <v>9</v>
      </c>
      <c r="L171" s="2" t="s">
        <v>10</v>
      </c>
      <c r="M171" s="1" t="s">
        <v>11</v>
      </c>
      <c r="N171" s="2">
        <v>11455</v>
      </c>
      <c r="O171" s="1" t="s">
        <v>127</v>
      </c>
      <c r="P171" s="1" t="s">
        <v>468</v>
      </c>
      <c r="Q171" s="1" t="s">
        <v>643</v>
      </c>
      <c r="R171" s="1"/>
      <c r="S171" s="1" t="s">
        <v>681</v>
      </c>
    </row>
    <row r="172" spans="1:19" x14ac:dyDescent="0.25">
      <c r="A172" s="1" t="s">
        <v>670</v>
      </c>
      <c r="B172" s="1" t="s">
        <v>27</v>
      </c>
      <c r="C172" t="s">
        <v>682</v>
      </c>
      <c r="D172" t="b" cm="1">
        <f t="array" ref="D172">IF(Tabela13[[#This Row],[Nivel]]="N1",INDEX(Tabela13[Lider],MATCH(Tabela13[[#This Row],[Nivel]]&amp;Tabela13[[#This Row],[Liderado]],Tabela13[Nivel]&amp;Tabela13[Liderado],0)))</f>
        <v>0</v>
      </c>
      <c r="H172" t="s">
        <v>737</v>
      </c>
      <c r="I172" s="1" t="s">
        <v>571</v>
      </c>
      <c r="J172" s="1" t="s">
        <v>220</v>
      </c>
      <c r="K172" s="1" t="s">
        <v>105</v>
      </c>
      <c r="L172" s="2" t="s">
        <v>10</v>
      </c>
      <c r="M172" s="1" t="s">
        <v>11</v>
      </c>
      <c r="N172" s="2">
        <v>11718</v>
      </c>
      <c r="O172" s="1" t="s">
        <v>122</v>
      </c>
      <c r="P172" s="1" t="s">
        <v>529</v>
      </c>
      <c r="Q172" s="1" t="s">
        <v>639</v>
      </c>
      <c r="R172" s="1"/>
      <c r="S172" s="1" t="s">
        <v>681</v>
      </c>
    </row>
    <row r="173" spans="1:19" x14ac:dyDescent="0.25">
      <c r="A173" s="1" t="s">
        <v>670</v>
      </c>
      <c r="B173" s="1" t="s">
        <v>384</v>
      </c>
      <c r="C173" t="s">
        <v>721</v>
      </c>
      <c r="D173" t="b" cm="1">
        <f t="array" ref="D173">IF(Tabela13[[#This Row],[Nivel]]="N1",INDEX(Tabela13[Lider],MATCH(Tabela13[[#This Row],[Nivel]]&amp;Tabela13[[#This Row],[Liderado]],Tabela13[Nivel]&amp;Tabela13[Liderado],0)))</f>
        <v>0</v>
      </c>
      <c r="H173" t="s">
        <v>737</v>
      </c>
      <c r="I173" s="1" t="s">
        <v>572</v>
      </c>
      <c r="J173" s="1" t="s">
        <v>562</v>
      </c>
      <c r="K173" s="1" t="s">
        <v>9</v>
      </c>
      <c r="L173" s="2" t="s">
        <v>10</v>
      </c>
      <c r="M173" s="1" t="s">
        <v>11</v>
      </c>
      <c r="N173" s="2">
        <v>11748</v>
      </c>
      <c r="O173" s="1" t="s">
        <v>389</v>
      </c>
      <c r="P173" s="1" t="s">
        <v>500</v>
      </c>
      <c r="Q173" s="1" t="s">
        <v>667</v>
      </c>
      <c r="R173" s="1"/>
      <c r="S173" s="1" t="s">
        <v>720</v>
      </c>
    </row>
    <row r="174" spans="1:19" x14ac:dyDescent="0.25">
      <c r="A174" s="1" t="s">
        <v>670</v>
      </c>
      <c r="B174" s="1" t="s">
        <v>384</v>
      </c>
      <c r="C174" t="s">
        <v>721</v>
      </c>
      <c r="D174" t="b" cm="1">
        <f t="array" ref="D174">IF(Tabela13[[#This Row],[Nivel]]="N1",INDEX(Tabela13[Lider],MATCH(Tabela13[[#This Row],[Nivel]]&amp;Tabela13[[#This Row],[Liderado]],Tabela13[Nivel]&amp;Tabela13[Liderado],0)))</f>
        <v>0</v>
      </c>
      <c r="H174" t="s">
        <v>737</v>
      </c>
      <c r="I174" s="1" t="s">
        <v>573</v>
      </c>
      <c r="J174" s="1" t="s">
        <v>203</v>
      </c>
      <c r="K174" s="1" t="s">
        <v>9</v>
      </c>
      <c r="L174" s="2" t="s">
        <v>10</v>
      </c>
      <c r="M174" s="1" t="s">
        <v>11</v>
      </c>
      <c r="N174" s="2">
        <v>11722</v>
      </c>
      <c r="O174" s="1" t="s">
        <v>574</v>
      </c>
      <c r="P174" s="1" t="s">
        <v>575</v>
      </c>
      <c r="Q174" s="1" t="s">
        <v>673</v>
      </c>
      <c r="R174" s="1"/>
      <c r="S174" s="1" t="s">
        <v>720</v>
      </c>
    </row>
    <row r="175" spans="1:19" x14ac:dyDescent="0.25">
      <c r="A175" s="1" t="s">
        <v>670</v>
      </c>
      <c r="B175" s="1" t="s">
        <v>384</v>
      </c>
      <c r="C175" t="s">
        <v>721</v>
      </c>
      <c r="D175" t="b" cm="1">
        <f t="array" ref="D175">IF(Tabela13[[#This Row],[Nivel]]="N1",INDEX(Tabela13[Lider],MATCH(Tabela13[[#This Row],[Nivel]]&amp;Tabela13[[#This Row],[Liderado]],Tabela13[Nivel]&amp;Tabela13[Liderado],0)))</f>
        <v>0</v>
      </c>
      <c r="H175" t="s">
        <v>737</v>
      </c>
      <c r="I175" s="1" t="s">
        <v>576</v>
      </c>
      <c r="J175" s="1" t="s">
        <v>388</v>
      </c>
      <c r="K175" s="1" t="s">
        <v>9</v>
      </c>
      <c r="L175" s="2" t="s">
        <v>10</v>
      </c>
      <c r="M175" s="1" t="s">
        <v>11</v>
      </c>
      <c r="N175" s="2">
        <v>11741</v>
      </c>
      <c r="O175" s="1" t="s">
        <v>516</v>
      </c>
      <c r="P175" s="1" t="s">
        <v>517</v>
      </c>
      <c r="Q175" s="1" t="s">
        <v>672</v>
      </c>
      <c r="R175" s="1"/>
      <c r="S175" s="1" t="s">
        <v>720</v>
      </c>
    </row>
    <row r="176" spans="1:19" x14ac:dyDescent="0.25">
      <c r="A176" s="1" t="s">
        <v>671</v>
      </c>
      <c r="B176" s="1" t="s">
        <v>27</v>
      </c>
      <c r="C176" t="s">
        <v>682</v>
      </c>
      <c r="D176" t="b" cm="1">
        <f t="array" ref="D176">IF(Tabela13[[#This Row],[Nivel]]="N1",INDEX(Tabela13[Lider],MATCH(Tabela13[[#This Row],[Nivel]]&amp;Tabela13[[#This Row],[Liderado]],Tabela13[Nivel]&amp;Tabela13[Liderado],0)))</f>
        <v>0</v>
      </c>
      <c r="H176" t="s">
        <v>737</v>
      </c>
      <c r="I176" s="1" t="s">
        <v>577</v>
      </c>
      <c r="J176" s="1" t="s">
        <v>126</v>
      </c>
      <c r="K176" s="1" t="s">
        <v>9</v>
      </c>
      <c r="L176" s="2" t="s">
        <v>10</v>
      </c>
      <c r="M176" s="1" t="s">
        <v>11</v>
      </c>
      <c r="N176" s="2">
        <v>11455</v>
      </c>
      <c r="O176" s="1" t="s">
        <v>127</v>
      </c>
      <c r="P176" s="1" t="s">
        <v>468</v>
      </c>
      <c r="Q176" s="1" t="s">
        <v>643</v>
      </c>
      <c r="R176" s="1"/>
      <c r="S176" s="1" t="s">
        <v>681</v>
      </c>
    </row>
    <row r="177" spans="1:19" x14ac:dyDescent="0.25">
      <c r="A177" s="1" t="s">
        <v>671</v>
      </c>
      <c r="B177" s="1" t="s">
        <v>27</v>
      </c>
      <c r="C177" t="s">
        <v>682</v>
      </c>
      <c r="D177" t="b" cm="1">
        <f t="array" ref="D177">IF(Tabela13[[#This Row],[Nivel]]="N1",INDEX(Tabela13[Lider],MATCH(Tabela13[[#This Row],[Nivel]]&amp;Tabela13[[#This Row],[Liderado]],Tabela13[Nivel]&amp;Tabela13[Liderado],0)))</f>
        <v>0</v>
      </c>
      <c r="H177" t="s">
        <v>737</v>
      </c>
      <c r="I177" s="1" t="s">
        <v>580</v>
      </c>
      <c r="J177" s="1" t="s">
        <v>104</v>
      </c>
      <c r="K177" s="1" t="s">
        <v>9</v>
      </c>
      <c r="L177" s="2" t="s">
        <v>10</v>
      </c>
      <c r="M177" s="1" t="s">
        <v>11</v>
      </c>
      <c r="N177" s="2">
        <v>11401</v>
      </c>
      <c r="O177" s="1" t="s">
        <v>83</v>
      </c>
      <c r="P177" s="1" t="s">
        <v>506</v>
      </c>
      <c r="Q177" s="1" t="s">
        <v>628</v>
      </c>
      <c r="R177" s="1"/>
      <c r="S177" s="1" t="s">
        <v>681</v>
      </c>
    </row>
    <row r="178" spans="1:19" x14ac:dyDescent="0.25">
      <c r="A178" s="1" t="s">
        <v>670</v>
      </c>
      <c r="B178" s="1" t="s">
        <v>384</v>
      </c>
      <c r="C178" t="s">
        <v>721</v>
      </c>
      <c r="D178" t="b" cm="1">
        <f t="array" ref="D178">IF(Tabela13[[#This Row],[Nivel]]="N1",INDEX(Tabela13[Lider],MATCH(Tabela13[[#This Row],[Nivel]]&amp;Tabela13[[#This Row],[Liderado]],Tabela13[Nivel]&amp;Tabela13[Liderado],0)))</f>
        <v>0</v>
      </c>
      <c r="H178" t="s">
        <v>737</v>
      </c>
      <c r="I178" s="1" t="s">
        <v>581</v>
      </c>
      <c r="J178" s="1" t="s">
        <v>582</v>
      </c>
      <c r="K178" s="1" t="s">
        <v>9</v>
      </c>
      <c r="L178" s="2" t="s">
        <v>10</v>
      </c>
      <c r="M178" s="1" t="s">
        <v>11</v>
      </c>
      <c r="N178" s="2">
        <v>11731</v>
      </c>
      <c r="O178" s="1" t="s">
        <v>382</v>
      </c>
      <c r="P178" s="1" t="s">
        <v>583</v>
      </c>
      <c r="Q178" s="1" t="s">
        <v>665</v>
      </c>
      <c r="R178" s="1"/>
      <c r="S178" s="1" t="s">
        <v>720</v>
      </c>
    </row>
    <row r="179" spans="1:19" x14ac:dyDescent="0.25">
      <c r="A179" s="1" t="s">
        <v>670</v>
      </c>
      <c r="B179" s="1" t="s">
        <v>384</v>
      </c>
      <c r="C179" t="s">
        <v>721</v>
      </c>
      <c r="D179" t="b" cm="1">
        <f t="array" ref="D179">IF(Tabela13[[#This Row],[Nivel]]="N1",INDEX(Tabela13[Lider],MATCH(Tabela13[[#This Row],[Nivel]]&amp;Tabela13[[#This Row],[Liderado]],Tabela13[Nivel]&amp;Tabela13[Liderado],0)))</f>
        <v>0</v>
      </c>
      <c r="H179" t="s">
        <v>737</v>
      </c>
      <c r="I179" s="1" t="s">
        <v>584</v>
      </c>
      <c r="J179" s="1" t="s">
        <v>562</v>
      </c>
      <c r="K179" s="1" t="s">
        <v>9</v>
      </c>
      <c r="L179" s="2" t="s">
        <v>10</v>
      </c>
      <c r="M179" s="1" t="s">
        <v>11</v>
      </c>
      <c r="N179" s="2">
        <v>11748</v>
      </c>
      <c r="O179" s="1" t="s">
        <v>389</v>
      </c>
      <c r="P179" s="1" t="s">
        <v>500</v>
      </c>
      <c r="Q179" s="1" t="s">
        <v>667</v>
      </c>
      <c r="R179" s="1"/>
      <c r="S179" s="1" t="s">
        <v>720</v>
      </c>
    </row>
    <row r="180" spans="1:19" x14ac:dyDescent="0.25">
      <c r="A180" s="1" t="s">
        <v>670</v>
      </c>
      <c r="B180" s="1" t="s">
        <v>384</v>
      </c>
      <c r="C180" t="s">
        <v>721</v>
      </c>
      <c r="D180" t="b" cm="1">
        <f t="array" ref="D180">IF(Tabela13[[#This Row],[Nivel]]="N1",INDEX(Tabela13[Lider],MATCH(Tabela13[[#This Row],[Nivel]]&amp;Tabela13[[#This Row],[Liderado]],Tabela13[Nivel]&amp;Tabela13[Liderado],0)))</f>
        <v>0</v>
      </c>
      <c r="H180" t="s">
        <v>737</v>
      </c>
      <c r="I180" s="1" t="s">
        <v>585</v>
      </c>
      <c r="J180" s="1" t="s">
        <v>562</v>
      </c>
      <c r="K180" s="1" t="s">
        <v>9</v>
      </c>
      <c r="L180" s="2" t="s">
        <v>10</v>
      </c>
      <c r="M180" s="1" t="s">
        <v>11</v>
      </c>
      <c r="N180" s="2">
        <v>11748</v>
      </c>
      <c r="O180" s="1" t="s">
        <v>389</v>
      </c>
      <c r="P180" s="1" t="s">
        <v>500</v>
      </c>
      <c r="Q180" s="1" t="s">
        <v>667</v>
      </c>
      <c r="R180" s="1"/>
      <c r="S180" s="1" t="s">
        <v>720</v>
      </c>
    </row>
    <row r="181" spans="1:19" x14ac:dyDescent="0.25">
      <c r="A181" s="1" t="s">
        <v>671</v>
      </c>
      <c r="B181" s="1" t="s">
        <v>27</v>
      </c>
      <c r="C181" t="s">
        <v>682</v>
      </c>
      <c r="D181" t="b" cm="1">
        <f t="array" ref="D181">IF(Tabela13[[#This Row],[Nivel]]="N1",INDEX(Tabela13[Lider],MATCH(Tabela13[[#This Row],[Nivel]]&amp;Tabela13[[#This Row],[Liderado]],Tabela13[Nivel]&amp;Tabela13[Liderado],0)))</f>
        <v>0</v>
      </c>
      <c r="H181" t="s">
        <v>737</v>
      </c>
      <c r="I181" s="1" t="s">
        <v>586</v>
      </c>
      <c r="J181" s="1" t="s">
        <v>339</v>
      </c>
      <c r="K181" s="1" t="s">
        <v>105</v>
      </c>
      <c r="L181" s="2" t="s">
        <v>10</v>
      </c>
      <c r="M181" s="1" t="s">
        <v>11</v>
      </c>
      <c r="N181" s="2">
        <v>11455</v>
      </c>
      <c r="O181" s="1" t="s">
        <v>127</v>
      </c>
      <c r="P181" s="1" t="s">
        <v>468</v>
      </c>
      <c r="Q181" s="1" t="s">
        <v>643</v>
      </c>
      <c r="R181" s="1"/>
      <c r="S181" s="1" t="s">
        <v>681</v>
      </c>
    </row>
    <row r="182" spans="1:19" x14ac:dyDescent="0.25">
      <c r="A182" s="1" t="s">
        <v>670</v>
      </c>
      <c r="B182" s="1" t="s">
        <v>27</v>
      </c>
      <c r="C182" t="s">
        <v>682</v>
      </c>
      <c r="D182" t="b" cm="1">
        <f t="array" ref="D182">IF(Tabela13[[#This Row],[Nivel]]="N1",INDEX(Tabela13[Lider],MATCH(Tabela13[[#This Row],[Nivel]]&amp;Tabela13[[#This Row],[Liderado]],Tabela13[Nivel]&amp;Tabela13[Liderado],0)))</f>
        <v>0</v>
      </c>
      <c r="H182" t="s">
        <v>737</v>
      </c>
      <c r="I182" s="1" t="s">
        <v>591</v>
      </c>
      <c r="J182" s="1" t="s">
        <v>220</v>
      </c>
      <c r="K182" s="1" t="s">
        <v>9</v>
      </c>
      <c r="L182" s="2" t="s">
        <v>10</v>
      </c>
      <c r="M182" s="1" t="s">
        <v>11</v>
      </c>
      <c r="N182" s="2">
        <v>11792</v>
      </c>
      <c r="O182" s="1" t="s">
        <v>420</v>
      </c>
      <c r="P182" s="1" t="s">
        <v>592</v>
      </c>
      <c r="Q182" s="1" t="s">
        <v>669</v>
      </c>
      <c r="R182" s="1"/>
      <c r="S182" s="1" t="s">
        <v>681</v>
      </c>
    </row>
    <row r="183" spans="1:19" x14ac:dyDescent="0.25">
      <c r="A183" s="1" t="s">
        <v>670</v>
      </c>
      <c r="B183" s="1" t="s">
        <v>444</v>
      </c>
      <c r="C183" t="s">
        <v>715</v>
      </c>
      <c r="D183" t="b" cm="1">
        <f t="array" ref="D183">IF(Tabela13[[#This Row],[Nivel]]="N1",INDEX(Tabela13[Lider],MATCH(Tabela13[[#This Row],[Nivel]]&amp;Tabela13[[#This Row],[Liderado]],Tabela13[Nivel]&amp;Tabela13[Liderado],0)))</f>
        <v>0</v>
      </c>
      <c r="H183" t="s">
        <v>737</v>
      </c>
      <c r="I183" s="1" t="s">
        <v>595</v>
      </c>
      <c r="J183" s="1" t="s">
        <v>230</v>
      </c>
      <c r="K183" s="1" t="s">
        <v>9</v>
      </c>
      <c r="L183" s="2" t="s">
        <v>10</v>
      </c>
      <c r="M183" s="1" t="s">
        <v>11</v>
      </c>
      <c r="N183" s="2">
        <v>11760</v>
      </c>
      <c r="O183" s="1" t="s">
        <v>230</v>
      </c>
      <c r="P183" s="1" t="s">
        <v>524</v>
      </c>
      <c r="Q183" s="1" t="s">
        <v>633</v>
      </c>
      <c r="R183" s="1"/>
      <c r="S183" s="1" t="s">
        <v>724</v>
      </c>
    </row>
    <row r="184" spans="1:19" x14ac:dyDescent="0.25">
      <c r="A184" s="1" t="s">
        <v>670</v>
      </c>
      <c r="B184" s="1" t="s">
        <v>27</v>
      </c>
      <c r="C184" t="s">
        <v>682</v>
      </c>
      <c r="D184" t="b" cm="1">
        <f t="array" ref="D184">IF(Tabela13[[#This Row],[Nivel]]="N1",INDEX(Tabela13[Lider],MATCH(Tabela13[[#This Row],[Nivel]]&amp;Tabela13[[#This Row],[Liderado]],Tabela13[Nivel]&amp;Tabela13[Liderado],0)))</f>
        <v>0</v>
      </c>
      <c r="H184" t="s">
        <v>737</v>
      </c>
      <c r="I184" s="1" t="s">
        <v>596</v>
      </c>
      <c r="J184" s="1" t="s">
        <v>126</v>
      </c>
      <c r="K184" s="1" t="s">
        <v>9</v>
      </c>
      <c r="L184" s="2" t="s">
        <v>10</v>
      </c>
      <c r="M184" s="1" t="s">
        <v>11</v>
      </c>
      <c r="N184" s="2">
        <v>11791</v>
      </c>
      <c r="O184" s="1" t="s">
        <v>407</v>
      </c>
      <c r="P184" s="1" t="s">
        <v>502</v>
      </c>
      <c r="Q184" s="1" t="s">
        <v>668</v>
      </c>
      <c r="R184" s="1"/>
      <c r="S184" s="1" t="s">
        <v>681</v>
      </c>
    </row>
    <row r="185" spans="1:19" x14ac:dyDescent="0.25">
      <c r="A185" s="1" t="s">
        <v>670</v>
      </c>
      <c r="B185" s="1" t="s">
        <v>444</v>
      </c>
      <c r="C185" t="s">
        <v>715</v>
      </c>
      <c r="D185" t="b" cm="1">
        <f t="array" ref="D185">IF(Tabela13[[#This Row],[Nivel]]="N1",INDEX(Tabela13[Lider],MATCH(Tabela13[[#This Row],[Nivel]]&amp;Tabela13[[#This Row],[Liderado]],Tabela13[Nivel]&amp;Tabela13[Liderado],0)))</f>
        <v>0</v>
      </c>
      <c r="H185" t="s">
        <v>737</v>
      </c>
      <c r="I185" s="1" t="s">
        <v>597</v>
      </c>
      <c r="J185" s="1" t="s">
        <v>34</v>
      </c>
      <c r="K185" s="1" t="s">
        <v>9</v>
      </c>
      <c r="L185" s="2" t="s">
        <v>10</v>
      </c>
      <c r="M185" s="1" t="s">
        <v>11</v>
      </c>
      <c r="N185" s="2">
        <v>11743</v>
      </c>
      <c r="O185" s="1" t="s">
        <v>114</v>
      </c>
      <c r="P185" s="1" t="s">
        <v>436</v>
      </c>
      <c r="Q185" s="1" t="s">
        <v>630</v>
      </c>
      <c r="R185" s="1"/>
      <c r="S185" s="1" t="s">
        <v>724</v>
      </c>
    </row>
    <row r="186" spans="1:19" x14ac:dyDescent="0.25">
      <c r="A186" s="1" t="s">
        <v>670</v>
      </c>
      <c r="B186" s="1" t="s">
        <v>384</v>
      </c>
      <c r="C186" t="s">
        <v>721</v>
      </c>
      <c r="D186" t="b" cm="1">
        <f t="array" ref="D186">IF(Tabela13[[#This Row],[Nivel]]="N1",INDEX(Tabela13[Lider],MATCH(Tabela13[[#This Row],[Nivel]]&amp;Tabela13[[#This Row],[Liderado]],Tabela13[Nivel]&amp;Tabela13[Liderado],0)))</f>
        <v>0</v>
      </c>
      <c r="H186" t="s">
        <v>737</v>
      </c>
      <c r="I186" s="1" t="s">
        <v>598</v>
      </c>
      <c r="J186" s="1" t="s">
        <v>388</v>
      </c>
      <c r="K186" s="1" t="s">
        <v>9</v>
      </c>
      <c r="L186" s="2" t="s">
        <v>10</v>
      </c>
      <c r="M186" s="1" t="s">
        <v>11</v>
      </c>
      <c r="N186" s="2">
        <v>11741</v>
      </c>
      <c r="O186" s="1" t="s">
        <v>516</v>
      </c>
      <c r="P186" s="1" t="s">
        <v>517</v>
      </c>
      <c r="Q186" s="1" t="s">
        <v>672</v>
      </c>
      <c r="R186" s="1"/>
      <c r="S186" s="1" t="s">
        <v>720</v>
      </c>
    </row>
    <row r="187" spans="1:19" x14ac:dyDescent="0.25">
      <c r="A187" s="1" t="s">
        <v>670</v>
      </c>
      <c r="B187" s="1" t="s">
        <v>384</v>
      </c>
      <c r="C187" t="s">
        <v>721</v>
      </c>
      <c r="D187" t="b" cm="1">
        <f t="array" ref="D187">IF(Tabela13[[#This Row],[Nivel]]="N1",INDEX(Tabela13[Lider],MATCH(Tabela13[[#This Row],[Nivel]]&amp;Tabela13[[#This Row],[Liderado]],Tabela13[Nivel]&amp;Tabela13[Liderado],0)))</f>
        <v>0</v>
      </c>
      <c r="H187" t="s">
        <v>737</v>
      </c>
      <c r="I187" s="1" t="s">
        <v>600</v>
      </c>
      <c r="J187" s="1" t="s">
        <v>562</v>
      </c>
      <c r="K187" s="1" t="s">
        <v>9</v>
      </c>
      <c r="L187" s="2" t="s">
        <v>10</v>
      </c>
      <c r="M187" s="1" t="s">
        <v>11</v>
      </c>
      <c r="N187" s="2">
        <v>11748</v>
      </c>
      <c r="O187" s="1" t="s">
        <v>389</v>
      </c>
      <c r="P187" s="1" t="s">
        <v>500</v>
      </c>
      <c r="Q187" s="1" t="s">
        <v>667</v>
      </c>
      <c r="R187" s="1"/>
      <c r="S187" s="1" t="s">
        <v>720</v>
      </c>
    </row>
    <row r="188" spans="1:19" x14ac:dyDescent="0.25">
      <c r="A188" s="1" t="s">
        <v>670</v>
      </c>
      <c r="B188" s="1" t="s">
        <v>384</v>
      </c>
      <c r="C188" t="s">
        <v>721</v>
      </c>
      <c r="D188" t="b" cm="1">
        <f t="array" ref="D188">IF(Tabela13[[#This Row],[Nivel]]="N1",INDEX(Tabela13[Lider],MATCH(Tabela13[[#This Row],[Nivel]]&amp;Tabela13[[#This Row],[Liderado]],Tabela13[Nivel]&amp;Tabela13[Liderado],0)))</f>
        <v>0</v>
      </c>
      <c r="H188" t="s">
        <v>737</v>
      </c>
      <c r="I188" s="1" t="s">
        <v>603</v>
      </c>
      <c r="J188" s="1" t="s">
        <v>388</v>
      </c>
      <c r="K188" s="1" t="s">
        <v>105</v>
      </c>
      <c r="L188" s="2" t="s">
        <v>10</v>
      </c>
      <c r="M188" s="1" t="s">
        <v>11</v>
      </c>
      <c r="N188" s="2">
        <v>11741</v>
      </c>
      <c r="O188" s="1" t="s">
        <v>516</v>
      </c>
      <c r="P188" s="1" t="s">
        <v>517</v>
      </c>
      <c r="Q188" s="1" t="s">
        <v>672</v>
      </c>
      <c r="R188" s="1"/>
      <c r="S188" s="1" t="s">
        <v>720</v>
      </c>
    </row>
    <row r="189" spans="1:19" x14ac:dyDescent="0.25">
      <c r="A189" s="1" t="s">
        <v>670</v>
      </c>
      <c r="B189" s="1" t="s">
        <v>27</v>
      </c>
      <c r="C189" t="s">
        <v>682</v>
      </c>
      <c r="D189" t="b" cm="1">
        <f t="array" ref="D189">IF(Tabela13[[#This Row],[Nivel]]="N1",INDEX(Tabela13[Lider],MATCH(Tabela13[[#This Row],[Nivel]]&amp;Tabela13[[#This Row],[Liderado]],Tabela13[Nivel]&amp;Tabela13[Liderado],0)))</f>
        <v>0</v>
      </c>
      <c r="H189" t="s">
        <v>737</v>
      </c>
      <c r="I189" s="1" t="s">
        <v>605</v>
      </c>
      <c r="J189" s="1" t="s">
        <v>108</v>
      </c>
      <c r="K189" s="1" t="s">
        <v>9</v>
      </c>
      <c r="L189" s="2" t="s">
        <v>10</v>
      </c>
      <c r="M189" s="1" t="s">
        <v>11</v>
      </c>
      <c r="N189" s="2">
        <v>11701</v>
      </c>
      <c r="O189" s="1" t="s">
        <v>83</v>
      </c>
      <c r="P189" s="1" t="s">
        <v>550</v>
      </c>
      <c r="Q189" s="1" t="s">
        <v>628</v>
      </c>
      <c r="R189" s="1"/>
      <c r="S189" s="1" t="s">
        <v>681</v>
      </c>
    </row>
    <row r="190" spans="1:19" x14ac:dyDescent="0.25">
      <c r="A190" s="1" t="s">
        <v>670</v>
      </c>
      <c r="B190" s="1" t="s">
        <v>27</v>
      </c>
      <c r="C190" t="s">
        <v>682</v>
      </c>
      <c r="D190" t="b" cm="1">
        <f t="array" ref="D190">IF(Tabela13[[#This Row],[Nivel]]="N1",INDEX(Tabela13[Lider],MATCH(Tabela13[[#This Row],[Nivel]]&amp;Tabela13[[#This Row],[Liderado]],Tabela13[Nivel]&amp;Tabela13[Liderado],0)))</f>
        <v>0</v>
      </c>
      <c r="H190" t="s">
        <v>737</v>
      </c>
      <c r="I190" s="1" t="s">
        <v>606</v>
      </c>
      <c r="J190" s="1" t="s">
        <v>224</v>
      </c>
      <c r="K190" s="1" t="s">
        <v>9</v>
      </c>
      <c r="L190" s="2" t="s">
        <v>10</v>
      </c>
      <c r="M190" s="1" t="s">
        <v>11</v>
      </c>
      <c r="N190" s="2">
        <v>11704</v>
      </c>
      <c r="O190" s="1" t="s">
        <v>526</v>
      </c>
      <c r="P190" s="1" t="s">
        <v>607</v>
      </c>
      <c r="Q190" s="1" t="s">
        <v>632</v>
      </c>
      <c r="R190" s="1"/>
      <c r="S190" s="1" t="s">
        <v>681</v>
      </c>
    </row>
    <row r="191" spans="1:19" x14ac:dyDescent="0.25">
      <c r="A191" s="1" t="s">
        <v>670</v>
      </c>
      <c r="B191" s="1" t="s">
        <v>384</v>
      </c>
      <c r="C191" t="s">
        <v>721</v>
      </c>
      <c r="D191" t="b" cm="1">
        <f t="array" ref="D191">IF(Tabela13[[#This Row],[Nivel]]="N1",INDEX(Tabela13[Lider],MATCH(Tabela13[[#This Row],[Nivel]]&amp;Tabela13[[#This Row],[Liderado]],Tabela13[Nivel]&amp;Tabela13[Liderado],0)))</f>
        <v>0</v>
      </c>
      <c r="H191" t="s">
        <v>737</v>
      </c>
      <c r="I191" s="1" t="s">
        <v>608</v>
      </c>
      <c r="J191" s="1" t="s">
        <v>562</v>
      </c>
      <c r="K191" s="1" t="s">
        <v>9</v>
      </c>
      <c r="L191" s="2" t="s">
        <v>10</v>
      </c>
      <c r="M191" s="1" t="s">
        <v>11</v>
      </c>
      <c r="N191" s="2">
        <v>11748</v>
      </c>
      <c r="O191" s="1" t="s">
        <v>389</v>
      </c>
      <c r="P191" s="1" t="s">
        <v>500</v>
      </c>
      <c r="Q191" s="1" t="s">
        <v>667</v>
      </c>
      <c r="R191" s="1"/>
      <c r="S191" s="1" t="s">
        <v>720</v>
      </c>
    </row>
    <row r="192" spans="1:19" x14ac:dyDescent="0.25">
      <c r="A192" s="1" t="s">
        <v>670</v>
      </c>
      <c r="B192" s="1" t="s">
        <v>27</v>
      </c>
      <c r="C192" t="s">
        <v>682</v>
      </c>
      <c r="D192" t="b" cm="1">
        <f t="array" ref="D192">IF(Tabela13[[#This Row],[Nivel]]="N1",INDEX(Tabela13[Lider],MATCH(Tabela13[[#This Row],[Nivel]]&amp;Tabela13[[#This Row],[Liderado]],Tabela13[Nivel]&amp;Tabela13[Liderado],0)))</f>
        <v>0</v>
      </c>
      <c r="H192" t="s">
        <v>737</v>
      </c>
      <c r="I192" s="1" t="s">
        <v>610</v>
      </c>
      <c r="J192" s="1" t="s">
        <v>126</v>
      </c>
      <c r="K192" s="1" t="s">
        <v>9</v>
      </c>
      <c r="L192" s="2" t="s">
        <v>10</v>
      </c>
      <c r="M192" s="1" t="s">
        <v>11</v>
      </c>
      <c r="N192" s="2">
        <v>11755</v>
      </c>
      <c r="O192" s="1" t="s">
        <v>127</v>
      </c>
      <c r="P192" s="1" t="s">
        <v>510</v>
      </c>
      <c r="Q192" s="1" t="s">
        <v>643</v>
      </c>
      <c r="R192" s="1"/>
      <c r="S192" s="1" t="s">
        <v>681</v>
      </c>
    </row>
    <row r="193" spans="1:19" x14ac:dyDescent="0.25">
      <c r="A193" s="1" t="s">
        <v>670</v>
      </c>
      <c r="B193" s="1" t="s">
        <v>384</v>
      </c>
      <c r="C193" t="s">
        <v>721</v>
      </c>
      <c r="D193" t="b" cm="1">
        <f t="array" ref="D193">IF(Tabela13[[#This Row],[Nivel]]="N1",INDEX(Tabela13[Lider],MATCH(Tabela13[[#This Row],[Nivel]]&amp;Tabela13[[#This Row],[Liderado]],Tabela13[Nivel]&amp;Tabela13[Liderado],0)))</f>
        <v>0</v>
      </c>
      <c r="H193" t="s">
        <v>737</v>
      </c>
      <c r="I193" s="1" t="s">
        <v>612</v>
      </c>
      <c r="J193" s="1" t="s">
        <v>613</v>
      </c>
      <c r="K193" s="1" t="s">
        <v>9</v>
      </c>
      <c r="L193" s="2" t="s">
        <v>10</v>
      </c>
      <c r="M193" s="1" t="s">
        <v>11</v>
      </c>
      <c r="N193" s="2">
        <v>11741</v>
      </c>
      <c r="O193" s="1" t="s">
        <v>516</v>
      </c>
      <c r="P193" s="1" t="s">
        <v>517</v>
      </c>
      <c r="Q193" s="1" t="s">
        <v>672</v>
      </c>
      <c r="R193" s="1"/>
      <c r="S193" s="1" t="s">
        <v>720</v>
      </c>
    </row>
    <row r="194" spans="1:19" x14ac:dyDescent="0.25">
      <c r="A194" s="1" t="s">
        <v>670</v>
      </c>
      <c r="B194" s="1" t="s">
        <v>444</v>
      </c>
      <c r="C194" t="s">
        <v>715</v>
      </c>
      <c r="D194" t="b" cm="1">
        <f t="array" ref="D194">IF(Tabela13[[#This Row],[Nivel]]="N1",INDEX(Tabela13[Lider],MATCH(Tabela13[[#This Row],[Nivel]]&amp;Tabela13[[#This Row],[Liderado]],Tabela13[Nivel]&amp;Tabela13[Liderado],0)))</f>
        <v>0</v>
      </c>
      <c r="H194" t="s">
        <v>737</v>
      </c>
      <c r="I194" s="1" t="s">
        <v>614</v>
      </c>
      <c r="J194" s="1" t="s">
        <v>34</v>
      </c>
      <c r="K194" s="1" t="s">
        <v>9</v>
      </c>
      <c r="L194" s="2" t="s">
        <v>10</v>
      </c>
      <c r="M194" s="1" t="s">
        <v>11</v>
      </c>
      <c r="N194" s="2">
        <v>11743</v>
      </c>
      <c r="O194" s="1" t="s">
        <v>114</v>
      </c>
      <c r="P194" s="1" t="s">
        <v>436</v>
      </c>
      <c r="Q194" s="1" t="s">
        <v>630</v>
      </c>
      <c r="R194" s="1"/>
      <c r="S194" s="1" t="s">
        <v>724</v>
      </c>
    </row>
    <row r="195" spans="1:19" x14ac:dyDescent="0.25">
      <c r="A195" s="1" t="s">
        <v>670</v>
      </c>
      <c r="B195" s="1" t="s">
        <v>384</v>
      </c>
      <c r="C195" t="s">
        <v>721</v>
      </c>
      <c r="D195" t="b" cm="1">
        <f t="array" ref="D195">IF(Tabela13[[#This Row],[Nivel]]="N1",INDEX(Tabela13[Lider],MATCH(Tabela13[[#This Row],[Nivel]]&amp;Tabela13[[#This Row],[Liderado]],Tabela13[Nivel]&amp;Tabela13[Liderado],0)))</f>
        <v>0</v>
      </c>
      <c r="H195" t="s">
        <v>737</v>
      </c>
      <c r="I195" s="1" t="s">
        <v>615</v>
      </c>
      <c r="J195" s="1" t="s">
        <v>410</v>
      </c>
      <c r="K195" s="1" t="s">
        <v>9</v>
      </c>
      <c r="L195" s="2" t="s">
        <v>10</v>
      </c>
      <c r="M195" s="1" t="s">
        <v>11</v>
      </c>
      <c r="N195" s="2">
        <v>11741</v>
      </c>
      <c r="O195" s="1" t="s">
        <v>516</v>
      </c>
      <c r="P195" s="1" t="s">
        <v>517</v>
      </c>
      <c r="Q195" s="1" t="s">
        <v>672</v>
      </c>
      <c r="R195" s="1"/>
      <c r="S195" s="1" t="s">
        <v>720</v>
      </c>
    </row>
    <row r="196" spans="1:19" x14ac:dyDescent="0.25">
      <c r="A196" s="1" t="s">
        <v>670</v>
      </c>
      <c r="B196" s="1" t="s">
        <v>444</v>
      </c>
      <c r="C196" t="s">
        <v>715</v>
      </c>
      <c r="D196" t="b" cm="1">
        <f t="array" ref="D196">IF(Tabela13[[#This Row],[Nivel]]="N1",INDEX(Tabela13[Lider],MATCH(Tabela13[[#This Row],[Nivel]]&amp;Tabela13[[#This Row],[Liderado]],Tabela13[Nivel]&amp;Tabela13[Liderado],0)))</f>
        <v>0</v>
      </c>
      <c r="H196" t="s">
        <v>737</v>
      </c>
      <c r="I196" s="1" t="s">
        <v>616</v>
      </c>
      <c r="J196" s="1" t="s">
        <v>34</v>
      </c>
      <c r="K196" s="1" t="s">
        <v>9</v>
      </c>
      <c r="L196" s="2" t="s">
        <v>10</v>
      </c>
      <c r="M196" s="1" t="s">
        <v>11</v>
      </c>
      <c r="N196" s="2">
        <v>11743</v>
      </c>
      <c r="O196" s="1" t="s">
        <v>114</v>
      </c>
      <c r="P196" s="1" t="s">
        <v>436</v>
      </c>
      <c r="Q196" s="1" t="s">
        <v>630</v>
      </c>
      <c r="R196" s="1"/>
      <c r="S196" s="1" t="s">
        <v>724</v>
      </c>
    </row>
    <row r="197" spans="1:19" x14ac:dyDescent="0.25">
      <c r="A197" s="1" t="s">
        <v>670</v>
      </c>
      <c r="B197" s="1" t="s">
        <v>384</v>
      </c>
      <c r="C197" t="s">
        <v>721</v>
      </c>
      <c r="D197" t="b" cm="1">
        <f t="array" ref="D197">IF(Tabela13[[#This Row],[Nivel]]="N1",INDEX(Tabela13[Lider],MATCH(Tabela13[[#This Row],[Nivel]]&amp;Tabela13[[#This Row],[Liderado]],Tabela13[Nivel]&amp;Tabela13[Liderado],0)))</f>
        <v>0</v>
      </c>
      <c r="H197" t="s">
        <v>737</v>
      </c>
      <c r="I197" s="1" t="s">
        <v>618</v>
      </c>
      <c r="J197" s="1" t="s">
        <v>388</v>
      </c>
      <c r="K197" s="1" t="s">
        <v>9</v>
      </c>
      <c r="L197" s="2" t="s">
        <v>10</v>
      </c>
      <c r="M197" s="1" t="s">
        <v>11</v>
      </c>
      <c r="N197" s="2">
        <v>11748</v>
      </c>
      <c r="O197" s="1" t="s">
        <v>389</v>
      </c>
      <c r="P197" s="1" t="s">
        <v>500</v>
      </c>
      <c r="Q197" s="1" t="s">
        <v>667</v>
      </c>
      <c r="R197" s="1"/>
      <c r="S197" s="1" t="s">
        <v>720</v>
      </c>
    </row>
    <row r="198" spans="1:19" x14ac:dyDescent="0.25">
      <c r="A198" s="1" t="s">
        <v>670</v>
      </c>
      <c r="B198" s="1" t="s">
        <v>384</v>
      </c>
      <c r="C198" t="s">
        <v>721</v>
      </c>
      <c r="D198" t="b" cm="1">
        <f t="array" ref="D198">IF(Tabela13[[#This Row],[Nivel]]="N1",INDEX(Tabela13[Lider],MATCH(Tabela13[[#This Row],[Nivel]]&amp;Tabela13[[#This Row],[Liderado]],Tabela13[Nivel]&amp;Tabela13[Liderado],0)))</f>
        <v>0</v>
      </c>
      <c r="H198" t="s">
        <v>737</v>
      </c>
      <c r="I198" s="1" t="s">
        <v>619</v>
      </c>
      <c r="J198" s="1" t="s">
        <v>410</v>
      </c>
      <c r="K198" s="1" t="s">
        <v>9</v>
      </c>
      <c r="L198" s="2" t="s">
        <v>10</v>
      </c>
      <c r="M198" s="1" t="s">
        <v>11</v>
      </c>
      <c r="N198" s="2">
        <v>11741</v>
      </c>
      <c r="O198" s="1" t="s">
        <v>516</v>
      </c>
      <c r="P198" s="1" t="s">
        <v>517</v>
      </c>
      <c r="Q198" s="1" t="s">
        <v>672</v>
      </c>
      <c r="R198" s="1"/>
      <c r="S198" s="1" t="s">
        <v>720</v>
      </c>
    </row>
    <row r="199" spans="1:19" x14ac:dyDescent="0.25">
      <c r="A199" s="1" t="s">
        <v>670</v>
      </c>
      <c r="B199" s="1" t="s">
        <v>384</v>
      </c>
      <c r="C199" t="s">
        <v>721</v>
      </c>
      <c r="D199" t="b" cm="1">
        <f t="array" ref="D199">IF(Tabela13[[#This Row],[Nivel]]="N1",INDEX(Tabela13[Lider],MATCH(Tabela13[[#This Row],[Nivel]]&amp;Tabela13[[#This Row],[Liderado]],Tabela13[Nivel]&amp;Tabela13[Liderado],0)))</f>
        <v>0</v>
      </c>
      <c r="H199" t="s">
        <v>737</v>
      </c>
      <c r="I199" s="1" t="s">
        <v>620</v>
      </c>
      <c r="J199" s="1" t="s">
        <v>582</v>
      </c>
      <c r="K199" s="1" t="s">
        <v>9</v>
      </c>
      <c r="L199" s="2" t="s">
        <v>10</v>
      </c>
      <c r="M199" s="1" t="s">
        <v>11</v>
      </c>
      <c r="N199" s="2">
        <v>11731</v>
      </c>
      <c r="O199" s="1" t="s">
        <v>382</v>
      </c>
      <c r="P199" s="1" t="s">
        <v>583</v>
      </c>
      <c r="Q199" s="1" t="s">
        <v>665</v>
      </c>
      <c r="R199" s="1"/>
      <c r="S199" s="1" t="s">
        <v>720</v>
      </c>
    </row>
    <row r="200" spans="1:19" x14ac:dyDescent="0.25">
      <c r="A200" s="1" t="s">
        <v>670</v>
      </c>
      <c r="B200" s="1" t="s">
        <v>444</v>
      </c>
      <c r="C200" t="s">
        <v>715</v>
      </c>
      <c r="D200" t="b" cm="1">
        <f t="array" ref="D200">IF(Tabela13[[#This Row],[Nivel]]="N1",INDEX(Tabela13[Lider],MATCH(Tabela13[[#This Row],[Nivel]]&amp;Tabela13[[#This Row],[Liderado]],Tabela13[Nivel]&amp;Tabela13[Liderado],0)))</f>
        <v>0</v>
      </c>
      <c r="H200" t="s">
        <v>737</v>
      </c>
      <c r="I200" s="1" t="s">
        <v>621</v>
      </c>
      <c r="J200" s="1" t="s">
        <v>34</v>
      </c>
      <c r="K200" s="1" t="s">
        <v>9</v>
      </c>
      <c r="L200" s="2" t="s">
        <v>10</v>
      </c>
      <c r="M200" s="1" t="s">
        <v>11</v>
      </c>
      <c r="N200" s="2">
        <v>11743</v>
      </c>
      <c r="O200" s="1" t="s">
        <v>114</v>
      </c>
      <c r="P200" s="1" t="s">
        <v>436</v>
      </c>
      <c r="Q200" s="1" t="s">
        <v>630</v>
      </c>
      <c r="R200" s="1"/>
      <c r="S200" s="1" t="s">
        <v>724</v>
      </c>
    </row>
    <row r="201" spans="1:19" x14ac:dyDescent="0.25">
      <c r="A201" s="1" t="s">
        <v>670</v>
      </c>
      <c r="B201" s="1" t="s">
        <v>27</v>
      </c>
      <c r="C201" t="s">
        <v>682</v>
      </c>
      <c r="D201" t="b" cm="1">
        <f t="array" ref="D201">IF(Tabela13[[#This Row],[Nivel]]="N1",INDEX(Tabela13[Lider],MATCH(Tabela13[[#This Row],[Nivel]]&amp;Tabela13[[#This Row],[Liderado]],Tabela13[Nivel]&amp;Tabela13[Liderado],0)))</f>
        <v>0</v>
      </c>
      <c r="H201" t="s">
        <v>737</v>
      </c>
      <c r="I201" s="1" t="s">
        <v>622</v>
      </c>
      <c r="J201" s="1" t="s">
        <v>132</v>
      </c>
      <c r="K201" s="1" t="s">
        <v>9</v>
      </c>
      <c r="L201" s="2" t="s">
        <v>10</v>
      </c>
      <c r="M201" s="1" t="s">
        <v>11</v>
      </c>
      <c r="N201" s="2">
        <v>11701</v>
      </c>
      <c r="O201" s="1" t="s">
        <v>83</v>
      </c>
      <c r="P201" s="1" t="s">
        <v>623</v>
      </c>
      <c r="Q201" s="1" t="s">
        <v>674</v>
      </c>
      <c r="R201" s="1"/>
      <c r="S201" s="1" t="s">
        <v>681</v>
      </c>
    </row>
    <row r="202" spans="1:19" x14ac:dyDescent="0.25">
      <c r="A202" s="1" t="s">
        <v>624</v>
      </c>
      <c r="B202" s="1" t="s">
        <v>20</v>
      </c>
      <c r="C202" t="s">
        <v>680</v>
      </c>
      <c r="D202" t="b" cm="1">
        <f t="array" ref="D202">IF(Tabela13[[#This Row],[Nivel]]="N1",INDEX(Tabela13[Lider],MATCH(Tabela13[[#This Row],[Nivel]]&amp;Tabela13[[#This Row],[Liderado]],Tabela13[Nivel]&amp;Tabela13[Liderado],0)))</f>
        <v>0</v>
      </c>
      <c r="H202" t="s">
        <v>739</v>
      </c>
      <c r="I202" s="1" t="s">
        <v>15</v>
      </c>
      <c r="J202" s="1" t="s">
        <v>16</v>
      </c>
      <c r="K202" s="1" t="s">
        <v>17</v>
      </c>
      <c r="L202" s="2" t="s">
        <v>10</v>
      </c>
      <c r="M202" s="1" t="s">
        <v>11</v>
      </c>
      <c r="N202" s="2">
        <v>10108</v>
      </c>
      <c r="O202" s="1" t="s">
        <v>18</v>
      </c>
      <c r="P202" s="1" t="s">
        <v>19</v>
      </c>
      <c r="Q202" s="1" t="s">
        <v>626</v>
      </c>
      <c r="R202" s="1"/>
      <c r="S202" s="1" t="s">
        <v>679</v>
      </c>
    </row>
    <row r="203" spans="1:19" x14ac:dyDescent="0.25">
      <c r="A203" s="1" t="s">
        <v>627</v>
      </c>
      <c r="B203" s="1" t="s">
        <v>32</v>
      </c>
      <c r="C203" t="s">
        <v>684</v>
      </c>
      <c r="D203" t="b" cm="1">
        <f t="array" ref="D203">IF(Tabela13[[#This Row],[Nivel]]="N1",INDEX(Tabela13[Lider],MATCH(Tabela13[[#This Row],[Nivel]]&amp;Tabela13[[#This Row],[Liderado]],Tabela13[Nivel]&amp;Tabela13[Liderado],0)))</f>
        <v>0</v>
      </c>
      <c r="H203" t="s">
        <v>739</v>
      </c>
      <c r="I203" s="1" t="s">
        <v>28</v>
      </c>
      <c r="J203" s="1" t="s">
        <v>29</v>
      </c>
      <c r="K203" s="1" t="s">
        <v>17</v>
      </c>
      <c r="L203" s="2" t="s">
        <v>10</v>
      </c>
      <c r="M203" s="1" t="s">
        <v>11</v>
      </c>
      <c r="N203" s="2">
        <v>11373</v>
      </c>
      <c r="O203" s="1" t="s">
        <v>30</v>
      </c>
      <c r="P203" s="1" t="s">
        <v>31</v>
      </c>
      <c r="Q203" s="1" t="s">
        <v>629</v>
      </c>
      <c r="R203" s="1"/>
      <c r="S203" s="1" t="s">
        <v>683</v>
      </c>
    </row>
    <row r="204" spans="1:19" x14ac:dyDescent="0.25">
      <c r="A204" s="1" t="s">
        <v>627</v>
      </c>
      <c r="B204" s="1" t="s">
        <v>37</v>
      </c>
      <c r="C204" t="s">
        <v>686</v>
      </c>
      <c r="D204" t="b" cm="1">
        <f t="array" ref="D204">IF(Tabela13[[#This Row],[Nivel]]="N1",INDEX(Tabela13[Lider],MATCH(Tabela13[[#This Row],[Nivel]]&amp;Tabela13[[#This Row],[Liderado]],Tabela13[Nivel]&amp;Tabela13[Liderado],0)))</f>
        <v>0</v>
      </c>
      <c r="H204" t="s">
        <v>739</v>
      </c>
      <c r="I204" s="1" t="s">
        <v>33</v>
      </c>
      <c r="J204" s="1" t="s">
        <v>34</v>
      </c>
      <c r="K204" s="1" t="s">
        <v>9</v>
      </c>
      <c r="L204" s="2" t="s">
        <v>10</v>
      </c>
      <c r="M204" s="1" t="s">
        <v>11</v>
      </c>
      <c r="N204" s="2">
        <v>11383</v>
      </c>
      <c r="O204" s="1" t="s">
        <v>35</v>
      </c>
      <c r="P204" s="1" t="s">
        <v>36</v>
      </c>
      <c r="Q204" s="1" t="s">
        <v>630</v>
      </c>
      <c r="R204" s="1"/>
      <c r="S204" s="1" t="s">
        <v>685</v>
      </c>
    </row>
    <row r="205" spans="1:19" x14ac:dyDescent="0.25">
      <c r="A205" s="1" t="s">
        <v>627</v>
      </c>
      <c r="B205" s="1" t="s">
        <v>32</v>
      </c>
      <c r="C205" t="s">
        <v>684</v>
      </c>
      <c r="D205" t="b" cm="1">
        <f t="array" ref="D205">IF(Tabela13[[#This Row],[Nivel]]="N1",INDEX(Tabela13[Lider],MATCH(Tabela13[[#This Row],[Nivel]]&amp;Tabela13[[#This Row],[Liderado]],Tabela13[Nivel]&amp;Tabela13[Liderado],0)))</f>
        <v>0</v>
      </c>
      <c r="H205" t="s">
        <v>739</v>
      </c>
      <c r="I205" s="1" t="s">
        <v>54</v>
      </c>
      <c r="J205" s="1" t="s">
        <v>29</v>
      </c>
      <c r="K205" s="1" t="s">
        <v>9</v>
      </c>
      <c r="L205" s="2" t="s">
        <v>10</v>
      </c>
      <c r="M205" s="1" t="s">
        <v>11</v>
      </c>
      <c r="N205" s="2">
        <v>11373</v>
      </c>
      <c r="O205" s="1" t="s">
        <v>30</v>
      </c>
      <c r="P205" s="1" t="s">
        <v>31</v>
      </c>
      <c r="Q205" s="1" t="s">
        <v>629</v>
      </c>
      <c r="R205" s="1"/>
      <c r="S205" s="1" t="s">
        <v>683</v>
      </c>
    </row>
    <row r="206" spans="1:19" x14ac:dyDescent="0.25">
      <c r="A206" s="1" t="s">
        <v>627</v>
      </c>
      <c r="B206" s="1" t="s">
        <v>32</v>
      </c>
      <c r="C206" t="s">
        <v>684</v>
      </c>
      <c r="D206" t="b" cm="1">
        <f t="array" ref="D206">IF(Tabela13[[#This Row],[Nivel]]="N1",INDEX(Tabela13[Lider],MATCH(Tabela13[[#This Row],[Nivel]]&amp;Tabela13[[#This Row],[Liderado]],Tabela13[Nivel]&amp;Tabela13[Liderado],0)))</f>
        <v>0</v>
      </c>
      <c r="H206" t="s">
        <v>739</v>
      </c>
      <c r="I206" s="1" t="s">
        <v>55</v>
      </c>
      <c r="J206" s="1" t="s">
        <v>34</v>
      </c>
      <c r="K206" s="1" t="s">
        <v>17</v>
      </c>
      <c r="L206" s="2" t="s">
        <v>10</v>
      </c>
      <c r="M206" s="1" t="s">
        <v>11</v>
      </c>
      <c r="N206" s="2">
        <v>11377</v>
      </c>
      <c r="O206" s="1" t="s">
        <v>56</v>
      </c>
      <c r="P206" s="1" t="s">
        <v>36</v>
      </c>
      <c r="Q206" s="1" t="s">
        <v>630</v>
      </c>
      <c r="R206" s="1"/>
      <c r="S206" s="1" t="s">
        <v>683</v>
      </c>
    </row>
    <row r="207" spans="1:19" x14ac:dyDescent="0.25">
      <c r="A207" s="1" t="s">
        <v>627</v>
      </c>
      <c r="B207" s="1" t="s">
        <v>32</v>
      </c>
      <c r="C207" t="s">
        <v>684</v>
      </c>
      <c r="D207" t="b" cm="1">
        <f t="array" ref="D207">IF(Tabela13[[#This Row],[Nivel]]="N1",INDEX(Tabela13[Lider],MATCH(Tabela13[[#This Row],[Nivel]]&amp;Tabela13[[#This Row],[Liderado]],Tabela13[Nivel]&amp;Tabela13[Liderado],0)))</f>
        <v>0</v>
      </c>
      <c r="H207" t="s">
        <v>739</v>
      </c>
      <c r="I207" s="1" t="s">
        <v>57</v>
      </c>
      <c r="J207" s="1" t="s">
        <v>34</v>
      </c>
      <c r="K207" s="1" t="s">
        <v>17</v>
      </c>
      <c r="L207" s="2" t="s">
        <v>10</v>
      </c>
      <c r="M207" s="1" t="s">
        <v>11</v>
      </c>
      <c r="N207" s="2">
        <v>11382</v>
      </c>
      <c r="O207" s="1" t="s">
        <v>58</v>
      </c>
      <c r="P207" s="1" t="s">
        <v>36</v>
      </c>
      <c r="Q207" s="1" t="s">
        <v>630</v>
      </c>
      <c r="R207" s="1"/>
      <c r="S207" s="1" t="s">
        <v>683</v>
      </c>
    </row>
    <row r="208" spans="1:19" x14ac:dyDescent="0.25">
      <c r="A208" s="1" t="s">
        <v>627</v>
      </c>
      <c r="B208" s="1" t="s">
        <v>37</v>
      </c>
      <c r="C208" t="s">
        <v>686</v>
      </c>
      <c r="D208" t="b" cm="1">
        <f t="array" ref="D208">IF(Tabela13[[#This Row],[Nivel]]="N1",INDEX(Tabela13[Lider],MATCH(Tabela13[[#This Row],[Nivel]]&amp;Tabela13[[#This Row],[Liderado]],Tabela13[Nivel]&amp;Tabela13[Liderado],0)))</f>
        <v>0</v>
      </c>
      <c r="H208" t="s">
        <v>739</v>
      </c>
      <c r="I208" s="1" t="s">
        <v>59</v>
      </c>
      <c r="J208" s="1" t="s">
        <v>34</v>
      </c>
      <c r="K208" s="1" t="s">
        <v>17</v>
      </c>
      <c r="L208" s="2" t="s">
        <v>10</v>
      </c>
      <c r="M208" s="1" t="s">
        <v>11</v>
      </c>
      <c r="N208" s="2">
        <v>11383</v>
      </c>
      <c r="O208" s="1" t="s">
        <v>35</v>
      </c>
      <c r="P208" s="1" t="s">
        <v>36</v>
      </c>
      <c r="Q208" s="1" t="s">
        <v>630</v>
      </c>
      <c r="R208" s="1"/>
      <c r="S208" s="1" t="s">
        <v>685</v>
      </c>
    </row>
    <row r="209" spans="1:19" x14ac:dyDescent="0.25">
      <c r="A209" s="1" t="s">
        <v>627</v>
      </c>
      <c r="B209" s="1" t="s">
        <v>32</v>
      </c>
      <c r="C209" t="s">
        <v>684</v>
      </c>
      <c r="D209" t="b" cm="1">
        <f t="array" ref="D209">IF(Tabela13[[#This Row],[Nivel]]="N1",INDEX(Tabela13[Lider],MATCH(Tabela13[[#This Row],[Nivel]]&amp;Tabela13[[#This Row],[Liderado]],Tabela13[Nivel]&amp;Tabela13[Liderado],0)))</f>
        <v>0</v>
      </c>
      <c r="H209" t="s">
        <v>739</v>
      </c>
      <c r="I209" s="1" t="s">
        <v>60</v>
      </c>
      <c r="J209" s="1" t="s">
        <v>61</v>
      </c>
      <c r="K209" s="1" t="s">
        <v>17</v>
      </c>
      <c r="L209" s="2" t="s">
        <v>10</v>
      </c>
      <c r="M209" s="1" t="s">
        <v>11</v>
      </c>
      <c r="N209" s="2">
        <v>11336</v>
      </c>
      <c r="O209" s="1" t="s">
        <v>62</v>
      </c>
      <c r="P209" s="1" t="s">
        <v>63</v>
      </c>
      <c r="Q209" s="1" t="s">
        <v>633</v>
      </c>
      <c r="R209" s="1"/>
      <c r="S209" s="1" t="s">
        <v>683</v>
      </c>
    </row>
    <row r="210" spans="1:19" x14ac:dyDescent="0.25">
      <c r="A210" s="1" t="s">
        <v>624</v>
      </c>
      <c r="B210" s="1" t="s">
        <v>20</v>
      </c>
      <c r="C210" t="s">
        <v>680</v>
      </c>
      <c r="D210" t="b" cm="1">
        <f t="array" ref="D210">IF(Tabela13[[#This Row],[Nivel]]="N1",INDEX(Tabela13[Lider],MATCH(Tabela13[[#This Row],[Nivel]]&amp;Tabela13[[#This Row],[Liderado]],Tabela13[Nivel]&amp;Tabela13[Liderado],0)))</f>
        <v>0</v>
      </c>
      <c r="H210" t="s">
        <v>739</v>
      </c>
      <c r="I210" s="1" t="s">
        <v>49</v>
      </c>
      <c r="J210" s="1" t="s">
        <v>64</v>
      </c>
      <c r="K210" s="1" t="s">
        <v>9</v>
      </c>
      <c r="L210" s="2" t="s">
        <v>10</v>
      </c>
      <c r="M210" s="1" t="s">
        <v>11</v>
      </c>
      <c r="N210" s="2">
        <v>10114</v>
      </c>
      <c r="O210" s="1" t="s">
        <v>47</v>
      </c>
      <c r="P210" s="1" t="s">
        <v>48</v>
      </c>
      <c r="Q210" s="1" t="s">
        <v>631</v>
      </c>
      <c r="R210" s="1"/>
      <c r="S210" s="1" t="s">
        <v>679</v>
      </c>
    </row>
    <row r="211" spans="1:19" x14ac:dyDescent="0.25">
      <c r="A211" s="1" t="s">
        <v>627</v>
      </c>
      <c r="B211" s="1" t="s">
        <v>32</v>
      </c>
      <c r="C211" t="s">
        <v>684</v>
      </c>
      <c r="D211" t="b" cm="1">
        <f t="array" ref="D211">IF(Tabela13[[#This Row],[Nivel]]="N1",INDEX(Tabela13[Lider],MATCH(Tabela13[[#This Row],[Nivel]]&amp;Tabela13[[#This Row],[Liderado]],Tabela13[Nivel]&amp;Tabela13[Liderado],0)))</f>
        <v>0</v>
      </c>
      <c r="H211" t="s">
        <v>739</v>
      </c>
      <c r="I211" s="1" t="s">
        <v>74</v>
      </c>
      <c r="J211" s="1" t="s">
        <v>34</v>
      </c>
      <c r="K211" s="1" t="s">
        <v>9</v>
      </c>
      <c r="L211" s="2" t="s">
        <v>10</v>
      </c>
      <c r="M211" s="1" t="s">
        <v>11</v>
      </c>
      <c r="N211" s="2">
        <v>11377</v>
      </c>
      <c r="O211" s="1" t="s">
        <v>56</v>
      </c>
      <c r="P211" s="1" t="s">
        <v>36</v>
      </c>
      <c r="Q211" s="1" t="s">
        <v>630</v>
      </c>
      <c r="R211" s="1"/>
      <c r="S211" s="1" t="s">
        <v>683</v>
      </c>
    </row>
    <row r="212" spans="1:19" x14ac:dyDescent="0.25">
      <c r="A212" s="1" t="s">
        <v>627</v>
      </c>
      <c r="B212" s="1" t="s">
        <v>32</v>
      </c>
      <c r="C212" t="s">
        <v>684</v>
      </c>
      <c r="D212" t="b" cm="1">
        <f t="array" ref="D212">IF(Tabela13[[#This Row],[Nivel]]="N1",INDEX(Tabela13[Lider],MATCH(Tabela13[[#This Row],[Nivel]]&amp;Tabela13[[#This Row],[Liderado]],Tabela13[Nivel]&amp;Tabela13[Liderado],0)))</f>
        <v>0</v>
      </c>
      <c r="H212" t="s">
        <v>739</v>
      </c>
      <c r="I212" s="1" t="s">
        <v>75</v>
      </c>
      <c r="J212" s="1" t="s">
        <v>34</v>
      </c>
      <c r="K212" s="1" t="s">
        <v>17</v>
      </c>
      <c r="L212" s="2" t="s">
        <v>10</v>
      </c>
      <c r="M212" s="1" t="s">
        <v>11</v>
      </c>
      <c r="N212" s="2">
        <v>11382</v>
      </c>
      <c r="O212" s="1" t="s">
        <v>58</v>
      </c>
      <c r="P212" s="1" t="s">
        <v>36</v>
      </c>
      <c r="Q212" s="1" t="s">
        <v>630</v>
      </c>
      <c r="R212" s="1"/>
      <c r="S212" s="1" t="s">
        <v>683</v>
      </c>
    </row>
    <row r="213" spans="1:19" x14ac:dyDescent="0.25">
      <c r="A213" s="1" t="s">
        <v>627</v>
      </c>
      <c r="B213" s="1" t="s">
        <v>37</v>
      </c>
      <c r="C213" t="s">
        <v>686</v>
      </c>
      <c r="D213" t="b" cm="1">
        <f t="array" ref="D213">IF(Tabela13[[#This Row],[Nivel]]="N1",INDEX(Tabela13[Lider],MATCH(Tabela13[[#This Row],[Nivel]]&amp;Tabela13[[#This Row],[Liderado]],Tabela13[Nivel]&amp;Tabela13[Liderado],0)))</f>
        <v>0</v>
      </c>
      <c r="H213" t="s">
        <v>739</v>
      </c>
      <c r="I213" s="1" t="s">
        <v>76</v>
      </c>
      <c r="J213" s="1" t="s">
        <v>77</v>
      </c>
      <c r="K213" s="1" t="s">
        <v>17</v>
      </c>
      <c r="L213" s="2" t="s">
        <v>10</v>
      </c>
      <c r="M213" s="1" t="s">
        <v>11</v>
      </c>
      <c r="N213" s="2">
        <v>11351</v>
      </c>
      <c r="O213" s="1" t="s">
        <v>78</v>
      </c>
      <c r="P213" s="1" t="s">
        <v>36</v>
      </c>
      <c r="Q213" s="1" t="s">
        <v>630</v>
      </c>
      <c r="R213" s="1"/>
      <c r="S213" s="1" t="s">
        <v>685</v>
      </c>
    </row>
    <row r="214" spans="1:19" x14ac:dyDescent="0.25">
      <c r="A214" s="1" t="s">
        <v>627</v>
      </c>
      <c r="B214" s="1" t="s">
        <v>32</v>
      </c>
      <c r="C214" t="s">
        <v>684</v>
      </c>
      <c r="D214" t="b" cm="1">
        <f t="array" ref="D214">IF(Tabela13[[#This Row],[Nivel]]="N1",INDEX(Tabela13[Lider],MATCH(Tabela13[[#This Row],[Nivel]]&amp;Tabela13[[#This Row],[Liderado]],Tabela13[Nivel]&amp;Tabela13[Liderado],0)))</f>
        <v>0</v>
      </c>
      <c r="H214" t="s">
        <v>739</v>
      </c>
      <c r="I214" s="1" t="s">
        <v>79</v>
      </c>
      <c r="J214" s="1" t="s">
        <v>29</v>
      </c>
      <c r="K214" s="1" t="s">
        <v>17</v>
      </c>
      <c r="L214" s="2" t="s">
        <v>10</v>
      </c>
      <c r="M214" s="1" t="s">
        <v>11</v>
      </c>
      <c r="N214" s="2">
        <v>11374</v>
      </c>
      <c r="O214" s="1" t="s">
        <v>80</v>
      </c>
      <c r="P214" s="1" t="s">
        <v>31</v>
      </c>
      <c r="Q214" s="1" t="s">
        <v>629</v>
      </c>
      <c r="R214" s="1"/>
      <c r="S214" s="1" t="s">
        <v>683</v>
      </c>
    </row>
    <row r="215" spans="1:19" x14ac:dyDescent="0.25">
      <c r="A215" s="1" t="s">
        <v>624</v>
      </c>
      <c r="B215" s="1" t="s">
        <v>20</v>
      </c>
      <c r="C215" t="s">
        <v>680</v>
      </c>
      <c r="D215" t="b" cm="1">
        <f t="array" ref="D215">IF(Tabela13[[#This Row],[Nivel]]="N1",INDEX(Tabela13[Lider],MATCH(Tabela13[[#This Row],[Nivel]]&amp;Tabela13[[#This Row],[Liderado]],Tabela13[Nivel]&amp;Tabela13[Liderado],0)))</f>
        <v>0</v>
      </c>
      <c r="H215" t="s">
        <v>739</v>
      </c>
      <c r="I215" s="1" t="s">
        <v>109</v>
      </c>
      <c r="J215" s="1" t="s">
        <v>110</v>
      </c>
      <c r="K215" s="1" t="s">
        <v>17</v>
      </c>
      <c r="L215" s="2" t="s">
        <v>10</v>
      </c>
      <c r="M215" s="1" t="s">
        <v>11</v>
      </c>
      <c r="N215" s="2">
        <v>10108</v>
      </c>
      <c r="O215" s="1" t="s">
        <v>18</v>
      </c>
      <c r="P215" s="1" t="s">
        <v>19</v>
      </c>
      <c r="Q215" s="1" t="s">
        <v>626</v>
      </c>
      <c r="R215" s="1"/>
      <c r="S215" s="1" t="s">
        <v>679</v>
      </c>
    </row>
    <row r="216" spans="1:19" x14ac:dyDescent="0.25">
      <c r="A216" s="1" t="s">
        <v>627</v>
      </c>
      <c r="B216" s="1" t="s">
        <v>32</v>
      </c>
      <c r="C216" t="s">
        <v>684</v>
      </c>
      <c r="D216" t="b" cm="1">
        <f t="array" ref="D216">IF(Tabela13[[#This Row],[Nivel]]="N1",INDEX(Tabela13[Lider],MATCH(Tabela13[[#This Row],[Nivel]]&amp;Tabela13[[#This Row],[Liderado]],Tabela13[Nivel]&amp;Tabela13[Liderado],0)))</f>
        <v>0</v>
      </c>
      <c r="H216" t="s">
        <v>739</v>
      </c>
      <c r="I216" s="1" t="s">
        <v>129</v>
      </c>
      <c r="J216" s="1" t="s">
        <v>130</v>
      </c>
      <c r="K216" s="1" t="s">
        <v>17</v>
      </c>
      <c r="L216" s="2" t="s">
        <v>10</v>
      </c>
      <c r="M216" s="1" t="s">
        <v>11</v>
      </c>
      <c r="N216" s="2">
        <v>11336</v>
      </c>
      <c r="O216" s="1" t="s">
        <v>62</v>
      </c>
      <c r="P216" s="1" t="s">
        <v>63</v>
      </c>
      <c r="Q216" s="1" t="s">
        <v>633</v>
      </c>
      <c r="R216" s="1"/>
      <c r="S216" s="1" t="s">
        <v>683</v>
      </c>
    </row>
    <row r="217" spans="1:19" x14ac:dyDescent="0.25">
      <c r="A217" s="1" t="s">
        <v>627</v>
      </c>
      <c r="B217" s="1" t="s">
        <v>32</v>
      </c>
      <c r="C217" t="s">
        <v>684</v>
      </c>
      <c r="D217" t="b" cm="1">
        <f t="array" ref="D217">IF(Tabela13[[#This Row],[Nivel]]="N1",INDEX(Tabela13[Lider],MATCH(Tabela13[[#This Row],[Nivel]]&amp;Tabela13[[#This Row],[Liderado]],Tabela13[Nivel]&amp;Tabela13[Liderado],0)))</f>
        <v>0</v>
      </c>
      <c r="H217" t="s">
        <v>739</v>
      </c>
      <c r="I217" s="1" t="s">
        <v>140</v>
      </c>
      <c r="J217" s="1" t="s">
        <v>34</v>
      </c>
      <c r="K217" s="1" t="s">
        <v>9</v>
      </c>
      <c r="L217" s="2" t="s">
        <v>10</v>
      </c>
      <c r="M217" s="1" t="s">
        <v>11</v>
      </c>
      <c r="N217" s="2">
        <v>11382</v>
      </c>
      <c r="O217" s="1" t="s">
        <v>58</v>
      </c>
      <c r="P217" s="1" t="s">
        <v>36</v>
      </c>
      <c r="Q217" s="1" t="s">
        <v>630</v>
      </c>
      <c r="R217" s="1"/>
      <c r="S217" s="1" t="s">
        <v>683</v>
      </c>
    </row>
    <row r="218" spans="1:19" x14ac:dyDescent="0.25">
      <c r="A218" s="1" t="s">
        <v>627</v>
      </c>
      <c r="B218" s="1" t="s">
        <v>32</v>
      </c>
      <c r="C218" t="s">
        <v>684</v>
      </c>
      <c r="D218" t="b" cm="1">
        <f t="array" ref="D218">IF(Tabela13[[#This Row],[Nivel]]="N1",INDEX(Tabela13[Lider],MATCH(Tabela13[[#This Row],[Nivel]]&amp;Tabela13[[#This Row],[Liderado]],Tabela13[Nivel]&amp;Tabela13[Liderado],0)))</f>
        <v>0</v>
      </c>
      <c r="H218" t="s">
        <v>739</v>
      </c>
      <c r="I218" s="1" t="s">
        <v>143</v>
      </c>
      <c r="J218" s="1" t="s">
        <v>34</v>
      </c>
      <c r="K218" s="1" t="s">
        <v>9</v>
      </c>
      <c r="L218" s="2" t="s">
        <v>10</v>
      </c>
      <c r="M218" s="1" t="s">
        <v>11</v>
      </c>
      <c r="N218" s="2">
        <v>11382</v>
      </c>
      <c r="O218" s="1" t="s">
        <v>58</v>
      </c>
      <c r="P218" s="1" t="s">
        <v>36</v>
      </c>
      <c r="Q218" s="1" t="s">
        <v>630</v>
      </c>
      <c r="R218" s="1"/>
      <c r="S218" s="1" t="s">
        <v>683</v>
      </c>
    </row>
    <row r="219" spans="1:19" x14ac:dyDescent="0.25">
      <c r="A219" s="1" t="s">
        <v>627</v>
      </c>
      <c r="B219" s="1" t="s">
        <v>32</v>
      </c>
      <c r="C219" t="s">
        <v>684</v>
      </c>
      <c r="D219" t="b" cm="1">
        <f t="array" ref="D219">IF(Tabela13[[#This Row],[Nivel]]="N1",INDEX(Tabela13[Lider],MATCH(Tabela13[[#This Row],[Nivel]]&amp;Tabela13[[#This Row],[Liderado]],Tabela13[Nivel]&amp;Tabela13[Liderado],0)))</f>
        <v>0</v>
      </c>
      <c r="H219" t="s">
        <v>739</v>
      </c>
      <c r="I219" s="1" t="s">
        <v>157</v>
      </c>
      <c r="J219" s="1" t="s">
        <v>34</v>
      </c>
      <c r="K219" s="1" t="s">
        <v>9</v>
      </c>
      <c r="L219" s="2" t="s">
        <v>10</v>
      </c>
      <c r="M219" s="1" t="s">
        <v>11</v>
      </c>
      <c r="N219" s="2">
        <v>11382</v>
      </c>
      <c r="O219" s="1" t="s">
        <v>58</v>
      </c>
      <c r="P219" s="1" t="s">
        <v>36</v>
      </c>
      <c r="Q219" s="1" t="s">
        <v>630</v>
      </c>
      <c r="R219" s="1"/>
      <c r="S219" s="1" t="s">
        <v>683</v>
      </c>
    </row>
    <row r="220" spans="1:19" x14ac:dyDescent="0.25">
      <c r="A220" s="1" t="s">
        <v>627</v>
      </c>
      <c r="B220" s="1" t="s">
        <v>37</v>
      </c>
      <c r="C220" t="s">
        <v>686</v>
      </c>
      <c r="D220" t="b" cm="1">
        <f t="array" ref="D220">IF(Tabela13[[#This Row],[Nivel]]="N1",INDEX(Tabela13[Lider],MATCH(Tabela13[[#This Row],[Nivel]]&amp;Tabela13[[#This Row],[Liderado]],Tabela13[Nivel]&amp;Tabela13[Liderado],0)))</f>
        <v>0</v>
      </c>
      <c r="H220" t="s">
        <v>739</v>
      </c>
      <c r="I220" s="1" t="s">
        <v>163</v>
      </c>
      <c r="J220" s="1" t="s">
        <v>34</v>
      </c>
      <c r="K220" s="1" t="s">
        <v>17</v>
      </c>
      <c r="L220" s="2" t="s">
        <v>10</v>
      </c>
      <c r="M220" s="1" t="s">
        <v>11</v>
      </c>
      <c r="N220" s="2">
        <v>11383</v>
      </c>
      <c r="O220" s="1" t="s">
        <v>35</v>
      </c>
      <c r="P220" s="1" t="s">
        <v>36</v>
      </c>
      <c r="Q220" s="1" t="s">
        <v>630</v>
      </c>
      <c r="R220" s="1"/>
      <c r="S220" s="1" t="s">
        <v>685</v>
      </c>
    </row>
    <row r="221" spans="1:19" x14ac:dyDescent="0.25">
      <c r="A221" s="1" t="s">
        <v>627</v>
      </c>
      <c r="B221" s="1" t="s">
        <v>32</v>
      </c>
      <c r="C221" t="s">
        <v>684</v>
      </c>
      <c r="D221" t="b" cm="1">
        <f t="array" ref="D221">IF(Tabela13[[#This Row],[Nivel]]="N1",INDEX(Tabela13[Lider],MATCH(Tabela13[[#This Row],[Nivel]]&amp;Tabela13[[#This Row],[Liderado]],Tabela13[Nivel]&amp;Tabela13[Liderado],0)))</f>
        <v>0</v>
      </c>
      <c r="H221" t="s">
        <v>739</v>
      </c>
      <c r="I221" s="1" t="s">
        <v>165</v>
      </c>
      <c r="J221" s="1" t="s">
        <v>34</v>
      </c>
      <c r="K221" s="1" t="s">
        <v>9</v>
      </c>
      <c r="L221" s="2" t="s">
        <v>10</v>
      </c>
      <c r="M221" s="1" t="s">
        <v>11</v>
      </c>
      <c r="N221" s="2">
        <v>11377</v>
      </c>
      <c r="O221" s="1" t="s">
        <v>56</v>
      </c>
      <c r="P221" s="1" t="s">
        <v>36</v>
      </c>
      <c r="Q221" s="1" t="s">
        <v>630</v>
      </c>
      <c r="R221" s="1"/>
      <c r="S221" s="1" t="s">
        <v>683</v>
      </c>
    </row>
    <row r="222" spans="1:19" x14ac:dyDescent="0.25">
      <c r="A222" s="1" t="s">
        <v>627</v>
      </c>
      <c r="B222" s="1" t="s">
        <v>32</v>
      </c>
      <c r="C222" t="s">
        <v>684</v>
      </c>
      <c r="D222" t="b" cm="1">
        <f t="array" ref="D222">IF(Tabela13[[#This Row],[Nivel]]="N1",INDEX(Tabela13[Lider],MATCH(Tabela13[[#This Row],[Nivel]]&amp;Tabela13[[#This Row],[Liderado]],Tabela13[Nivel]&amp;Tabela13[Liderado],0)))</f>
        <v>0</v>
      </c>
      <c r="H222" t="s">
        <v>739</v>
      </c>
      <c r="I222" s="1" t="s">
        <v>187</v>
      </c>
      <c r="J222" s="1" t="s">
        <v>34</v>
      </c>
      <c r="K222" s="1" t="s">
        <v>9</v>
      </c>
      <c r="L222" s="2" t="s">
        <v>10</v>
      </c>
      <c r="M222" s="1" t="s">
        <v>11</v>
      </c>
      <c r="N222" s="2">
        <v>11377</v>
      </c>
      <c r="O222" s="1" t="s">
        <v>56</v>
      </c>
      <c r="P222" s="1" t="s">
        <v>36</v>
      </c>
      <c r="Q222" s="1" t="s">
        <v>630</v>
      </c>
      <c r="R222" s="1"/>
      <c r="S222" s="1" t="s">
        <v>683</v>
      </c>
    </row>
    <row r="223" spans="1:19" x14ac:dyDescent="0.25">
      <c r="A223" s="1" t="s">
        <v>627</v>
      </c>
      <c r="B223" s="1" t="s">
        <v>32</v>
      </c>
      <c r="C223" t="s">
        <v>684</v>
      </c>
      <c r="D223" t="b" cm="1">
        <f t="array" ref="D223">IF(Tabela13[[#This Row],[Nivel]]="N1",INDEX(Tabela13[Lider],MATCH(Tabela13[[#This Row],[Nivel]]&amp;Tabela13[[#This Row],[Liderado]],Tabela13[Nivel]&amp;Tabela13[Liderado],0)))</f>
        <v>0</v>
      </c>
      <c r="H223" t="s">
        <v>739</v>
      </c>
      <c r="I223" s="1" t="s">
        <v>188</v>
      </c>
      <c r="J223" s="1" t="s">
        <v>34</v>
      </c>
      <c r="K223" s="1" t="s">
        <v>9</v>
      </c>
      <c r="L223" s="2" t="s">
        <v>10</v>
      </c>
      <c r="M223" s="1" t="s">
        <v>11</v>
      </c>
      <c r="N223" s="2">
        <v>11377</v>
      </c>
      <c r="O223" s="1" t="s">
        <v>56</v>
      </c>
      <c r="P223" s="1" t="s">
        <v>36</v>
      </c>
      <c r="Q223" s="1" t="s">
        <v>630</v>
      </c>
      <c r="R223" s="1"/>
      <c r="S223" s="1" t="s">
        <v>683</v>
      </c>
    </row>
    <row r="224" spans="1:19" x14ac:dyDescent="0.25">
      <c r="A224" s="1" t="s">
        <v>627</v>
      </c>
      <c r="B224" s="1" t="s">
        <v>37</v>
      </c>
      <c r="C224" t="s">
        <v>686</v>
      </c>
      <c r="D224" t="b" cm="1">
        <f t="array" ref="D224">IF(Tabela13[[#This Row],[Nivel]]="N1",INDEX(Tabela13[Lider],MATCH(Tabela13[[#This Row],[Nivel]]&amp;Tabela13[[#This Row],[Liderado]],Tabela13[Nivel]&amp;Tabela13[Liderado],0)))</f>
        <v>0</v>
      </c>
      <c r="H224" t="s">
        <v>739</v>
      </c>
      <c r="I224" s="1" t="s">
        <v>190</v>
      </c>
      <c r="J224" s="1" t="s">
        <v>34</v>
      </c>
      <c r="K224" s="1" t="s">
        <v>9</v>
      </c>
      <c r="L224" s="2" t="s">
        <v>10</v>
      </c>
      <c r="M224" s="1" t="s">
        <v>11</v>
      </c>
      <c r="N224" s="2">
        <v>11385</v>
      </c>
      <c r="O224" s="1" t="s">
        <v>191</v>
      </c>
      <c r="P224" s="1" t="s">
        <v>36</v>
      </c>
      <c r="Q224" s="1" t="s">
        <v>630</v>
      </c>
      <c r="R224" s="1"/>
      <c r="S224" s="1" t="s">
        <v>685</v>
      </c>
    </row>
    <row r="225" spans="1:19" x14ac:dyDescent="0.25">
      <c r="A225" s="1" t="s">
        <v>627</v>
      </c>
      <c r="B225" s="1" t="s">
        <v>32</v>
      </c>
      <c r="C225" t="s">
        <v>684</v>
      </c>
      <c r="D225" t="b" cm="1">
        <f t="array" ref="D225">IF(Tabela13[[#This Row],[Nivel]]="N1",INDEX(Tabela13[Lider],MATCH(Tabela13[[#This Row],[Nivel]]&amp;Tabela13[[#This Row],[Liderado]],Tabela13[Nivel]&amp;Tabela13[Liderado],0)))</f>
        <v>0</v>
      </c>
      <c r="H225" t="s">
        <v>739</v>
      </c>
      <c r="I225" s="1" t="s">
        <v>195</v>
      </c>
      <c r="J225" s="1" t="s">
        <v>34</v>
      </c>
      <c r="K225" s="1" t="s">
        <v>9</v>
      </c>
      <c r="L225" s="2" t="s">
        <v>10</v>
      </c>
      <c r="M225" s="1" t="s">
        <v>11</v>
      </c>
      <c r="N225" s="2">
        <v>11377</v>
      </c>
      <c r="O225" s="1" t="s">
        <v>56</v>
      </c>
      <c r="P225" s="1" t="s">
        <v>36</v>
      </c>
      <c r="Q225" s="1" t="s">
        <v>630</v>
      </c>
      <c r="R225" s="1"/>
      <c r="S225" s="1" t="s">
        <v>683</v>
      </c>
    </row>
    <row r="226" spans="1:19" x14ac:dyDescent="0.25">
      <c r="A226" s="1" t="s">
        <v>627</v>
      </c>
      <c r="B226" s="1" t="s">
        <v>32</v>
      </c>
      <c r="C226" t="s">
        <v>684</v>
      </c>
      <c r="D226" t="b" cm="1">
        <f t="array" ref="D226">IF(Tabela13[[#This Row],[Nivel]]="N1",INDEX(Tabela13[Lider],MATCH(Tabela13[[#This Row],[Nivel]]&amp;Tabela13[[#This Row],[Liderado]],Tabela13[Nivel]&amp;Tabela13[Liderado],0)))</f>
        <v>0</v>
      </c>
      <c r="H226" t="s">
        <v>739</v>
      </c>
      <c r="I226" s="1" t="s">
        <v>198</v>
      </c>
      <c r="J226" s="1" t="s">
        <v>34</v>
      </c>
      <c r="K226" s="1" t="s">
        <v>9</v>
      </c>
      <c r="L226" s="2" t="s">
        <v>10</v>
      </c>
      <c r="M226" s="1" t="s">
        <v>11</v>
      </c>
      <c r="N226" s="2">
        <v>11377</v>
      </c>
      <c r="O226" s="1" t="s">
        <v>56</v>
      </c>
      <c r="P226" s="1" t="s">
        <v>36</v>
      </c>
      <c r="Q226" s="1" t="s">
        <v>630</v>
      </c>
      <c r="R226" s="1"/>
      <c r="S226" s="1" t="s">
        <v>683</v>
      </c>
    </row>
    <row r="227" spans="1:19" x14ac:dyDescent="0.25">
      <c r="A227" s="1" t="s">
        <v>627</v>
      </c>
      <c r="B227" s="1" t="s">
        <v>37</v>
      </c>
      <c r="C227" t="s">
        <v>686</v>
      </c>
      <c r="D227" t="b" cm="1">
        <f t="array" ref="D227">IF(Tabela13[[#This Row],[Nivel]]="N1",INDEX(Tabela13[Lider],MATCH(Tabela13[[#This Row],[Nivel]]&amp;Tabela13[[#This Row],[Liderado]],Tabela13[Nivel]&amp;Tabela13[Liderado],0)))</f>
        <v>0</v>
      </c>
      <c r="H227" t="s">
        <v>739</v>
      </c>
      <c r="I227" s="1" t="s">
        <v>200</v>
      </c>
      <c r="J227" s="1" t="s">
        <v>34</v>
      </c>
      <c r="K227" s="1" t="s">
        <v>9</v>
      </c>
      <c r="L227" s="2" t="s">
        <v>10</v>
      </c>
      <c r="M227" s="1" t="s">
        <v>11</v>
      </c>
      <c r="N227" s="2">
        <v>11383</v>
      </c>
      <c r="O227" s="1" t="s">
        <v>35</v>
      </c>
      <c r="P227" s="1" t="s">
        <v>36</v>
      </c>
      <c r="Q227" s="1" t="s">
        <v>630</v>
      </c>
      <c r="R227" s="1"/>
      <c r="S227" s="1" t="s">
        <v>685</v>
      </c>
    </row>
    <row r="228" spans="1:19" x14ac:dyDescent="0.25">
      <c r="A228" s="1" t="s">
        <v>627</v>
      </c>
      <c r="B228" s="1" t="s">
        <v>32</v>
      </c>
      <c r="C228" t="s">
        <v>684</v>
      </c>
      <c r="D228" t="b" cm="1">
        <f t="array" ref="D228">IF(Tabela13[[#This Row],[Nivel]]="N1",INDEX(Tabela13[Lider],MATCH(Tabela13[[#This Row],[Nivel]]&amp;Tabela13[[#This Row],[Liderado]],Tabela13[Nivel]&amp;Tabela13[Liderado],0)))</f>
        <v>0</v>
      </c>
      <c r="H228" t="s">
        <v>739</v>
      </c>
      <c r="I228" s="1" t="s">
        <v>201</v>
      </c>
      <c r="J228" s="1" t="s">
        <v>34</v>
      </c>
      <c r="K228" s="1" t="s">
        <v>9</v>
      </c>
      <c r="L228" s="2" t="s">
        <v>10</v>
      </c>
      <c r="M228" s="1" t="s">
        <v>11</v>
      </c>
      <c r="N228" s="2">
        <v>11377</v>
      </c>
      <c r="O228" s="1" t="s">
        <v>56</v>
      </c>
      <c r="P228" s="1" t="s">
        <v>36</v>
      </c>
      <c r="Q228" s="1" t="s">
        <v>630</v>
      </c>
      <c r="R228" s="1"/>
      <c r="S228" s="1" t="s">
        <v>683</v>
      </c>
    </row>
    <row r="229" spans="1:19" x14ac:dyDescent="0.25">
      <c r="A229" s="1" t="s">
        <v>627</v>
      </c>
      <c r="B229" s="1" t="s">
        <v>32</v>
      </c>
      <c r="C229" t="s">
        <v>684</v>
      </c>
      <c r="D229" t="b" cm="1">
        <f t="array" ref="D229">IF(Tabela13[[#This Row],[Nivel]]="N1",INDEX(Tabela13[Lider],MATCH(Tabela13[[#This Row],[Nivel]]&amp;Tabela13[[#This Row],[Liderado]],Tabela13[Nivel]&amp;Tabela13[Liderado],0)))</f>
        <v>0</v>
      </c>
      <c r="H229" t="s">
        <v>739</v>
      </c>
      <c r="I229" s="1" t="s">
        <v>204</v>
      </c>
      <c r="J229" s="1" t="s">
        <v>34</v>
      </c>
      <c r="K229" s="1" t="s">
        <v>9</v>
      </c>
      <c r="L229" s="2" t="s">
        <v>10</v>
      </c>
      <c r="M229" s="1" t="s">
        <v>11</v>
      </c>
      <c r="N229" s="2">
        <v>11377</v>
      </c>
      <c r="O229" s="1" t="s">
        <v>56</v>
      </c>
      <c r="P229" s="1" t="s">
        <v>36</v>
      </c>
      <c r="Q229" s="1" t="s">
        <v>630</v>
      </c>
      <c r="R229" s="1"/>
      <c r="S229" s="1" t="s">
        <v>683</v>
      </c>
    </row>
    <row r="230" spans="1:19" x14ac:dyDescent="0.25">
      <c r="A230" s="1" t="s">
        <v>627</v>
      </c>
      <c r="B230" s="1" t="s">
        <v>37</v>
      </c>
      <c r="C230" t="s">
        <v>686</v>
      </c>
      <c r="D230" t="b" cm="1">
        <f t="array" ref="D230">IF(Tabela13[[#This Row],[Nivel]]="N1",INDEX(Tabela13[Lider],MATCH(Tabela13[[#This Row],[Nivel]]&amp;Tabela13[[#This Row],[Liderado]],Tabela13[Nivel]&amp;Tabela13[Liderado],0)))</f>
        <v>0</v>
      </c>
      <c r="H230" t="s">
        <v>739</v>
      </c>
      <c r="I230" s="1" t="s">
        <v>207</v>
      </c>
      <c r="J230" s="1" t="s">
        <v>43</v>
      </c>
      <c r="K230" s="1" t="s">
        <v>9</v>
      </c>
      <c r="L230" s="2" t="s">
        <v>10</v>
      </c>
      <c r="M230" s="1" t="s">
        <v>11</v>
      </c>
      <c r="N230" s="2">
        <v>11380</v>
      </c>
      <c r="O230" s="1" t="s">
        <v>208</v>
      </c>
      <c r="P230" s="1" t="s">
        <v>31</v>
      </c>
      <c r="Q230" s="1" t="s">
        <v>629</v>
      </c>
      <c r="R230" s="1"/>
      <c r="S230" s="1" t="s">
        <v>685</v>
      </c>
    </row>
    <row r="231" spans="1:19" x14ac:dyDescent="0.25">
      <c r="A231" s="1" t="s">
        <v>627</v>
      </c>
      <c r="B231" s="1" t="s">
        <v>37</v>
      </c>
      <c r="C231" t="s">
        <v>686</v>
      </c>
      <c r="D231" t="b" cm="1">
        <f t="array" ref="D231">IF(Tabela13[[#This Row],[Nivel]]="N1",INDEX(Tabela13[Lider],MATCH(Tabela13[[#This Row],[Nivel]]&amp;Tabela13[[#This Row],[Liderado]],Tabela13[Nivel]&amp;Tabela13[Liderado],0)))</f>
        <v>0</v>
      </c>
      <c r="H231" t="s">
        <v>739</v>
      </c>
      <c r="I231" s="1" t="s">
        <v>209</v>
      </c>
      <c r="J231" s="1" t="s">
        <v>34</v>
      </c>
      <c r="K231" s="1" t="s">
        <v>9</v>
      </c>
      <c r="L231" s="2" t="s">
        <v>10</v>
      </c>
      <c r="M231" s="1" t="s">
        <v>11</v>
      </c>
      <c r="N231" s="2">
        <v>11383</v>
      </c>
      <c r="O231" s="1" t="s">
        <v>35</v>
      </c>
      <c r="P231" s="1" t="s">
        <v>36</v>
      </c>
      <c r="Q231" s="1" t="s">
        <v>630</v>
      </c>
      <c r="R231" s="1"/>
      <c r="S231" s="1" t="s">
        <v>685</v>
      </c>
    </row>
    <row r="232" spans="1:19" x14ac:dyDescent="0.25">
      <c r="A232" s="1" t="s">
        <v>627</v>
      </c>
      <c r="B232" s="1" t="s">
        <v>37</v>
      </c>
      <c r="C232" t="s">
        <v>686</v>
      </c>
      <c r="D232" t="b" cm="1">
        <f t="array" ref="D232">IF(Tabela13[[#This Row],[Nivel]]="N1",INDEX(Tabela13[Lider],MATCH(Tabela13[[#This Row],[Nivel]]&amp;Tabela13[[#This Row],[Liderado]],Tabela13[Nivel]&amp;Tabela13[Liderado],0)))</f>
        <v>0</v>
      </c>
      <c r="H232" t="s">
        <v>739</v>
      </c>
      <c r="I232" s="1" t="s">
        <v>210</v>
      </c>
      <c r="J232" s="1" t="s">
        <v>211</v>
      </c>
      <c r="K232" s="1" t="s">
        <v>9</v>
      </c>
      <c r="L232" s="2" t="s">
        <v>10</v>
      </c>
      <c r="M232" s="1" t="s">
        <v>11</v>
      </c>
      <c r="N232" s="2">
        <v>11337</v>
      </c>
      <c r="O232" s="1" t="s">
        <v>185</v>
      </c>
      <c r="P232" s="1" t="s">
        <v>212</v>
      </c>
      <c r="Q232" s="1" t="s">
        <v>654</v>
      </c>
      <c r="R232" s="1"/>
      <c r="S232" s="1" t="s">
        <v>685</v>
      </c>
    </row>
    <row r="233" spans="1:19" x14ac:dyDescent="0.25">
      <c r="A233" s="1" t="s">
        <v>627</v>
      </c>
      <c r="B233" s="1" t="s">
        <v>32</v>
      </c>
      <c r="C233" t="s">
        <v>684</v>
      </c>
      <c r="D233" t="b" cm="1">
        <f t="array" ref="D233">IF(Tabela13[[#This Row],[Nivel]]="N1",INDEX(Tabela13[Lider],MATCH(Tabela13[[#This Row],[Nivel]]&amp;Tabela13[[#This Row],[Liderado]],Tabela13[Nivel]&amp;Tabela13[Liderado],0)))</f>
        <v>0</v>
      </c>
      <c r="H233" t="s">
        <v>739</v>
      </c>
      <c r="I233" s="1" t="s">
        <v>213</v>
      </c>
      <c r="J233" s="1" t="s">
        <v>34</v>
      </c>
      <c r="K233" s="1" t="s">
        <v>9</v>
      </c>
      <c r="L233" s="2" t="s">
        <v>10</v>
      </c>
      <c r="M233" s="1" t="s">
        <v>11</v>
      </c>
      <c r="N233" s="2">
        <v>11377</v>
      </c>
      <c r="O233" s="1" t="s">
        <v>56</v>
      </c>
      <c r="P233" s="1" t="s">
        <v>36</v>
      </c>
      <c r="Q233" s="1" t="s">
        <v>630</v>
      </c>
      <c r="R233" s="1"/>
      <c r="S233" s="1" t="s">
        <v>683</v>
      </c>
    </row>
    <row r="234" spans="1:19" x14ac:dyDescent="0.25">
      <c r="A234" s="1" t="s">
        <v>627</v>
      </c>
      <c r="B234" s="1" t="s">
        <v>32</v>
      </c>
      <c r="C234" t="s">
        <v>684</v>
      </c>
      <c r="D234" t="b" cm="1">
        <f t="array" ref="D234">IF(Tabela13[[#This Row],[Nivel]]="N1",INDEX(Tabela13[Lider],MATCH(Tabela13[[#This Row],[Nivel]]&amp;Tabela13[[#This Row],[Liderado]],Tabela13[Nivel]&amp;Tabela13[Liderado],0)))</f>
        <v>0</v>
      </c>
      <c r="H234" t="s">
        <v>739</v>
      </c>
      <c r="I234" s="1" t="s">
        <v>214</v>
      </c>
      <c r="J234" s="1" t="s">
        <v>34</v>
      </c>
      <c r="K234" s="1" t="s">
        <v>9</v>
      </c>
      <c r="L234" s="2" t="s">
        <v>10</v>
      </c>
      <c r="M234" s="1" t="s">
        <v>11</v>
      </c>
      <c r="N234" s="2">
        <v>11382</v>
      </c>
      <c r="O234" s="1" t="s">
        <v>58</v>
      </c>
      <c r="P234" s="1" t="s">
        <v>36</v>
      </c>
      <c r="Q234" s="1" t="s">
        <v>630</v>
      </c>
      <c r="R234" s="1"/>
      <c r="S234" s="1" t="s">
        <v>683</v>
      </c>
    </row>
    <row r="235" spans="1:19" x14ac:dyDescent="0.25">
      <c r="A235" s="1" t="s">
        <v>627</v>
      </c>
      <c r="B235" s="1" t="s">
        <v>37</v>
      </c>
      <c r="C235" t="s">
        <v>686</v>
      </c>
      <c r="D235" t="b" cm="1">
        <f t="array" ref="D235">IF(Tabela13[[#This Row],[Nivel]]="N1",INDEX(Tabela13[Lider],MATCH(Tabela13[[#This Row],[Nivel]]&amp;Tabela13[[#This Row],[Liderado]],Tabela13[Nivel]&amp;Tabela13[Liderado],0)))</f>
        <v>0</v>
      </c>
      <c r="H235" t="s">
        <v>739</v>
      </c>
      <c r="I235" s="1" t="s">
        <v>219</v>
      </c>
      <c r="J235" s="1" t="s">
        <v>34</v>
      </c>
      <c r="K235" s="1" t="s">
        <v>9</v>
      </c>
      <c r="L235" s="2" t="s">
        <v>10</v>
      </c>
      <c r="M235" s="1" t="s">
        <v>11</v>
      </c>
      <c r="N235" s="2">
        <v>11385</v>
      </c>
      <c r="O235" s="1" t="s">
        <v>191</v>
      </c>
      <c r="P235" s="1" t="s">
        <v>36</v>
      </c>
      <c r="Q235" s="1" t="s">
        <v>630</v>
      </c>
      <c r="R235" s="1"/>
      <c r="S235" s="1" t="s">
        <v>685</v>
      </c>
    </row>
    <row r="236" spans="1:19" x14ac:dyDescent="0.25">
      <c r="A236" s="1" t="s">
        <v>627</v>
      </c>
      <c r="B236" s="1" t="s">
        <v>32</v>
      </c>
      <c r="C236" t="s">
        <v>684</v>
      </c>
      <c r="D236" t="b" cm="1">
        <f t="array" ref="D236">IF(Tabela13[[#This Row],[Nivel]]="N1",INDEX(Tabela13[Lider],MATCH(Tabela13[[#This Row],[Nivel]]&amp;Tabela13[[#This Row],[Liderado]],Tabela13[Nivel]&amp;Tabela13[Liderado],0)))</f>
        <v>0</v>
      </c>
      <c r="H236" t="s">
        <v>739</v>
      </c>
      <c r="I236" s="1" t="s">
        <v>229</v>
      </c>
      <c r="J236" s="1" t="s">
        <v>230</v>
      </c>
      <c r="K236" s="1" t="s">
        <v>9</v>
      </c>
      <c r="L236" s="2" t="s">
        <v>10</v>
      </c>
      <c r="M236" s="1" t="s">
        <v>11</v>
      </c>
      <c r="N236" s="2">
        <v>11360</v>
      </c>
      <c r="O236" s="1" t="s">
        <v>230</v>
      </c>
      <c r="P236" s="1" t="s">
        <v>63</v>
      </c>
      <c r="Q236" s="1" t="s">
        <v>633</v>
      </c>
      <c r="R236" s="1"/>
      <c r="S236" s="1" t="s">
        <v>683</v>
      </c>
    </row>
    <row r="237" spans="1:19" x14ac:dyDescent="0.25">
      <c r="A237" s="1" t="s">
        <v>624</v>
      </c>
      <c r="B237" s="1" t="s">
        <v>20</v>
      </c>
      <c r="C237" t="s">
        <v>680</v>
      </c>
      <c r="D237" t="b" cm="1">
        <f t="array" ref="D237">IF(Tabela13[[#This Row],[Nivel]]="N1",INDEX(Tabela13[Lider],MATCH(Tabela13[[#This Row],[Nivel]]&amp;Tabela13[[#This Row],[Liderado]],Tabela13[Nivel]&amp;Tabela13[Liderado],0)))</f>
        <v>0</v>
      </c>
      <c r="H237" t="s">
        <v>739</v>
      </c>
      <c r="I237" s="1" t="s">
        <v>238</v>
      </c>
      <c r="J237" s="1" t="s">
        <v>239</v>
      </c>
      <c r="K237" s="1" t="s">
        <v>9</v>
      </c>
      <c r="L237" s="2" t="s">
        <v>10</v>
      </c>
      <c r="M237" s="1" t="s">
        <v>11</v>
      </c>
      <c r="N237" s="2">
        <v>10107</v>
      </c>
      <c r="O237" s="1" t="s">
        <v>240</v>
      </c>
      <c r="P237" s="1" t="s">
        <v>241</v>
      </c>
      <c r="Q237" s="1" t="s">
        <v>656</v>
      </c>
      <c r="R237" s="1"/>
      <c r="S237" s="1" t="s">
        <v>679</v>
      </c>
    </row>
    <row r="238" spans="1:19" x14ac:dyDescent="0.25">
      <c r="A238" s="1" t="s">
        <v>624</v>
      </c>
      <c r="B238" s="1" t="s">
        <v>20</v>
      </c>
      <c r="C238" t="s">
        <v>680</v>
      </c>
      <c r="D238" t="b" cm="1">
        <f t="array" ref="D238">IF(Tabela13[[#This Row],[Nivel]]="N1",INDEX(Tabela13[Lider],MATCH(Tabela13[[#This Row],[Nivel]]&amp;Tabela13[[#This Row],[Liderado]],Tabela13[Nivel]&amp;Tabela13[Liderado],0)))</f>
        <v>0</v>
      </c>
      <c r="H238" t="s">
        <v>739</v>
      </c>
      <c r="I238" s="1" t="s">
        <v>242</v>
      </c>
      <c r="J238" s="1" t="s">
        <v>243</v>
      </c>
      <c r="K238" s="1" t="s">
        <v>9</v>
      </c>
      <c r="L238" s="2" t="s">
        <v>10</v>
      </c>
      <c r="M238" s="1" t="s">
        <v>11</v>
      </c>
      <c r="N238" s="2">
        <v>10107</v>
      </c>
      <c r="O238" s="1" t="s">
        <v>240</v>
      </c>
      <c r="P238" s="1" t="s">
        <v>241</v>
      </c>
      <c r="Q238" s="1" t="s">
        <v>656</v>
      </c>
      <c r="R238" s="1"/>
      <c r="S238" s="1" t="s">
        <v>679</v>
      </c>
    </row>
    <row r="239" spans="1:19" x14ac:dyDescent="0.25">
      <c r="A239" s="1" t="s">
        <v>624</v>
      </c>
      <c r="B239" s="1" t="s">
        <v>20</v>
      </c>
      <c r="C239" t="s">
        <v>680</v>
      </c>
      <c r="D239" t="b" cm="1">
        <f t="array" ref="D239">IF(Tabela13[[#This Row],[Nivel]]="N1",INDEX(Tabela13[Lider],MATCH(Tabela13[[#This Row],[Nivel]]&amp;Tabela13[[#This Row],[Liderado]],Tabela13[Nivel]&amp;Tabela13[Liderado],0)))</f>
        <v>0</v>
      </c>
      <c r="H239" t="s">
        <v>739</v>
      </c>
      <c r="I239" s="1" t="s">
        <v>244</v>
      </c>
      <c r="J239" s="1" t="s">
        <v>243</v>
      </c>
      <c r="K239" s="1" t="s">
        <v>9</v>
      </c>
      <c r="L239" s="2" t="s">
        <v>10</v>
      </c>
      <c r="M239" s="1" t="s">
        <v>11</v>
      </c>
      <c r="N239" s="2">
        <v>10107</v>
      </c>
      <c r="O239" s="1" t="s">
        <v>240</v>
      </c>
      <c r="P239" s="1" t="s">
        <v>241</v>
      </c>
      <c r="Q239" s="1" t="s">
        <v>656</v>
      </c>
      <c r="R239" s="1"/>
      <c r="S239" s="1" t="s">
        <v>679</v>
      </c>
    </row>
    <row r="240" spans="1:19" x14ac:dyDescent="0.25">
      <c r="A240" s="1" t="s">
        <v>627</v>
      </c>
      <c r="B240" s="1" t="s">
        <v>32</v>
      </c>
      <c r="C240" t="s">
        <v>684</v>
      </c>
      <c r="D240" t="b" cm="1">
        <f t="array" ref="D240">IF(Tabela13[[#This Row],[Nivel]]="N1",INDEX(Tabela13[Lider],MATCH(Tabela13[[#This Row],[Nivel]]&amp;Tabela13[[#This Row],[Liderado]],Tabela13[Nivel]&amp;Tabela13[Liderado],0)))</f>
        <v>0</v>
      </c>
      <c r="H240" t="s">
        <v>739</v>
      </c>
      <c r="I240" s="1" t="s">
        <v>250</v>
      </c>
      <c r="J240" s="1" t="s">
        <v>34</v>
      </c>
      <c r="K240" s="1" t="s">
        <v>9</v>
      </c>
      <c r="L240" s="2" t="s">
        <v>10</v>
      </c>
      <c r="M240" s="1" t="s">
        <v>11</v>
      </c>
      <c r="N240" s="2">
        <v>11382</v>
      </c>
      <c r="O240" s="1" t="s">
        <v>58</v>
      </c>
      <c r="P240" s="1" t="s">
        <v>36</v>
      </c>
      <c r="Q240" s="1" t="s">
        <v>630</v>
      </c>
      <c r="R240" s="1"/>
      <c r="S240" s="1" t="s">
        <v>683</v>
      </c>
    </row>
    <row r="241" spans="1:19" x14ac:dyDescent="0.25">
      <c r="A241" s="1" t="s">
        <v>627</v>
      </c>
      <c r="B241" s="1" t="s">
        <v>37</v>
      </c>
      <c r="C241" t="s">
        <v>686</v>
      </c>
      <c r="D241" t="b" cm="1">
        <f t="array" ref="D241">IF(Tabela13[[#This Row],[Nivel]]="N1",INDEX(Tabela13[Lider],MATCH(Tabela13[[#This Row],[Nivel]]&amp;Tabela13[[#This Row],[Liderado]],Tabela13[Nivel]&amp;Tabela13[Liderado],0)))</f>
        <v>0</v>
      </c>
      <c r="H241" t="s">
        <v>739</v>
      </c>
      <c r="I241" s="1" t="s">
        <v>251</v>
      </c>
      <c r="J241" s="1" t="s">
        <v>34</v>
      </c>
      <c r="K241" s="1" t="s">
        <v>9</v>
      </c>
      <c r="L241" s="2" t="s">
        <v>10</v>
      </c>
      <c r="M241" s="1" t="s">
        <v>11</v>
      </c>
      <c r="N241" s="2">
        <v>11383</v>
      </c>
      <c r="O241" s="1" t="s">
        <v>35</v>
      </c>
      <c r="P241" s="1" t="s">
        <v>36</v>
      </c>
      <c r="Q241" s="1" t="s">
        <v>630</v>
      </c>
      <c r="R241" s="1"/>
      <c r="S241" s="1" t="s">
        <v>685</v>
      </c>
    </row>
    <row r="242" spans="1:19" x14ac:dyDescent="0.25">
      <c r="A242" s="1" t="s">
        <v>627</v>
      </c>
      <c r="B242" s="1" t="s">
        <v>32</v>
      </c>
      <c r="C242" t="s">
        <v>684</v>
      </c>
      <c r="D242" t="b" cm="1">
        <f t="array" ref="D242">IF(Tabela13[[#This Row],[Nivel]]="N1",INDEX(Tabela13[Lider],MATCH(Tabela13[[#This Row],[Nivel]]&amp;Tabela13[[#This Row],[Liderado]],Tabela13[Nivel]&amp;Tabela13[Liderado],0)))</f>
        <v>0</v>
      </c>
      <c r="H242" t="s">
        <v>739</v>
      </c>
      <c r="I242" s="1" t="s">
        <v>257</v>
      </c>
      <c r="J242" s="1" t="s">
        <v>61</v>
      </c>
      <c r="K242" s="1" t="s">
        <v>9</v>
      </c>
      <c r="L242" s="2" t="s">
        <v>10</v>
      </c>
      <c r="M242" s="1" t="s">
        <v>11</v>
      </c>
      <c r="N242" s="2">
        <v>11336</v>
      </c>
      <c r="O242" s="1" t="s">
        <v>62</v>
      </c>
      <c r="P242" s="1" t="s">
        <v>63</v>
      </c>
      <c r="Q242" s="1" t="s">
        <v>633</v>
      </c>
      <c r="R242" s="1"/>
      <c r="S242" s="1" t="s">
        <v>683</v>
      </c>
    </row>
    <row r="243" spans="1:19" x14ac:dyDescent="0.25">
      <c r="A243" s="1" t="s">
        <v>627</v>
      </c>
      <c r="B243" s="1" t="s">
        <v>32</v>
      </c>
      <c r="C243" t="s">
        <v>684</v>
      </c>
      <c r="D243" t="b" cm="1">
        <f t="array" ref="D243">IF(Tabela13[[#This Row],[Nivel]]="N1",INDEX(Tabela13[Lider],MATCH(Tabela13[[#This Row],[Nivel]]&amp;Tabela13[[#This Row],[Liderado]],Tabela13[Nivel]&amp;Tabela13[Liderado],0)))</f>
        <v>0</v>
      </c>
      <c r="H243" t="s">
        <v>739</v>
      </c>
      <c r="I243" s="1" t="s">
        <v>258</v>
      </c>
      <c r="J243" s="1" t="s">
        <v>61</v>
      </c>
      <c r="K243" s="1" t="s">
        <v>9</v>
      </c>
      <c r="L243" s="2" t="s">
        <v>10</v>
      </c>
      <c r="M243" s="1" t="s">
        <v>11</v>
      </c>
      <c r="N243" s="2">
        <v>11336</v>
      </c>
      <c r="O243" s="1" t="s">
        <v>62</v>
      </c>
      <c r="P243" s="1" t="s">
        <v>63</v>
      </c>
      <c r="Q243" s="1" t="s">
        <v>633</v>
      </c>
      <c r="R243" s="1"/>
      <c r="S243" s="1" t="s">
        <v>683</v>
      </c>
    </row>
    <row r="244" spans="1:19" x14ac:dyDescent="0.25">
      <c r="A244" s="1" t="s">
        <v>627</v>
      </c>
      <c r="B244" s="1" t="s">
        <v>32</v>
      </c>
      <c r="C244" t="s">
        <v>684</v>
      </c>
      <c r="D244" t="b" cm="1">
        <f t="array" ref="D244">IF(Tabela13[[#This Row],[Nivel]]="N1",INDEX(Tabela13[Lider],MATCH(Tabela13[[#This Row],[Nivel]]&amp;Tabela13[[#This Row],[Liderado]],Tabela13[Nivel]&amp;Tabela13[Liderado],0)))</f>
        <v>0</v>
      </c>
      <c r="H244" t="s">
        <v>739</v>
      </c>
      <c r="I244" s="1" t="s">
        <v>260</v>
      </c>
      <c r="J244" s="1" t="s">
        <v>34</v>
      </c>
      <c r="K244" s="1" t="s">
        <v>9</v>
      </c>
      <c r="L244" s="2" t="s">
        <v>10</v>
      </c>
      <c r="M244" s="1" t="s">
        <v>11</v>
      </c>
      <c r="N244" s="2">
        <v>11382</v>
      </c>
      <c r="O244" s="1" t="s">
        <v>58</v>
      </c>
      <c r="P244" s="1" t="s">
        <v>36</v>
      </c>
      <c r="Q244" s="1" t="s">
        <v>630</v>
      </c>
      <c r="R244" s="1"/>
      <c r="S244" s="1" t="s">
        <v>683</v>
      </c>
    </row>
    <row r="245" spans="1:19" x14ac:dyDescent="0.25">
      <c r="A245" s="1" t="s">
        <v>627</v>
      </c>
      <c r="B245" s="1" t="s">
        <v>32</v>
      </c>
      <c r="C245" t="s">
        <v>684</v>
      </c>
      <c r="D245" t="b" cm="1">
        <f t="array" ref="D245">IF(Tabela13[[#This Row],[Nivel]]="N1",INDEX(Tabela13[Lider],MATCH(Tabela13[[#This Row],[Nivel]]&amp;Tabela13[[#This Row],[Liderado]],Tabela13[Nivel]&amp;Tabela13[Liderado],0)))</f>
        <v>0</v>
      </c>
      <c r="H245" t="s">
        <v>739</v>
      </c>
      <c r="I245" s="1" t="s">
        <v>299</v>
      </c>
      <c r="J245" s="1" t="s">
        <v>34</v>
      </c>
      <c r="K245" s="1" t="s">
        <v>9</v>
      </c>
      <c r="L245" s="2" t="s">
        <v>10</v>
      </c>
      <c r="M245" s="1" t="s">
        <v>11</v>
      </c>
      <c r="N245" s="2">
        <v>11382</v>
      </c>
      <c r="O245" s="1" t="s">
        <v>58</v>
      </c>
      <c r="P245" s="1" t="s">
        <v>36</v>
      </c>
      <c r="Q245" s="1" t="s">
        <v>630</v>
      </c>
      <c r="R245" s="1"/>
      <c r="S245" s="1" t="s">
        <v>683</v>
      </c>
    </row>
    <row r="246" spans="1:19" x14ac:dyDescent="0.25">
      <c r="A246" s="1" t="s">
        <v>627</v>
      </c>
      <c r="B246" s="1" t="s">
        <v>32</v>
      </c>
      <c r="C246" t="s">
        <v>684</v>
      </c>
      <c r="D246" t="b" cm="1">
        <f t="array" ref="D246">IF(Tabela13[[#This Row],[Nivel]]="N1",INDEX(Tabela13[Lider],MATCH(Tabela13[[#This Row],[Nivel]]&amp;Tabela13[[#This Row],[Liderado]],Tabela13[Nivel]&amp;Tabela13[Liderado],0)))</f>
        <v>0</v>
      </c>
      <c r="H246" t="s">
        <v>739</v>
      </c>
      <c r="I246" s="1" t="s">
        <v>316</v>
      </c>
      <c r="J246" s="1" t="s">
        <v>34</v>
      </c>
      <c r="K246" s="1" t="s">
        <v>9</v>
      </c>
      <c r="L246" s="2" t="s">
        <v>10</v>
      </c>
      <c r="M246" s="1" t="s">
        <v>11</v>
      </c>
      <c r="N246" s="2">
        <v>11382</v>
      </c>
      <c r="O246" s="1" t="s">
        <v>58</v>
      </c>
      <c r="P246" s="1" t="s">
        <v>36</v>
      </c>
      <c r="Q246" s="1" t="s">
        <v>630</v>
      </c>
      <c r="R246" s="1"/>
      <c r="S246" s="1" t="s">
        <v>683</v>
      </c>
    </row>
    <row r="247" spans="1:19" x14ac:dyDescent="0.25">
      <c r="A247" s="1" t="s">
        <v>627</v>
      </c>
      <c r="B247" s="1" t="s">
        <v>32</v>
      </c>
      <c r="C247" t="s">
        <v>684</v>
      </c>
      <c r="D247" t="b" cm="1">
        <f t="array" ref="D247">IF(Tabela13[[#This Row],[Nivel]]="N1",INDEX(Tabela13[Lider],MATCH(Tabela13[[#This Row],[Nivel]]&amp;Tabela13[[#This Row],[Liderado]],Tabela13[Nivel]&amp;Tabela13[Liderado],0)))</f>
        <v>0</v>
      </c>
      <c r="H247" t="s">
        <v>739</v>
      </c>
      <c r="I247" s="1" t="s">
        <v>323</v>
      </c>
      <c r="J247" s="1" t="s">
        <v>61</v>
      </c>
      <c r="K247" s="1" t="s">
        <v>9</v>
      </c>
      <c r="L247" s="2" t="s">
        <v>10</v>
      </c>
      <c r="M247" s="1" t="s">
        <v>11</v>
      </c>
      <c r="N247" s="2">
        <v>11336</v>
      </c>
      <c r="O247" s="1" t="s">
        <v>62</v>
      </c>
      <c r="P247" s="1" t="s">
        <v>63</v>
      </c>
      <c r="Q247" s="1" t="s">
        <v>633</v>
      </c>
      <c r="R247" s="1"/>
      <c r="S247" s="1" t="s">
        <v>683</v>
      </c>
    </row>
    <row r="248" spans="1:19" x14ac:dyDescent="0.25">
      <c r="A248" s="1" t="s">
        <v>627</v>
      </c>
      <c r="B248" s="1" t="s">
        <v>32</v>
      </c>
      <c r="C248" t="s">
        <v>684</v>
      </c>
      <c r="D248" t="b" cm="1">
        <f t="array" ref="D248">IF(Tabela13[[#This Row],[Nivel]]="N1",INDEX(Tabela13[Lider],MATCH(Tabela13[[#This Row],[Nivel]]&amp;Tabela13[[#This Row],[Liderado]],Tabela13[Nivel]&amp;Tabela13[Liderado],0)))</f>
        <v>0</v>
      </c>
      <c r="H248" t="s">
        <v>739</v>
      </c>
      <c r="I248" s="1" t="s">
        <v>325</v>
      </c>
      <c r="J248" s="1" t="s">
        <v>34</v>
      </c>
      <c r="K248" s="1" t="s">
        <v>9</v>
      </c>
      <c r="L248" s="2" t="s">
        <v>10</v>
      </c>
      <c r="M248" s="1" t="s">
        <v>11</v>
      </c>
      <c r="N248" s="2">
        <v>11377</v>
      </c>
      <c r="O248" s="1" t="s">
        <v>56</v>
      </c>
      <c r="P248" s="1" t="s">
        <v>36</v>
      </c>
      <c r="Q248" s="1" t="s">
        <v>630</v>
      </c>
      <c r="R248" s="1"/>
      <c r="S248" s="1" t="s">
        <v>683</v>
      </c>
    </row>
    <row r="249" spans="1:19" x14ac:dyDescent="0.25">
      <c r="A249" s="1" t="s">
        <v>627</v>
      </c>
      <c r="B249" s="1" t="s">
        <v>32</v>
      </c>
      <c r="C249" t="s">
        <v>684</v>
      </c>
      <c r="D249" t="b" cm="1">
        <f t="array" ref="D249">IF(Tabela13[[#This Row],[Nivel]]="N1",INDEX(Tabela13[Lider],MATCH(Tabela13[[#This Row],[Nivel]]&amp;Tabela13[[#This Row],[Liderado]],Tabela13[Nivel]&amp;Tabela13[Liderado],0)))</f>
        <v>0</v>
      </c>
      <c r="H249" t="s">
        <v>739</v>
      </c>
      <c r="I249" s="1" t="s">
        <v>356</v>
      </c>
      <c r="J249" s="1" t="s">
        <v>34</v>
      </c>
      <c r="K249" s="1" t="s">
        <v>9</v>
      </c>
      <c r="L249" s="2" t="s">
        <v>10</v>
      </c>
      <c r="M249" s="1" t="s">
        <v>11</v>
      </c>
      <c r="N249" s="2">
        <v>11382</v>
      </c>
      <c r="O249" s="1" t="s">
        <v>58</v>
      </c>
      <c r="P249" s="1" t="s">
        <v>36</v>
      </c>
      <c r="Q249" s="1" t="s">
        <v>630</v>
      </c>
      <c r="R249" s="1"/>
      <c r="S249" s="1" t="s">
        <v>683</v>
      </c>
    </row>
    <row r="250" spans="1:19" x14ac:dyDescent="0.25">
      <c r="A250" s="1" t="s">
        <v>627</v>
      </c>
      <c r="B250" s="1" t="s">
        <v>32</v>
      </c>
      <c r="C250" t="s">
        <v>684</v>
      </c>
      <c r="D250" t="b" cm="1">
        <f t="array" ref="D250">IF(Tabela13[[#This Row],[Nivel]]="N1",INDEX(Tabela13[Lider],MATCH(Tabela13[[#This Row],[Nivel]]&amp;Tabela13[[#This Row],[Liderado]],Tabela13[Nivel]&amp;Tabela13[Liderado],0)))</f>
        <v>0</v>
      </c>
      <c r="H250" t="s">
        <v>739</v>
      </c>
      <c r="I250" s="1" t="s">
        <v>364</v>
      </c>
      <c r="J250" s="1" t="s">
        <v>34</v>
      </c>
      <c r="K250" s="1" t="s">
        <v>9</v>
      </c>
      <c r="L250" s="2" t="s">
        <v>10</v>
      </c>
      <c r="M250" s="1" t="s">
        <v>11</v>
      </c>
      <c r="N250" s="2">
        <v>11377</v>
      </c>
      <c r="O250" s="1" t="s">
        <v>56</v>
      </c>
      <c r="P250" s="1" t="s">
        <v>36</v>
      </c>
      <c r="Q250" s="1" t="s">
        <v>630</v>
      </c>
      <c r="R250" s="1"/>
      <c r="S250" s="1" t="s">
        <v>683</v>
      </c>
    </row>
    <row r="251" spans="1:19" x14ac:dyDescent="0.25">
      <c r="A251" s="1" t="s">
        <v>627</v>
      </c>
      <c r="B251" s="1" t="s">
        <v>37</v>
      </c>
      <c r="C251" t="s">
        <v>686</v>
      </c>
      <c r="D251" t="b" cm="1">
        <f t="array" ref="D251">IF(Tabela13[[#This Row],[Nivel]]="N1",INDEX(Tabela13[Lider],MATCH(Tabela13[[#This Row],[Nivel]]&amp;Tabela13[[#This Row],[Liderado]],Tabela13[Nivel]&amp;Tabela13[Liderado],0)))</f>
        <v>0</v>
      </c>
      <c r="H251" t="s">
        <v>739</v>
      </c>
      <c r="I251" s="1" t="s">
        <v>369</v>
      </c>
      <c r="J251" s="1" t="s">
        <v>34</v>
      </c>
      <c r="K251" s="1" t="s">
        <v>9</v>
      </c>
      <c r="L251" s="2" t="s">
        <v>10</v>
      </c>
      <c r="M251" s="1" t="s">
        <v>11</v>
      </c>
      <c r="N251" s="2">
        <v>11383</v>
      </c>
      <c r="O251" s="1" t="s">
        <v>35</v>
      </c>
      <c r="P251" s="1" t="s">
        <v>36</v>
      </c>
      <c r="Q251" s="1" t="s">
        <v>630</v>
      </c>
      <c r="R251" s="1"/>
      <c r="S251" s="1" t="s">
        <v>685</v>
      </c>
    </row>
    <row r="252" spans="1:19" x14ac:dyDescent="0.25">
      <c r="A252" s="1" t="s">
        <v>627</v>
      </c>
      <c r="B252" s="1" t="s">
        <v>37</v>
      </c>
      <c r="C252" t="s">
        <v>686</v>
      </c>
      <c r="D252" t="b" cm="1">
        <f t="array" ref="D252">IF(Tabela13[[#This Row],[Nivel]]="N1",INDEX(Tabela13[Lider],MATCH(Tabela13[[#This Row],[Nivel]]&amp;Tabela13[[#This Row],[Liderado]],Tabela13[Nivel]&amp;Tabela13[Liderado],0)))</f>
        <v>0</v>
      </c>
      <c r="H252" t="s">
        <v>739</v>
      </c>
      <c r="I252" s="1" t="s">
        <v>372</v>
      </c>
      <c r="J252" s="1" t="s">
        <v>34</v>
      </c>
      <c r="K252" s="1" t="s">
        <v>9</v>
      </c>
      <c r="L252" s="2" t="s">
        <v>10</v>
      </c>
      <c r="M252" s="1" t="s">
        <v>11</v>
      </c>
      <c r="N252" s="2">
        <v>11383</v>
      </c>
      <c r="O252" s="1" t="s">
        <v>35</v>
      </c>
      <c r="P252" s="1" t="s">
        <v>36</v>
      </c>
      <c r="Q252" s="1" t="s">
        <v>630</v>
      </c>
      <c r="R252" s="1"/>
      <c r="S252" s="1" t="s">
        <v>685</v>
      </c>
    </row>
    <row r="253" spans="1:19" x14ac:dyDescent="0.25">
      <c r="A253" s="1" t="s">
        <v>627</v>
      </c>
      <c r="B253" s="1" t="s">
        <v>32</v>
      </c>
      <c r="C253" t="s">
        <v>684</v>
      </c>
      <c r="D253" t="b" cm="1">
        <f t="array" ref="D253">IF(Tabela13[[#This Row],[Nivel]]="N1",INDEX(Tabela13[Lider],MATCH(Tabela13[[#This Row],[Nivel]]&amp;Tabela13[[#This Row],[Liderado]],Tabela13[Nivel]&amp;Tabela13[Liderado],0)))</f>
        <v>0</v>
      </c>
      <c r="H253" t="s">
        <v>739</v>
      </c>
      <c r="I253" s="1" t="s">
        <v>374</v>
      </c>
      <c r="J253" s="1" t="s">
        <v>34</v>
      </c>
      <c r="K253" s="1" t="s">
        <v>105</v>
      </c>
      <c r="L253" s="2" t="s">
        <v>10</v>
      </c>
      <c r="M253" s="1" t="s">
        <v>11</v>
      </c>
      <c r="N253" s="2">
        <v>11377</v>
      </c>
      <c r="O253" s="1" t="s">
        <v>56</v>
      </c>
      <c r="P253" s="1" t="s">
        <v>36</v>
      </c>
      <c r="Q253" s="1" t="s">
        <v>630</v>
      </c>
      <c r="R253" s="1"/>
      <c r="S253" s="1" t="s">
        <v>683</v>
      </c>
    </row>
    <row r="254" spans="1:19" x14ac:dyDescent="0.25">
      <c r="A254" s="1" t="s">
        <v>627</v>
      </c>
      <c r="B254" s="1" t="s">
        <v>32</v>
      </c>
      <c r="C254" t="s">
        <v>684</v>
      </c>
      <c r="D254" t="b" cm="1">
        <f t="array" ref="D254">IF(Tabela13[[#This Row],[Nivel]]="N1",INDEX(Tabela13[Lider],MATCH(Tabela13[[#This Row],[Nivel]]&amp;Tabela13[[#This Row],[Liderado]],Tabela13[Nivel]&amp;Tabela13[Liderado],0)))</f>
        <v>0</v>
      </c>
      <c r="H254" t="s">
        <v>739</v>
      </c>
      <c r="I254" s="1" t="s">
        <v>375</v>
      </c>
      <c r="J254" s="1" t="s">
        <v>34</v>
      </c>
      <c r="K254" s="1" t="s">
        <v>9</v>
      </c>
      <c r="L254" s="2" t="s">
        <v>10</v>
      </c>
      <c r="M254" s="1" t="s">
        <v>11</v>
      </c>
      <c r="N254" s="2">
        <v>11377</v>
      </c>
      <c r="O254" s="1" t="s">
        <v>56</v>
      </c>
      <c r="P254" s="1" t="s">
        <v>36</v>
      </c>
      <c r="Q254" s="1" t="s">
        <v>630</v>
      </c>
      <c r="R254" s="1"/>
      <c r="S254" s="1" t="s">
        <v>683</v>
      </c>
    </row>
    <row r="255" spans="1:19" x14ac:dyDescent="0.25">
      <c r="A255" s="1" t="s">
        <v>627</v>
      </c>
      <c r="B255" s="1" t="s">
        <v>37</v>
      </c>
      <c r="C255" t="s">
        <v>686</v>
      </c>
      <c r="D255" t="b" cm="1">
        <f t="array" ref="D255">IF(Tabela13[[#This Row],[Nivel]]="N1",INDEX(Tabela13[Lider],MATCH(Tabela13[[#This Row],[Nivel]]&amp;Tabela13[[#This Row],[Liderado]],Tabela13[Nivel]&amp;Tabela13[Liderado],0)))</f>
        <v>0</v>
      </c>
      <c r="H255" t="s">
        <v>739</v>
      </c>
      <c r="I255" s="1" t="s">
        <v>376</v>
      </c>
      <c r="J255" s="1" t="s">
        <v>34</v>
      </c>
      <c r="K255" s="1" t="s">
        <v>9</v>
      </c>
      <c r="L255" s="2" t="s">
        <v>10</v>
      </c>
      <c r="M255" s="1" t="s">
        <v>11</v>
      </c>
      <c r="N255" s="2">
        <v>11385</v>
      </c>
      <c r="O255" s="1" t="s">
        <v>191</v>
      </c>
      <c r="P255" s="1" t="s">
        <v>36</v>
      </c>
      <c r="Q255" s="1" t="s">
        <v>630</v>
      </c>
      <c r="R255" s="1"/>
      <c r="S255" s="1" t="s">
        <v>685</v>
      </c>
    </row>
    <row r="256" spans="1:19" x14ac:dyDescent="0.25">
      <c r="A256" s="1" t="s">
        <v>627</v>
      </c>
      <c r="B256" s="1" t="s">
        <v>32</v>
      </c>
      <c r="C256" t="s">
        <v>684</v>
      </c>
      <c r="D256" t="b" cm="1">
        <f t="array" ref="D256">IF(Tabela13[[#This Row],[Nivel]]="N1",INDEX(Tabela13[Lider],MATCH(Tabela13[[#This Row],[Nivel]]&amp;Tabela13[[#This Row],[Liderado]],Tabela13[Nivel]&amp;Tabela13[Liderado],0)))</f>
        <v>0</v>
      </c>
      <c r="H256" t="s">
        <v>739</v>
      </c>
      <c r="I256" s="1" t="s">
        <v>402</v>
      </c>
      <c r="J256" s="1" t="s">
        <v>34</v>
      </c>
      <c r="K256" s="1" t="s">
        <v>9</v>
      </c>
      <c r="L256" s="2" t="s">
        <v>10</v>
      </c>
      <c r="M256" s="1" t="s">
        <v>11</v>
      </c>
      <c r="N256" s="2">
        <v>11377</v>
      </c>
      <c r="O256" s="1" t="s">
        <v>56</v>
      </c>
      <c r="P256" s="1" t="s">
        <v>36</v>
      </c>
      <c r="Q256" s="1" t="s">
        <v>630</v>
      </c>
      <c r="R256" s="1"/>
      <c r="S256" s="1" t="s">
        <v>683</v>
      </c>
    </row>
    <row r="257" spans="1:19" x14ac:dyDescent="0.25">
      <c r="A257" s="1" t="s">
        <v>627</v>
      </c>
      <c r="B257" s="1" t="s">
        <v>32</v>
      </c>
      <c r="C257" t="s">
        <v>684</v>
      </c>
      <c r="D257" t="b" cm="1">
        <f t="array" ref="D257">IF(Tabela13[[#This Row],[Nivel]]="N1",INDEX(Tabela13[Lider],MATCH(Tabela13[[#This Row],[Nivel]]&amp;Tabela13[[#This Row],[Liderado]],Tabela13[Nivel]&amp;Tabela13[Liderado],0)))</f>
        <v>0</v>
      </c>
      <c r="H257" t="s">
        <v>739</v>
      </c>
      <c r="I257" s="1" t="s">
        <v>446</v>
      </c>
      <c r="J257" s="1" t="s">
        <v>34</v>
      </c>
      <c r="K257" s="1" t="s">
        <v>9</v>
      </c>
      <c r="L257" s="2" t="s">
        <v>10</v>
      </c>
      <c r="M257" s="1" t="s">
        <v>11</v>
      </c>
      <c r="N257" s="2">
        <v>11377</v>
      </c>
      <c r="O257" s="1" t="s">
        <v>56</v>
      </c>
      <c r="P257" s="1" t="s">
        <v>36</v>
      </c>
      <c r="Q257" s="1" t="s">
        <v>630</v>
      </c>
      <c r="R257" s="1"/>
      <c r="S257" s="1" t="s">
        <v>683</v>
      </c>
    </row>
    <row r="258" spans="1:19" x14ac:dyDescent="0.25">
      <c r="A258" s="1" t="s">
        <v>627</v>
      </c>
      <c r="B258" s="1" t="s">
        <v>37</v>
      </c>
      <c r="C258" t="s">
        <v>686</v>
      </c>
      <c r="D258" t="b" cm="1">
        <f t="array" ref="D258">IF(Tabela13[[#This Row],[Nivel]]="N1",INDEX(Tabela13[Lider],MATCH(Tabela13[[#This Row],[Nivel]]&amp;Tabela13[[#This Row],[Liderado]],Tabela13[Nivel]&amp;Tabela13[Liderado],0)))</f>
        <v>0</v>
      </c>
      <c r="H258" t="s">
        <v>739</v>
      </c>
      <c r="I258" s="1" t="s">
        <v>457</v>
      </c>
      <c r="J258" s="1" t="s">
        <v>34</v>
      </c>
      <c r="K258" s="1" t="s">
        <v>105</v>
      </c>
      <c r="L258" s="2" t="s">
        <v>10</v>
      </c>
      <c r="M258" s="1" t="s">
        <v>11</v>
      </c>
      <c r="N258" s="2">
        <v>11383</v>
      </c>
      <c r="O258" s="1" t="s">
        <v>35</v>
      </c>
      <c r="P258" s="1" t="s">
        <v>36</v>
      </c>
      <c r="Q258" s="1" t="s">
        <v>630</v>
      </c>
      <c r="R258" s="1"/>
      <c r="S258" s="1" t="s">
        <v>685</v>
      </c>
    </row>
    <row r="259" spans="1:19" x14ac:dyDescent="0.25">
      <c r="A259" s="1" t="s">
        <v>627</v>
      </c>
      <c r="B259" s="1" t="s">
        <v>37</v>
      </c>
      <c r="C259" t="s">
        <v>686</v>
      </c>
      <c r="D259" t="b" cm="1">
        <f t="array" ref="D259">IF(Tabela13[[#This Row],[Nivel]]="N1",INDEX(Tabela13[Lider],MATCH(Tabela13[[#This Row],[Nivel]]&amp;Tabela13[[#This Row],[Liderado]],Tabela13[Nivel]&amp;Tabela13[Liderado],0)))</f>
        <v>0</v>
      </c>
      <c r="H259" t="s">
        <v>739</v>
      </c>
      <c r="I259" s="1" t="s">
        <v>458</v>
      </c>
      <c r="J259" s="1" t="s">
        <v>43</v>
      </c>
      <c r="K259" s="1" t="s">
        <v>9</v>
      </c>
      <c r="L259" s="2" t="s">
        <v>10</v>
      </c>
      <c r="M259" s="1" t="s">
        <v>11</v>
      </c>
      <c r="N259" s="2">
        <v>11379</v>
      </c>
      <c r="O259" s="1" t="s">
        <v>459</v>
      </c>
      <c r="P259" s="1" t="s">
        <v>31</v>
      </c>
      <c r="Q259" s="1" t="s">
        <v>629</v>
      </c>
      <c r="R259" s="1"/>
      <c r="S259" s="1" t="s">
        <v>685</v>
      </c>
    </row>
    <row r="260" spans="1:19" x14ac:dyDescent="0.25">
      <c r="A260" s="1" t="s">
        <v>627</v>
      </c>
      <c r="B260" s="1" t="s">
        <v>37</v>
      </c>
      <c r="C260" t="s">
        <v>686</v>
      </c>
      <c r="D260" t="b" cm="1">
        <f t="array" ref="D260">IF(Tabela13[[#This Row],[Nivel]]="N1",INDEX(Tabela13[Lider],MATCH(Tabela13[[#This Row],[Nivel]]&amp;Tabela13[[#This Row],[Liderado]],Tabela13[Nivel]&amp;Tabela13[Liderado],0)))</f>
        <v>0</v>
      </c>
      <c r="H260" t="s">
        <v>739</v>
      </c>
      <c r="I260" s="1" t="s">
        <v>462</v>
      </c>
      <c r="J260" s="1" t="s">
        <v>34</v>
      </c>
      <c r="K260" s="1" t="s">
        <v>9</v>
      </c>
      <c r="L260" s="2" t="s">
        <v>10</v>
      </c>
      <c r="M260" s="1" t="s">
        <v>11</v>
      </c>
      <c r="N260" s="2">
        <v>11383</v>
      </c>
      <c r="O260" s="1" t="s">
        <v>35</v>
      </c>
      <c r="P260" s="1" t="s">
        <v>36</v>
      </c>
      <c r="Q260" s="1" t="s">
        <v>630</v>
      </c>
      <c r="R260" s="1"/>
      <c r="S260" s="1" t="s">
        <v>685</v>
      </c>
    </row>
    <row r="261" spans="1:19" x14ac:dyDescent="0.25">
      <c r="A261" s="1" t="s">
        <v>627</v>
      </c>
      <c r="B261" s="1" t="s">
        <v>32</v>
      </c>
      <c r="C261" t="s">
        <v>684</v>
      </c>
      <c r="D261" t="b" cm="1">
        <f t="array" ref="D261">IF(Tabela13[[#This Row],[Nivel]]="N1",INDEX(Tabela13[Lider],MATCH(Tabela13[[#This Row],[Nivel]]&amp;Tabela13[[#This Row],[Liderado]],Tabela13[Nivel]&amp;Tabela13[Liderado],0)))</f>
        <v>0</v>
      </c>
      <c r="H261" t="s">
        <v>739</v>
      </c>
      <c r="I261" s="1" t="s">
        <v>476</v>
      </c>
      <c r="J261" s="1" t="s">
        <v>34</v>
      </c>
      <c r="K261" s="1" t="s">
        <v>9</v>
      </c>
      <c r="L261" s="2" t="s">
        <v>10</v>
      </c>
      <c r="M261" s="1" t="s">
        <v>11</v>
      </c>
      <c r="N261" s="2">
        <v>11377</v>
      </c>
      <c r="O261" s="1" t="s">
        <v>56</v>
      </c>
      <c r="P261" s="1" t="s">
        <v>36</v>
      </c>
      <c r="Q261" s="1" t="s">
        <v>630</v>
      </c>
      <c r="R261" s="1"/>
      <c r="S261" s="1" t="s">
        <v>683</v>
      </c>
    </row>
    <row r="262" spans="1:19" x14ac:dyDescent="0.25">
      <c r="A262" s="1" t="s">
        <v>627</v>
      </c>
      <c r="B262" s="1" t="s">
        <v>32</v>
      </c>
      <c r="C262" t="s">
        <v>684</v>
      </c>
      <c r="D262" t="b" cm="1">
        <f t="array" ref="D262">IF(Tabela13[[#This Row],[Nivel]]="N1",INDEX(Tabela13[Lider],MATCH(Tabela13[[#This Row],[Nivel]]&amp;Tabela13[[#This Row],[Liderado]],Tabela13[Nivel]&amp;Tabela13[Liderado],0)))</f>
        <v>0</v>
      </c>
      <c r="H262" t="s">
        <v>739</v>
      </c>
      <c r="I262" s="1" t="s">
        <v>483</v>
      </c>
      <c r="J262" s="1" t="s">
        <v>34</v>
      </c>
      <c r="K262" s="1" t="s">
        <v>9</v>
      </c>
      <c r="L262" s="2" t="s">
        <v>10</v>
      </c>
      <c r="M262" s="1" t="s">
        <v>11</v>
      </c>
      <c r="N262" s="2">
        <v>11377</v>
      </c>
      <c r="O262" s="1" t="s">
        <v>56</v>
      </c>
      <c r="P262" s="1" t="s">
        <v>36</v>
      </c>
      <c r="Q262" s="1" t="s">
        <v>630</v>
      </c>
      <c r="R262" s="1"/>
      <c r="S262" s="1" t="s">
        <v>683</v>
      </c>
    </row>
    <row r="263" spans="1:19" x14ac:dyDescent="0.25">
      <c r="A263" s="1" t="s">
        <v>627</v>
      </c>
      <c r="B263" s="1" t="s">
        <v>37</v>
      </c>
      <c r="C263" t="s">
        <v>686</v>
      </c>
      <c r="D263" t="b" cm="1">
        <f t="array" ref="D263">IF(Tabela13[[#This Row],[Nivel]]="N1",INDEX(Tabela13[Lider],MATCH(Tabela13[[#This Row],[Nivel]]&amp;Tabela13[[#This Row],[Liderado]],Tabela13[Nivel]&amp;Tabela13[Liderado],0)))</f>
        <v>0</v>
      </c>
      <c r="H263" t="s">
        <v>739</v>
      </c>
      <c r="I263" s="1" t="s">
        <v>490</v>
      </c>
      <c r="J263" s="1" t="s">
        <v>29</v>
      </c>
      <c r="K263" s="1" t="s">
        <v>9</v>
      </c>
      <c r="L263" s="2" t="s">
        <v>10</v>
      </c>
      <c r="M263" s="1" t="s">
        <v>11</v>
      </c>
      <c r="N263" s="2">
        <v>11372</v>
      </c>
      <c r="O263" s="1" t="s">
        <v>491</v>
      </c>
      <c r="P263" s="1" t="s">
        <v>31</v>
      </c>
      <c r="Q263" s="1" t="s">
        <v>629</v>
      </c>
      <c r="R263" s="1"/>
      <c r="S263" s="1" t="s">
        <v>685</v>
      </c>
    </row>
    <row r="264" spans="1:19" x14ac:dyDescent="0.25">
      <c r="A264" s="1" t="s">
        <v>627</v>
      </c>
      <c r="B264" s="1" t="s">
        <v>37</v>
      </c>
      <c r="C264" t="s">
        <v>686</v>
      </c>
      <c r="D264" t="b" cm="1">
        <f t="array" ref="D264">IF(Tabela13[[#This Row],[Nivel]]="N1",INDEX(Tabela13[Lider],MATCH(Tabela13[[#This Row],[Nivel]]&amp;Tabela13[[#This Row],[Liderado]],Tabela13[Nivel]&amp;Tabela13[Liderado],0)))</f>
        <v>0</v>
      </c>
      <c r="H264" t="s">
        <v>739</v>
      </c>
      <c r="I264" s="1" t="s">
        <v>545</v>
      </c>
      <c r="J264" s="1" t="s">
        <v>211</v>
      </c>
      <c r="K264" s="1" t="s">
        <v>105</v>
      </c>
      <c r="L264" s="2" t="s">
        <v>10</v>
      </c>
      <c r="M264" s="1" t="s">
        <v>11</v>
      </c>
      <c r="N264" s="2">
        <v>11337</v>
      </c>
      <c r="O264" s="1" t="s">
        <v>185</v>
      </c>
      <c r="P264" s="1" t="s">
        <v>212</v>
      </c>
      <c r="Q264" s="1" t="s">
        <v>654</v>
      </c>
      <c r="R264" s="1"/>
      <c r="S264" s="1" t="s">
        <v>685</v>
      </c>
    </row>
    <row r="265" spans="1:19" x14ac:dyDescent="0.25">
      <c r="A265" s="1" t="s">
        <v>627</v>
      </c>
      <c r="B265" s="1" t="s">
        <v>37</v>
      </c>
      <c r="C265" t="s">
        <v>686</v>
      </c>
      <c r="D265" t="b" cm="1">
        <f t="array" ref="D265">IF(Tabela13[[#This Row],[Nivel]]="N1",INDEX(Tabela13[Lider],MATCH(Tabela13[[#This Row],[Nivel]]&amp;Tabela13[[#This Row],[Liderado]],Tabela13[Nivel]&amp;Tabela13[Liderado],0)))</f>
        <v>0</v>
      </c>
      <c r="H265" t="s">
        <v>739</v>
      </c>
      <c r="I265" s="1" t="s">
        <v>604</v>
      </c>
      <c r="J265" s="1" t="s">
        <v>34</v>
      </c>
      <c r="K265" s="1" t="s">
        <v>9</v>
      </c>
      <c r="L265" s="2" t="s">
        <v>10</v>
      </c>
      <c r="M265" s="1" t="s">
        <v>11</v>
      </c>
      <c r="N265" s="2">
        <v>11383</v>
      </c>
      <c r="O265" s="1" t="s">
        <v>35</v>
      </c>
      <c r="P265" s="1" t="s">
        <v>36</v>
      </c>
      <c r="Q265" s="1" t="s">
        <v>630</v>
      </c>
      <c r="R265" s="1"/>
      <c r="S265" s="1" t="s">
        <v>685</v>
      </c>
    </row>
    <row r="266" spans="1:19" x14ac:dyDescent="0.25">
      <c r="A266" s="1" t="s">
        <v>624</v>
      </c>
      <c r="B266" s="1" t="s">
        <v>49</v>
      </c>
      <c r="C266" t="s">
        <v>691</v>
      </c>
      <c r="D266" t="b" cm="1">
        <f t="array" ref="D266">IF(Tabela13[[#This Row],[Nivel]]="N1",INDEX(Tabela13[Lider],MATCH(Tabela13[[#This Row],[Nivel]]&amp;Tabela13[[#This Row],[Liderado]],Tabela13[Nivel]&amp;Tabela13[Liderado],0)))</f>
        <v>0</v>
      </c>
      <c r="H266" t="s">
        <v>740</v>
      </c>
      <c r="I266" s="1" t="s">
        <v>45</v>
      </c>
      <c r="J266" s="1" t="s">
        <v>46</v>
      </c>
      <c r="K266" s="1" t="s">
        <v>17</v>
      </c>
      <c r="L266" s="2" t="s">
        <v>10</v>
      </c>
      <c r="M266" s="1" t="s">
        <v>11</v>
      </c>
      <c r="N266" s="2">
        <v>10114</v>
      </c>
      <c r="O266" s="1" t="s">
        <v>47</v>
      </c>
      <c r="P266" s="1" t="s">
        <v>48</v>
      </c>
      <c r="Q266" s="1" t="s">
        <v>631</v>
      </c>
      <c r="R266" s="1"/>
      <c r="S266" s="1" t="s">
        <v>690</v>
      </c>
    </row>
    <row r="267" spans="1:19" x14ac:dyDescent="0.25">
      <c r="A267" s="1" t="s">
        <v>638</v>
      </c>
      <c r="B267" s="1" t="s">
        <v>72</v>
      </c>
      <c r="C267" t="s">
        <v>696</v>
      </c>
      <c r="D267" t="b" cm="1">
        <f t="array" ref="D267">IF(Tabela13[[#This Row],[Nivel]]="N1",INDEX(Tabela13[Lider],MATCH(Tabela13[[#This Row],[Nivel]]&amp;Tabela13[[#This Row],[Liderado]],Tabela13[Nivel]&amp;Tabela13[Liderado],0)))</f>
        <v>0</v>
      </c>
      <c r="H267" t="s">
        <v>740</v>
      </c>
      <c r="I267" s="1" t="s">
        <v>88</v>
      </c>
      <c r="J267" s="1" t="s">
        <v>89</v>
      </c>
      <c r="K267" s="1" t="s">
        <v>17</v>
      </c>
      <c r="L267" s="2" t="s">
        <v>10</v>
      </c>
      <c r="M267" s="1" t="s">
        <v>11</v>
      </c>
      <c r="N267" s="2">
        <v>10213</v>
      </c>
      <c r="O267" s="1" t="s">
        <v>69</v>
      </c>
      <c r="P267" s="1" t="s">
        <v>90</v>
      </c>
      <c r="Q267" s="1" t="s">
        <v>635</v>
      </c>
      <c r="R267" s="1"/>
      <c r="S267" s="1" t="s">
        <v>694</v>
      </c>
    </row>
    <row r="268" spans="1:19" x14ac:dyDescent="0.25">
      <c r="A268" s="1" t="s">
        <v>624</v>
      </c>
      <c r="B268" s="1" t="s">
        <v>72</v>
      </c>
      <c r="C268" t="s">
        <v>696</v>
      </c>
      <c r="D268" t="b" cm="1">
        <f t="array" ref="D268">IF(Tabela13[[#This Row],[Nivel]]="N1",INDEX(Tabela13[Lider],MATCH(Tabela13[[#This Row],[Nivel]]&amp;Tabela13[[#This Row],[Liderado]],Tabela13[Nivel]&amp;Tabela13[Liderado],0)))</f>
        <v>0</v>
      </c>
      <c r="H268" t="s">
        <v>740</v>
      </c>
      <c r="I268" s="1" t="s">
        <v>124</v>
      </c>
      <c r="J268" s="1" t="s">
        <v>89</v>
      </c>
      <c r="K268" s="1" t="s">
        <v>17</v>
      </c>
      <c r="L268" s="2" t="s">
        <v>10</v>
      </c>
      <c r="M268" s="1" t="s">
        <v>11</v>
      </c>
      <c r="N268" s="2">
        <v>10113</v>
      </c>
      <c r="O268" s="1" t="s">
        <v>69</v>
      </c>
      <c r="P268" s="1" t="s">
        <v>70</v>
      </c>
      <c r="Q268" s="1" t="s">
        <v>635</v>
      </c>
      <c r="R268" s="1"/>
      <c r="S268" s="1" t="s">
        <v>694</v>
      </c>
    </row>
    <row r="269" spans="1:19" x14ac:dyDescent="0.25">
      <c r="A269" s="1" t="s">
        <v>624</v>
      </c>
      <c r="B269" s="1" t="s">
        <v>151</v>
      </c>
      <c r="C269" t="s">
        <v>701</v>
      </c>
      <c r="D269" t="b" cm="1">
        <f t="array" ref="D269">IF(Tabela13[[#This Row],[Nivel]]="N1",INDEX(Tabela13[Lider],MATCH(Tabela13[[#This Row],[Nivel]]&amp;Tabela13[[#This Row],[Liderado]],Tabela13[Nivel]&amp;Tabela13[Liderado],0)))</f>
        <v>0</v>
      </c>
      <c r="H269" t="s">
        <v>740</v>
      </c>
      <c r="I269" s="1" t="s">
        <v>147</v>
      </c>
      <c r="J269" s="1" t="s">
        <v>148</v>
      </c>
      <c r="K269" s="1" t="s">
        <v>9</v>
      </c>
      <c r="L269" s="2" t="s">
        <v>10</v>
      </c>
      <c r="M269" s="1" t="s">
        <v>11</v>
      </c>
      <c r="N269" s="2">
        <v>10110</v>
      </c>
      <c r="O269" s="1" t="s">
        <v>149</v>
      </c>
      <c r="P269" s="1" t="s">
        <v>150</v>
      </c>
      <c r="Q269" s="1" t="s">
        <v>649</v>
      </c>
      <c r="R269" s="1"/>
      <c r="S269" s="1" t="s">
        <v>700</v>
      </c>
    </row>
    <row r="270" spans="1:19" x14ac:dyDescent="0.25">
      <c r="A270" s="1" t="s">
        <v>624</v>
      </c>
      <c r="B270" s="1" t="s">
        <v>49</v>
      </c>
      <c r="C270" t="s">
        <v>691</v>
      </c>
      <c r="D270" t="b" cm="1">
        <f t="array" ref="D270">IF(Tabela13[[#This Row],[Nivel]]="N1",INDEX(Tabela13[Lider],MATCH(Tabela13[[#This Row],[Nivel]]&amp;Tabela13[[#This Row],[Liderado]],Tabela13[Nivel]&amp;Tabela13[Liderado],0)))</f>
        <v>0</v>
      </c>
      <c r="H270" t="s">
        <v>740</v>
      </c>
      <c r="I270" s="1" t="s">
        <v>164</v>
      </c>
      <c r="J270" s="1" t="s">
        <v>46</v>
      </c>
      <c r="K270" s="1" t="s">
        <v>9</v>
      </c>
      <c r="L270" s="2" t="s">
        <v>10</v>
      </c>
      <c r="M270" s="1" t="s">
        <v>11</v>
      </c>
      <c r="N270" s="2">
        <v>10114</v>
      </c>
      <c r="O270" s="1" t="s">
        <v>47</v>
      </c>
      <c r="P270" s="1" t="s">
        <v>48</v>
      </c>
      <c r="Q270" s="1" t="s">
        <v>631</v>
      </c>
      <c r="R270" s="1"/>
      <c r="S270" s="1" t="s">
        <v>690</v>
      </c>
    </row>
    <row r="271" spans="1:19" x14ac:dyDescent="0.25">
      <c r="A271" s="1" t="s">
        <v>627</v>
      </c>
      <c r="B271" s="1" t="s">
        <v>42</v>
      </c>
      <c r="C271" t="s">
        <v>703</v>
      </c>
      <c r="D271" t="b" cm="1">
        <f t="array" ref="D271">IF(Tabela13[[#This Row],[Nivel]]="N1",INDEX(Tabela13[Lider],MATCH(Tabela13[[#This Row],[Nivel]]&amp;Tabela13[[#This Row],[Liderado]],Tabela13[Nivel]&amp;Tabela13[Liderado],0)))</f>
        <v>0</v>
      </c>
      <c r="H271" t="s">
        <v>740</v>
      </c>
      <c r="I271" s="1" t="s">
        <v>176</v>
      </c>
      <c r="J271" s="1" t="s">
        <v>34</v>
      </c>
      <c r="K271" s="1" t="s">
        <v>9</v>
      </c>
      <c r="L271" s="2" t="s">
        <v>10</v>
      </c>
      <c r="M271" s="1" t="s">
        <v>11</v>
      </c>
      <c r="N271" s="2">
        <v>11384</v>
      </c>
      <c r="O271" s="1" t="s">
        <v>177</v>
      </c>
      <c r="P271" s="1" t="s">
        <v>36</v>
      </c>
      <c r="Q271" s="1" t="s">
        <v>630</v>
      </c>
      <c r="R271" s="1"/>
      <c r="S271" s="1" t="s">
        <v>702</v>
      </c>
    </row>
    <row r="272" spans="1:19" x14ac:dyDescent="0.25">
      <c r="A272" s="1" t="s">
        <v>624</v>
      </c>
      <c r="B272" s="1" t="s">
        <v>49</v>
      </c>
      <c r="C272" t="s">
        <v>691</v>
      </c>
      <c r="D272" t="b" cm="1">
        <f t="array" ref="D272">IF(Tabela13[[#This Row],[Nivel]]="N1",INDEX(Tabela13[Lider],MATCH(Tabela13[[#This Row],[Nivel]]&amp;Tabela13[[#This Row],[Liderado]],Tabela13[Nivel]&amp;Tabela13[Liderado],0)))</f>
        <v>0</v>
      </c>
      <c r="H272" t="s">
        <v>740</v>
      </c>
      <c r="I272" s="1" t="s">
        <v>182</v>
      </c>
      <c r="J272" s="1" t="s">
        <v>46</v>
      </c>
      <c r="K272" s="1" t="s">
        <v>9</v>
      </c>
      <c r="L272" s="2" t="s">
        <v>10</v>
      </c>
      <c r="M272" s="1" t="s">
        <v>11</v>
      </c>
      <c r="N272" s="2">
        <v>10114</v>
      </c>
      <c r="O272" s="1" t="s">
        <v>47</v>
      </c>
      <c r="P272" s="1" t="s">
        <v>48</v>
      </c>
      <c r="Q272" s="1" t="s">
        <v>631</v>
      </c>
      <c r="R272" s="1"/>
      <c r="S272" s="1" t="s">
        <v>690</v>
      </c>
    </row>
    <row r="273" spans="1:19" x14ac:dyDescent="0.25">
      <c r="A273" s="1" t="s">
        <v>627</v>
      </c>
      <c r="B273" s="1" t="s">
        <v>21</v>
      </c>
      <c r="C273" t="s">
        <v>705</v>
      </c>
      <c r="D273" t="b" cm="1">
        <f t="array" ref="D273">IF(Tabela13[[#This Row],[Nivel]]="N1",INDEX(Tabela13[Lider],MATCH(Tabela13[[#This Row],[Nivel]]&amp;Tabela13[[#This Row],[Liderado]],Tabela13[Nivel]&amp;Tabela13[Liderado],0)))</f>
        <v>0</v>
      </c>
      <c r="H273" t="s">
        <v>740</v>
      </c>
      <c r="I273" s="1" t="s">
        <v>192</v>
      </c>
      <c r="J273" s="1" t="s">
        <v>193</v>
      </c>
      <c r="K273" s="1" t="s">
        <v>9</v>
      </c>
      <c r="L273" s="2" t="s">
        <v>10</v>
      </c>
      <c r="M273" s="1" t="s">
        <v>11</v>
      </c>
      <c r="N273" s="2">
        <v>11339</v>
      </c>
      <c r="O273" s="1" t="s">
        <v>194</v>
      </c>
      <c r="P273" s="1" t="s">
        <v>155</v>
      </c>
      <c r="Q273" s="1" t="s">
        <v>650</v>
      </c>
      <c r="R273" s="1"/>
      <c r="S273" s="1" t="s">
        <v>704</v>
      </c>
    </row>
    <row r="274" spans="1:19" x14ac:dyDescent="0.25">
      <c r="A274" s="1" t="s">
        <v>624</v>
      </c>
      <c r="B274" s="1" t="s">
        <v>72</v>
      </c>
      <c r="C274" t="s">
        <v>696</v>
      </c>
      <c r="D274" t="b" cm="1">
        <f t="array" ref="D274">IF(Tabela13[[#This Row],[Nivel]]="N1",INDEX(Tabela13[Lider],MATCH(Tabela13[[#This Row],[Nivel]]&amp;Tabela13[[#This Row],[Liderado]],Tabela13[Nivel]&amp;Tabela13[Liderado],0)))</f>
        <v>0</v>
      </c>
      <c r="H274" t="s">
        <v>740</v>
      </c>
      <c r="I274" s="1" t="s">
        <v>197</v>
      </c>
      <c r="J274" s="1" t="s">
        <v>89</v>
      </c>
      <c r="K274" s="1" t="s">
        <v>9</v>
      </c>
      <c r="L274" s="2" t="s">
        <v>10</v>
      </c>
      <c r="M274" s="1" t="s">
        <v>11</v>
      </c>
      <c r="N274" s="2">
        <v>10113</v>
      </c>
      <c r="O274" s="1" t="s">
        <v>69</v>
      </c>
      <c r="P274" s="1" t="s">
        <v>70</v>
      </c>
      <c r="Q274" s="1" t="s">
        <v>635</v>
      </c>
      <c r="R274" s="1"/>
      <c r="S274" s="1" t="s">
        <v>694</v>
      </c>
    </row>
    <row r="275" spans="1:19" x14ac:dyDescent="0.25">
      <c r="A275" s="1" t="s">
        <v>624</v>
      </c>
      <c r="B275" s="1" t="s">
        <v>49</v>
      </c>
      <c r="C275" t="s">
        <v>691</v>
      </c>
      <c r="D275" t="b" cm="1">
        <f t="array" ref="D275">IF(Tabela13[[#This Row],[Nivel]]="N1",INDEX(Tabela13[Lider],MATCH(Tabela13[[#This Row],[Nivel]]&amp;Tabela13[[#This Row],[Liderado]],Tabela13[Nivel]&amp;Tabela13[Liderado],0)))</f>
        <v>0</v>
      </c>
      <c r="H275" t="s">
        <v>740</v>
      </c>
      <c r="I275" s="1" t="s">
        <v>221</v>
      </c>
      <c r="J275" s="1" t="s">
        <v>222</v>
      </c>
      <c r="K275" s="1" t="s">
        <v>9</v>
      </c>
      <c r="L275" s="2" t="s">
        <v>10</v>
      </c>
      <c r="M275" s="1" t="s">
        <v>11</v>
      </c>
      <c r="N275" s="2">
        <v>10114</v>
      </c>
      <c r="O275" s="1" t="s">
        <v>47</v>
      </c>
      <c r="P275" s="1" t="s">
        <v>48</v>
      </c>
      <c r="Q275" s="1" t="s">
        <v>631</v>
      </c>
      <c r="R275" s="1"/>
      <c r="S275" s="1" t="s">
        <v>690</v>
      </c>
    </row>
    <row r="276" spans="1:19" x14ac:dyDescent="0.25">
      <c r="A276" s="1" t="s">
        <v>627</v>
      </c>
      <c r="B276" s="1" t="s">
        <v>50</v>
      </c>
      <c r="C276" t="s">
        <v>708</v>
      </c>
      <c r="D276" t="b" cm="1">
        <f t="array" ref="D276">IF(Tabela13[[#This Row],[Nivel]]="N1",INDEX(Tabela13[Lider],MATCH(Tabela13[[#This Row],[Nivel]]&amp;Tabela13[[#This Row],[Liderado]],Tabela13[Nivel]&amp;Tabela13[Liderado],0)))</f>
        <v>0</v>
      </c>
      <c r="H276" t="s">
        <v>740</v>
      </c>
      <c r="I276" s="1" t="s">
        <v>223</v>
      </c>
      <c r="J276" s="1" t="s">
        <v>224</v>
      </c>
      <c r="K276" s="1" t="s">
        <v>9</v>
      </c>
      <c r="L276" s="2" t="s">
        <v>10</v>
      </c>
      <c r="M276" s="1" t="s">
        <v>11</v>
      </c>
      <c r="N276" s="2">
        <v>11305</v>
      </c>
      <c r="O276" s="1" t="s">
        <v>52</v>
      </c>
      <c r="P276" s="1" t="s">
        <v>53</v>
      </c>
      <c r="Q276" s="1" t="s">
        <v>632</v>
      </c>
      <c r="R276" s="1"/>
      <c r="S276" s="1" t="s">
        <v>707</v>
      </c>
    </row>
    <row r="277" spans="1:19" x14ac:dyDescent="0.25">
      <c r="A277" s="1" t="s">
        <v>624</v>
      </c>
      <c r="B277" s="1" t="s">
        <v>151</v>
      </c>
      <c r="C277" t="s">
        <v>701</v>
      </c>
      <c r="D277" t="b" cm="1">
        <f t="array" ref="D277">IF(Tabela13[[#This Row],[Nivel]]="N1",INDEX(Tabela13[Lider],MATCH(Tabela13[[#This Row],[Nivel]]&amp;Tabela13[[#This Row],[Liderado]],Tabela13[Nivel]&amp;Tabela13[Liderado],0)))</f>
        <v>0</v>
      </c>
      <c r="H277" t="s">
        <v>740</v>
      </c>
      <c r="I277" s="1" t="s">
        <v>253</v>
      </c>
      <c r="J277" s="1" t="s">
        <v>254</v>
      </c>
      <c r="K277" s="1" t="s">
        <v>9</v>
      </c>
      <c r="L277" s="2" t="s">
        <v>10</v>
      </c>
      <c r="M277" s="1" t="s">
        <v>11</v>
      </c>
      <c r="N277" s="2">
        <v>10110</v>
      </c>
      <c r="O277" s="1" t="s">
        <v>149</v>
      </c>
      <c r="P277" s="1" t="s">
        <v>150</v>
      </c>
      <c r="Q277" s="1" t="s">
        <v>649</v>
      </c>
      <c r="R277" s="1"/>
      <c r="S277" s="1" t="s">
        <v>700</v>
      </c>
    </row>
    <row r="278" spans="1:19" x14ac:dyDescent="0.25">
      <c r="A278" s="1" t="s">
        <v>661</v>
      </c>
      <c r="B278" s="1" t="s">
        <v>285</v>
      </c>
      <c r="C278" t="s">
        <v>717</v>
      </c>
      <c r="D278" t="b" cm="1">
        <f t="array" ref="D278">IF(Tabela13[[#This Row],[Nivel]]="N1",INDEX(Tabela13[Lider],MATCH(Tabela13[[#This Row],[Nivel]]&amp;Tabela13[[#This Row],[Liderado]],Tabela13[Nivel]&amp;Tabela13[Liderado],0)))</f>
        <v>0</v>
      </c>
      <c r="H278" t="s">
        <v>740</v>
      </c>
      <c r="I278" s="1" t="s">
        <v>302</v>
      </c>
      <c r="J278" s="1" t="s">
        <v>303</v>
      </c>
      <c r="K278" s="1" t="s">
        <v>9</v>
      </c>
      <c r="L278" s="2" t="s">
        <v>10</v>
      </c>
      <c r="M278" s="1" t="s">
        <v>11</v>
      </c>
      <c r="N278" s="2">
        <v>11507</v>
      </c>
      <c r="O278" s="1" t="s">
        <v>295</v>
      </c>
      <c r="P278" s="1" t="s">
        <v>304</v>
      </c>
      <c r="Q278" s="1" t="s">
        <v>659</v>
      </c>
      <c r="R278" s="1"/>
      <c r="S278" s="1" t="s">
        <v>716</v>
      </c>
    </row>
    <row r="279" spans="1:19" x14ac:dyDescent="0.25">
      <c r="A279" s="1" t="s">
        <v>661</v>
      </c>
      <c r="B279" s="1" t="s">
        <v>285</v>
      </c>
      <c r="C279" t="s">
        <v>717</v>
      </c>
      <c r="D279" t="b" cm="1">
        <f t="array" ref="D279">IF(Tabela13[[#This Row],[Nivel]]="N1",INDEX(Tabela13[Lider],MATCH(Tabela13[[#This Row],[Nivel]]&amp;Tabela13[[#This Row],[Liderado]],Tabela13[Nivel]&amp;Tabela13[Liderado],0)))</f>
        <v>0</v>
      </c>
      <c r="H279" t="s">
        <v>740</v>
      </c>
      <c r="I279" s="1" t="s">
        <v>310</v>
      </c>
      <c r="J279" s="1" t="s">
        <v>294</v>
      </c>
      <c r="K279" s="1" t="s">
        <v>9</v>
      </c>
      <c r="L279" s="2" t="s">
        <v>10</v>
      </c>
      <c r="M279" s="1" t="s">
        <v>11</v>
      </c>
      <c r="N279" s="2">
        <v>11507</v>
      </c>
      <c r="O279" s="1" t="s">
        <v>295</v>
      </c>
      <c r="P279" s="1" t="s">
        <v>311</v>
      </c>
      <c r="Q279" s="1" t="s">
        <v>662</v>
      </c>
      <c r="R279" s="1"/>
      <c r="S279" s="1" t="s">
        <v>716</v>
      </c>
    </row>
    <row r="280" spans="1:19" x14ac:dyDescent="0.25">
      <c r="A280" s="1" t="s">
        <v>627</v>
      </c>
      <c r="B280" s="1" t="s">
        <v>21</v>
      </c>
      <c r="C280" t="s">
        <v>705</v>
      </c>
      <c r="D280" t="b" cm="1">
        <f t="array" ref="D280">IF(Tabela13[[#This Row],[Nivel]]="N1",INDEX(Tabela13[Lider],MATCH(Tabela13[[#This Row],[Nivel]]&amp;Tabela13[[#This Row],[Liderado]],Tabela13[Nivel]&amp;Tabela13[Liderado],0)))</f>
        <v>0</v>
      </c>
      <c r="H280" t="s">
        <v>740</v>
      </c>
      <c r="I280" s="1" t="s">
        <v>315</v>
      </c>
      <c r="J280" s="1" t="s">
        <v>220</v>
      </c>
      <c r="K280" s="1" t="s">
        <v>105</v>
      </c>
      <c r="L280" s="2" t="s">
        <v>10</v>
      </c>
      <c r="M280" s="1" t="s">
        <v>11</v>
      </c>
      <c r="N280" s="2">
        <v>11318</v>
      </c>
      <c r="O280" s="1" t="s">
        <v>122</v>
      </c>
      <c r="P280" s="1" t="s">
        <v>94</v>
      </c>
      <c r="Q280" s="1" t="s">
        <v>639</v>
      </c>
      <c r="R280" s="1"/>
      <c r="S280" s="1" t="s">
        <v>704</v>
      </c>
    </row>
    <row r="281" spans="1:19" x14ac:dyDescent="0.25">
      <c r="A281" s="1" t="s">
        <v>661</v>
      </c>
      <c r="B281" s="1" t="s">
        <v>308</v>
      </c>
      <c r="C281" t="s">
        <v>703</v>
      </c>
      <c r="D281" t="b" cm="1">
        <f t="array" ref="D281">IF(Tabela13[[#This Row],[Nivel]]="N1",INDEX(Tabela13[Lider],MATCH(Tabela13[[#This Row],[Nivel]]&amp;Tabela13[[#This Row],[Liderado]],Tabela13[Nivel]&amp;Tabela13[Liderado],0)))</f>
        <v>0</v>
      </c>
      <c r="H281" t="s">
        <v>740</v>
      </c>
      <c r="I281" s="1" t="s">
        <v>317</v>
      </c>
      <c r="J281" s="1" t="s">
        <v>34</v>
      </c>
      <c r="K281" s="1" t="s">
        <v>9</v>
      </c>
      <c r="L281" s="2" t="s">
        <v>10</v>
      </c>
      <c r="M281" s="1" t="s">
        <v>11</v>
      </c>
      <c r="N281" s="2">
        <v>11570</v>
      </c>
      <c r="O281" s="1" t="s">
        <v>276</v>
      </c>
      <c r="P281" s="1" t="s">
        <v>284</v>
      </c>
      <c r="Q281" s="1" t="s">
        <v>630</v>
      </c>
      <c r="R281" s="1"/>
      <c r="S281" s="1" t="s">
        <v>718</v>
      </c>
    </row>
    <row r="282" spans="1:19" x14ac:dyDescent="0.25">
      <c r="A282" s="1" t="s">
        <v>661</v>
      </c>
      <c r="B282" s="1" t="s">
        <v>308</v>
      </c>
      <c r="C282" t="s">
        <v>703</v>
      </c>
      <c r="D282" t="b" cm="1">
        <f t="array" ref="D282">IF(Tabela13[[#This Row],[Nivel]]="N1",INDEX(Tabela13[Lider],MATCH(Tabela13[[#This Row],[Nivel]]&amp;Tabela13[[#This Row],[Liderado]],Tabela13[Nivel]&amp;Tabela13[Liderado],0)))</f>
        <v>0</v>
      </c>
      <c r="H282" t="s">
        <v>740</v>
      </c>
      <c r="I282" s="1" t="s">
        <v>322</v>
      </c>
      <c r="J282" s="1" t="s">
        <v>34</v>
      </c>
      <c r="K282" s="1" t="s">
        <v>17</v>
      </c>
      <c r="L282" s="2" t="s">
        <v>10</v>
      </c>
      <c r="M282" s="1" t="s">
        <v>11</v>
      </c>
      <c r="N282" s="2">
        <v>11570</v>
      </c>
      <c r="O282" s="1" t="s">
        <v>276</v>
      </c>
      <c r="P282" s="1" t="s">
        <v>284</v>
      </c>
      <c r="Q282" s="1" t="s">
        <v>630</v>
      </c>
      <c r="R282" s="1"/>
      <c r="S282" s="1" t="s">
        <v>718</v>
      </c>
    </row>
    <row r="283" spans="1:19" x14ac:dyDescent="0.25">
      <c r="A283" s="1" t="s">
        <v>661</v>
      </c>
      <c r="B283" s="1" t="s">
        <v>285</v>
      </c>
      <c r="C283" t="s">
        <v>717</v>
      </c>
      <c r="D283" t="b" cm="1">
        <f t="array" ref="D283">IF(Tabela13[[#This Row],[Nivel]]="N1",INDEX(Tabela13[Lider],MATCH(Tabela13[[#This Row],[Nivel]]&amp;Tabela13[[#This Row],[Liderado]],Tabela13[Nivel]&amp;Tabela13[Liderado],0)))</f>
        <v>0</v>
      </c>
      <c r="H283" t="s">
        <v>740</v>
      </c>
      <c r="I283" s="1" t="s">
        <v>327</v>
      </c>
      <c r="J283" s="1" t="s">
        <v>303</v>
      </c>
      <c r="K283" s="1" t="s">
        <v>9</v>
      </c>
      <c r="L283" s="2" t="s">
        <v>10</v>
      </c>
      <c r="M283" s="1" t="s">
        <v>11</v>
      </c>
      <c r="N283" s="2">
        <v>11507</v>
      </c>
      <c r="O283" s="1" t="s">
        <v>295</v>
      </c>
      <c r="P283" s="1" t="s">
        <v>304</v>
      </c>
      <c r="Q283" s="1" t="s">
        <v>659</v>
      </c>
      <c r="R283" s="1"/>
      <c r="S283" s="1" t="s">
        <v>716</v>
      </c>
    </row>
    <row r="284" spans="1:19" x14ac:dyDescent="0.25">
      <c r="A284" s="1" t="s">
        <v>627</v>
      </c>
      <c r="B284" s="1" t="s">
        <v>21</v>
      </c>
      <c r="C284" t="s">
        <v>705</v>
      </c>
      <c r="D284" t="b" cm="1">
        <f t="array" ref="D284">IF(Tabela13[[#This Row],[Nivel]]="N1",INDEX(Tabela13[Lider],MATCH(Tabela13[[#This Row],[Nivel]]&amp;Tabela13[[#This Row],[Liderado]],Tabela13[Nivel]&amp;Tabela13[Liderado],0)))</f>
        <v>0</v>
      </c>
      <c r="H284" t="s">
        <v>740</v>
      </c>
      <c r="I284" s="1" t="s">
        <v>335</v>
      </c>
      <c r="J284" s="1" t="s">
        <v>126</v>
      </c>
      <c r="K284" s="1" t="s">
        <v>9</v>
      </c>
      <c r="L284" s="2" t="s">
        <v>10</v>
      </c>
      <c r="M284" s="1" t="s">
        <v>11</v>
      </c>
      <c r="N284" s="2">
        <v>11355</v>
      </c>
      <c r="O284" s="1" t="s">
        <v>127</v>
      </c>
      <c r="P284" s="1" t="s">
        <v>196</v>
      </c>
      <c r="Q284" s="1" t="s">
        <v>643</v>
      </c>
      <c r="R284" s="1"/>
      <c r="S284" s="1" t="s">
        <v>704</v>
      </c>
    </row>
    <row r="285" spans="1:19" x14ac:dyDescent="0.25">
      <c r="A285" s="1" t="s">
        <v>627</v>
      </c>
      <c r="B285" s="1" t="s">
        <v>21</v>
      </c>
      <c r="C285" t="s">
        <v>705</v>
      </c>
      <c r="D285" t="b" cm="1">
        <f t="array" ref="D285">IF(Tabela13[[#This Row],[Nivel]]="N1",INDEX(Tabela13[Lider],MATCH(Tabela13[[#This Row],[Nivel]]&amp;Tabela13[[#This Row],[Liderado]],Tabela13[Nivel]&amp;Tabela13[Liderado],0)))</f>
        <v>0</v>
      </c>
      <c r="H285" t="s">
        <v>740</v>
      </c>
      <c r="I285" s="1" t="s">
        <v>338</v>
      </c>
      <c r="J285" s="1" t="s">
        <v>339</v>
      </c>
      <c r="K285" s="1" t="s">
        <v>9</v>
      </c>
      <c r="L285" s="2" t="s">
        <v>10</v>
      </c>
      <c r="M285" s="1" t="s">
        <v>11</v>
      </c>
      <c r="N285" s="2">
        <v>11355</v>
      </c>
      <c r="O285" s="1" t="s">
        <v>127</v>
      </c>
      <c r="P285" s="1" t="s">
        <v>196</v>
      </c>
      <c r="Q285" s="1" t="s">
        <v>643</v>
      </c>
      <c r="R285" s="1"/>
      <c r="S285" s="1" t="s">
        <v>704</v>
      </c>
    </row>
    <row r="286" spans="1:19" x14ac:dyDescent="0.25">
      <c r="A286" s="1" t="s">
        <v>627</v>
      </c>
      <c r="B286" s="1" t="s">
        <v>21</v>
      </c>
      <c r="C286" t="s">
        <v>705</v>
      </c>
      <c r="D286" t="b" cm="1">
        <f t="array" ref="D286">IF(Tabela13[[#This Row],[Nivel]]="N1",INDEX(Tabela13[Lider],MATCH(Tabela13[[#This Row],[Nivel]]&amp;Tabela13[[#This Row],[Liderado]],Tabela13[Nivel]&amp;Tabela13[Liderado],0)))</f>
        <v>0</v>
      </c>
      <c r="H286" t="s">
        <v>740</v>
      </c>
      <c r="I286" s="1" t="s">
        <v>340</v>
      </c>
      <c r="J286" s="1" t="s">
        <v>126</v>
      </c>
      <c r="K286" s="1" t="s">
        <v>9</v>
      </c>
      <c r="L286" s="2" t="s">
        <v>10</v>
      </c>
      <c r="M286" s="1" t="s">
        <v>11</v>
      </c>
      <c r="N286" s="2">
        <v>11355</v>
      </c>
      <c r="O286" s="1" t="s">
        <v>127</v>
      </c>
      <c r="P286" s="1" t="s">
        <v>196</v>
      </c>
      <c r="Q286" s="1" t="s">
        <v>643</v>
      </c>
      <c r="R286" s="1"/>
      <c r="S286" s="1" t="s">
        <v>704</v>
      </c>
    </row>
    <row r="287" spans="1:19" x14ac:dyDescent="0.25">
      <c r="A287" s="1" t="s">
        <v>627</v>
      </c>
      <c r="B287" s="1" t="s">
        <v>21</v>
      </c>
      <c r="C287" t="s">
        <v>705</v>
      </c>
      <c r="D287" t="b" cm="1">
        <f t="array" ref="D287">IF(Tabela13[[#This Row],[Nivel]]="N1",INDEX(Tabela13[Lider],MATCH(Tabela13[[#This Row],[Nivel]]&amp;Tabela13[[#This Row],[Liderado]],Tabela13[Nivel]&amp;Tabela13[Liderado],0)))</f>
        <v>0</v>
      </c>
      <c r="H287" t="s">
        <v>740</v>
      </c>
      <c r="I287" s="1" t="s">
        <v>341</v>
      </c>
      <c r="J287" s="1" t="s">
        <v>126</v>
      </c>
      <c r="K287" s="1" t="s">
        <v>9</v>
      </c>
      <c r="L287" s="2" t="s">
        <v>10</v>
      </c>
      <c r="M287" s="1" t="s">
        <v>11</v>
      </c>
      <c r="N287" s="2">
        <v>11355</v>
      </c>
      <c r="O287" s="1" t="s">
        <v>127</v>
      </c>
      <c r="P287" s="1" t="s">
        <v>196</v>
      </c>
      <c r="Q287" s="1" t="s">
        <v>643</v>
      </c>
      <c r="R287" s="1"/>
      <c r="S287" s="1" t="s">
        <v>704</v>
      </c>
    </row>
    <row r="288" spans="1:19" x14ac:dyDescent="0.25">
      <c r="A288" s="1" t="s">
        <v>627</v>
      </c>
      <c r="B288" s="1" t="s">
        <v>21</v>
      </c>
      <c r="C288" t="s">
        <v>705</v>
      </c>
      <c r="D288" t="b" cm="1">
        <f t="array" ref="D288">IF(Tabela13[[#This Row],[Nivel]]="N1",INDEX(Tabela13[Lider],MATCH(Tabela13[[#This Row],[Nivel]]&amp;Tabela13[[#This Row],[Liderado]],Tabela13[Nivel]&amp;Tabela13[Liderado],0)))</f>
        <v>0</v>
      </c>
      <c r="H288" t="s">
        <v>740</v>
      </c>
      <c r="I288" s="1" t="s">
        <v>342</v>
      </c>
      <c r="J288" s="1" t="s">
        <v>220</v>
      </c>
      <c r="K288" s="1" t="s">
        <v>9</v>
      </c>
      <c r="L288" s="2" t="s">
        <v>10</v>
      </c>
      <c r="M288" s="1" t="s">
        <v>11</v>
      </c>
      <c r="N288" s="2">
        <v>11318</v>
      </c>
      <c r="O288" s="1" t="s">
        <v>122</v>
      </c>
      <c r="P288" s="1" t="s">
        <v>94</v>
      </c>
      <c r="Q288" s="1" t="s">
        <v>639</v>
      </c>
      <c r="R288" s="1"/>
      <c r="S288" s="1" t="s">
        <v>704</v>
      </c>
    </row>
    <row r="289" spans="1:19" x14ac:dyDescent="0.25">
      <c r="A289" s="1" t="s">
        <v>627</v>
      </c>
      <c r="B289" s="1" t="s">
        <v>21</v>
      </c>
      <c r="C289" t="s">
        <v>705</v>
      </c>
      <c r="D289" t="b" cm="1">
        <f t="array" ref="D289">IF(Tabela13[[#This Row],[Nivel]]="N1",INDEX(Tabela13[Lider],MATCH(Tabela13[[#This Row],[Nivel]]&amp;Tabela13[[#This Row],[Liderado]],Tabela13[Nivel]&amp;Tabela13[Liderado],0)))</f>
        <v>0</v>
      </c>
      <c r="H289" t="s">
        <v>740</v>
      </c>
      <c r="I289" s="1" t="s">
        <v>347</v>
      </c>
      <c r="J289" s="1" t="s">
        <v>220</v>
      </c>
      <c r="K289" s="1" t="s">
        <v>9</v>
      </c>
      <c r="L289" s="2" t="s">
        <v>10</v>
      </c>
      <c r="M289" s="1" t="s">
        <v>11</v>
      </c>
      <c r="N289" s="2">
        <v>11318</v>
      </c>
      <c r="O289" s="1" t="s">
        <v>122</v>
      </c>
      <c r="P289" s="1" t="s">
        <v>94</v>
      </c>
      <c r="Q289" s="1" t="s">
        <v>639</v>
      </c>
      <c r="R289" s="1"/>
      <c r="S289" s="1" t="s">
        <v>704</v>
      </c>
    </row>
    <row r="290" spans="1:19" x14ac:dyDescent="0.25">
      <c r="A290" s="1" t="s">
        <v>627</v>
      </c>
      <c r="B290" s="1" t="s">
        <v>21</v>
      </c>
      <c r="C290" t="s">
        <v>705</v>
      </c>
      <c r="D290" t="b" cm="1">
        <f t="array" ref="D290">IF(Tabela13[[#This Row],[Nivel]]="N1",INDEX(Tabela13[Lider],MATCH(Tabela13[[#This Row],[Nivel]]&amp;Tabela13[[#This Row],[Liderado]],Tabela13[Nivel]&amp;Tabela13[Liderado],0)))</f>
        <v>0</v>
      </c>
      <c r="H290" t="s">
        <v>740</v>
      </c>
      <c r="I290" s="1" t="s">
        <v>353</v>
      </c>
      <c r="J290" s="1" t="s">
        <v>339</v>
      </c>
      <c r="K290" s="1" t="s">
        <v>9</v>
      </c>
      <c r="L290" s="2" t="s">
        <v>10</v>
      </c>
      <c r="M290" s="1" t="s">
        <v>11</v>
      </c>
      <c r="N290" s="2">
        <v>11355</v>
      </c>
      <c r="O290" s="1" t="s">
        <v>127</v>
      </c>
      <c r="P290" s="1" t="s">
        <v>196</v>
      </c>
      <c r="Q290" s="1" t="s">
        <v>643</v>
      </c>
      <c r="R290" s="1"/>
      <c r="S290" s="1" t="s">
        <v>704</v>
      </c>
    </row>
    <row r="291" spans="1:19" x14ac:dyDescent="0.25">
      <c r="A291" s="1" t="s">
        <v>627</v>
      </c>
      <c r="B291" s="1" t="s">
        <v>21</v>
      </c>
      <c r="C291" t="s">
        <v>705</v>
      </c>
      <c r="D291" t="b" cm="1">
        <f t="array" ref="D291">IF(Tabela13[[#This Row],[Nivel]]="N1",INDEX(Tabela13[Lider],MATCH(Tabela13[[#This Row],[Nivel]]&amp;Tabela13[[#This Row],[Liderado]],Tabela13[Nivel]&amp;Tabela13[Liderado],0)))</f>
        <v>0</v>
      </c>
      <c r="H291" t="s">
        <v>740</v>
      </c>
      <c r="I291" s="1" t="s">
        <v>360</v>
      </c>
      <c r="J291" s="1" t="s">
        <v>220</v>
      </c>
      <c r="K291" s="1" t="s">
        <v>9</v>
      </c>
      <c r="L291" s="2" t="s">
        <v>10</v>
      </c>
      <c r="M291" s="1" t="s">
        <v>11</v>
      </c>
      <c r="N291" s="2">
        <v>11318</v>
      </c>
      <c r="O291" s="1" t="s">
        <v>122</v>
      </c>
      <c r="P291" s="1" t="s">
        <v>94</v>
      </c>
      <c r="Q291" s="1" t="s">
        <v>639</v>
      </c>
      <c r="R291" s="1"/>
      <c r="S291" s="1" t="s">
        <v>704</v>
      </c>
    </row>
    <row r="292" spans="1:19" x14ac:dyDescent="0.25">
      <c r="A292" s="1" t="s">
        <v>627</v>
      </c>
      <c r="B292" s="1" t="s">
        <v>21</v>
      </c>
      <c r="C292" t="s">
        <v>705</v>
      </c>
      <c r="D292" t="b" cm="1">
        <f t="array" ref="D292">IF(Tabela13[[#This Row],[Nivel]]="N1",INDEX(Tabela13[Lider],MATCH(Tabela13[[#This Row],[Nivel]]&amp;Tabela13[[#This Row],[Liderado]],Tabela13[Nivel]&amp;Tabela13[Liderado],0)))</f>
        <v>0</v>
      </c>
      <c r="H292" t="s">
        <v>740</v>
      </c>
      <c r="I292" s="1" t="s">
        <v>370</v>
      </c>
      <c r="J292" s="1" t="s">
        <v>220</v>
      </c>
      <c r="K292" s="1" t="s">
        <v>105</v>
      </c>
      <c r="L292" s="2" t="s">
        <v>179</v>
      </c>
      <c r="M292" s="1" t="s">
        <v>180</v>
      </c>
      <c r="N292" s="2">
        <v>11318</v>
      </c>
      <c r="O292" s="1" t="s">
        <v>122</v>
      </c>
      <c r="P292" s="1" t="s">
        <v>94</v>
      </c>
      <c r="Q292" s="1" t="s">
        <v>639</v>
      </c>
      <c r="R292" s="1"/>
      <c r="S292" s="1" t="s">
        <v>704</v>
      </c>
    </row>
    <row r="293" spans="1:19" x14ac:dyDescent="0.25">
      <c r="A293" s="1" t="s">
        <v>627</v>
      </c>
      <c r="B293" s="1" t="s">
        <v>21</v>
      </c>
      <c r="C293" t="s">
        <v>705</v>
      </c>
      <c r="D293" t="b" cm="1">
        <f t="array" ref="D293">IF(Tabela13[[#This Row],[Nivel]]="N1",INDEX(Tabela13[Lider],MATCH(Tabela13[[#This Row],[Nivel]]&amp;Tabela13[[#This Row],[Liderado]],Tabela13[Nivel]&amp;Tabela13[Liderado],0)))</f>
        <v>0</v>
      </c>
      <c r="H293" t="s">
        <v>740</v>
      </c>
      <c r="I293" s="1" t="s">
        <v>371</v>
      </c>
      <c r="J293" s="1" t="s">
        <v>220</v>
      </c>
      <c r="K293" s="1" t="s">
        <v>9</v>
      </c>
      <c r="L293" s="2" t="s">
        <v>10</v>
      </c>
      <c r="M293" s="1" t="s">
        <v>11</v>
      </c>
      <c r="N293" s="2">
        <v>11318</v>
      </c>
      <c r="O293" s="1" t="s">
        <v>122</v>
      </c>
      <c r="P293" s="1" t="s">
        <v>94</v>
      </c>
      <c r="Q293" s="1" t="s">
        <v>639</v>
      </c>
      <c r="R293" s="1"/>
      <c r="S293" s="1" t="s">
        <v>704</v>
      </c>
    </row>
    <row r="294" spans="1:19" x14ac:dyDescent="0.25">
      <c r="A294" s="1" t="s">
        <v>627</v>
      </c>
      <c r="B294" s="1" t="s">
        <v>21</v>
      </c>
      <c r="C294" t="s">
        <v>705</v>
      </c>
      <c r="D294" t="b" cm="1">
        <f t="array" ref="D294">IF(Tabela13[[#This Row],[Nivel]]="N1",INDEX(Tabela13[Lider],MATCH(Tabela13[[#This Row],[Nivel]]&amp;Tabela13[[#This Row],[Liderado]],Tabela13[Nivel]&amp;Tabela13[Liderado],0)))</f>
        <v>0</v>
      </c>
      <c r="H294" t="s">
        <v>740</v>
      </c>
      <c r="I294" s="1" t="s">
        <v>377</v>
      </c>
      <c r="J294" s="1" t="s">
        <v>220</v>
      </c>
      <c r="K294" s="1" t="s">
        <v>9</v>
      </c>
      <c r="L294" s="2" t="s">
        <v>10</v>
      </c>
      <c r="M294" s="1" t="s">
        <v>11</v>
      </c>
      <c r="N294" s="2">
        <v>11318</v>
      </c>
      <c r="O294" s="1" t="s">
        <v>122</v>
      </c>
      <c r="P294" s="1" t="s">
        <v>94</v>
      </c>
      <c r="Q294" s="1" t="s">
        <v>639</v>
      </c>
      <c r="R294" s="1"/>
      <c r="S294" s="1" t="s">
        <v>704</v>
      </c>
    </row>
    <row r="295" spans="1:19" x14ac:dyDescent="0.25">
      <c r="A295" s="1" t="s">
        <v>627</v>
      </c>
      <c r="B295" s="1" t="s">
        <v>21</v>
      </c>
      <c r="C295" t="s">
        <v>705</v>
      </c>
      <c r="D295" t="b" cm="1">
        <f t="array" ref="D295">IF(Tabela13[[#This Row],[Nivel]]="N1",INDEX(Tabela13[Lider],MATCH(Tabela13[[#This Row],[Nivel]]&amp;Tabela13[[#This Row],[Liderado]],Tabela13[Nivel]&amp;Tabela13[Liderado],0)))</f>
        <v>0</v>
      </c>
      <c r="H295" t="s">
        <v>740</v>
      </c>
      <c r="I295" s="1" t="s">
        <v>378</v>
      </c>
      <c r="J295" s="1" t="s">
        <v>92</v>
      </c>
      <c r="K295" s="1" t="s">
        <v>9</v>
      </c>
      <c r="L295" s="2" t="s">
        <v>10</v>
      </c>
      <c r="M295" s="1" t="s">
        <v>11</v>
      </c>
      <c r="N295" s="2">
        <v>11318</v>
      </c>
      <c r="O295" s="1" t="s">
        <v>122</v>
      </c>
      <c r="P295" s="1" t="s">
        <v>94</v>
      </c>
      <c r="Q295" s="1" t="s">
        <v>639</v>
      </c>
      <c r="R295" s="1"/>
      <c r="S295" s="1" t="s">
        <v>704</v>
      </c>
    </row>
    <row r="296" spans="1:19" x14ac:dyDescent="0.25">
      <c r="A296" s="1" t="s">
        <v>627</v>
      </c>
      <c r="B296" s="1" t="s">
        <v>21</v>
      </c>
      <c r="C296" t="s">
        <v>705</v>
      </c>
      <c r="D296" t="b" cm="1">
        <f t="array" ref="D296">IF(Tabela13[[#This Row],[Nivel]]="N1",INDEX(Tabela13[Lider],MATCH(Tabela13[[#This Row],[Nivel]]&amp;Tabela13[[#This Row],[Liderado]],Tabela13[Nivel]&amp;Tabela13[Liderado],0)))</f>
        <v>0</v>
      </c>
      <c r="H296" t="s">
        <v>740</v>
      </c>
      <c r="I296" s="1" t="s">
        <v>412</v>
      </c>
      <c r="J296" s="1" t="s">
        <v>126</v>
      </c>
      <c r="K296" s="1" t="s">
        <v>9</v>
      </c>
      <c r="L296" s="2" t="s">
        <v>10</v>
      </c>
      <c r="M296" s="1" t="s">
        <v>11</v>
      </c>
      <c r="N296" s="2">
        <v>11355</v>
      </c>
      <c r="O296" s="1" t="s">
        <v>127</v>
      </c>
      <c r="P296" s="1" t="s">
        <v>196</v>
      </c>
      <c r="Q296" s="1" t="s">
        <v>643</v>
      </c>
      <c r="R296" s="1"/>
      <c r="S296" s="1" t="s">
        <v>704</v>
      </c>
    </row>
    <row r="297" spans="1:19" x14ac:dyDescent="0.25">
      <c r="A297" s="1" t="s">
        <v>627</v>
      </c>
      <c r="B297" s="1" t="s">
        <v>21</v>
      </c>
      <c r="C297" t="s">
        <v>705</v>
      </c>
      <c r="D297" t="b" cm="1">
        <f t="array" ref="D297">IF(Tabela13[[#This Row],[Nivel]]="N1",INDEX(Tabela13[Lider],MATCH(Tabela13[[#This Row],[Nivel]]&amp;Tabela13[[#This Row],[Liderado]],Tabela13[Nivel]&amp;Tabela13[Liderado],0)))</f>
        <v>0</v>
      </c>
      <c r="H297" t="s">
        <v>740</v>
      </c>
      <c r="I297" s="1" t="s">
        <v>413</v>
      </c>
      <c r="J297" s="1" t="s">
        <v>126</v>
      </c>
      <c r="K297" s="1" t="s">
        <v>9</v>
      </c>
      <c r="L297" s="2" t="s">
        <v>23</v>
      </c>
      <c r="M297" s="1" t="s">
        <v>24</v>
      </c>
      <c r="N297" s="2">
        <v>11355</v>
      </c>
      <c r="O297" s="1" t="s">
        <v>127</v>
      </c>
      <c r="P297" s="1" t="s">
        <v>196</v>
      </c>
      <c r="Q297" s="1" t="s">
        <v>643</v>
      </c>
      <c r="R297" s="1"/>
      <c r="S297" s="1" t="s">
        <v>704</v>
      </c>
    </row>
    <row r="298" spans="1:19" x14ac:dyDescent="0.25">
      <c r="A298" s="1" t="s">
        <v>627</v>
      </c>
      <c r="B298" s="1" t="s">
        <v>21</v>
      </c>
      <c r="C298" t="s">
        <v>705</v>
      </c>
      <c r="D298" t="b" cm="1">
        <f t="array" ref="D298">IF(Tabela13[[#This Row],[Nivel]]="N1",INDEX(Tabela13[Lider],MATCH(Tabela13[[#This Row],[Nivel]]&amp;Tabela13[[#This Row],[Liderado]],Tabela13[Nivel]&amp;Tabela13[Liderado],0)))</f>
        <v>0</v>
      </c>
      <c r="H298" t="s">
        <v>740</v>
      </c>
      <c r="I298" s="1" t="s">
        <v>416</v>
      </c>
      <c r="J298" s="1" t="s">
        <v>220</v>
      </c>
      <c r="K298" s="1" t="s">
        <v>9</v>
      </c>
      <c r="L298" s="2" t="s">
        <v>10</v>
      </c>
      <c r="M298" s="1" t="s">
        <v>11</v>
      </c>
      <c r="N298" s="2">
        <v>11318</v>
      </c>
      <c r="O298" s="1" t="s">
        <v>122</v>
      </c>
      <c r="P298" s="1" t="s">
        <v>94</v>
      </c>
      <c r="Q298" s="1" t="s">
        <v>639</v>
      </c>
      <c r="R298" s="1"/>
      <c r="S298" s="1" t="s">
        <v>704</v>
      </c>
    </row>
    <row r="299" spans="1:19" x14ac:dyDescent="0.25">
      <c r="A299" s="1" t="s">
        <v>627</v>
      </c>
      <c r="B299" s="1" t="s">
        <v>21</v>
      </c>
      <c r="C299" t="s">
        <v>705</v>
      </c>
      <c r="D299" t="b" cm="1">
        <f t="array" ref="D299">IF(Tabela13[[#This Row],[Nivel]]="N1",INDEX(Tabela13[Lider],MATCH(Tabela13[[#This Row],[Nivel]]&amp;Tabela13[[#This Row],[Liderado]],Tabela13[Nivel]&amp;Tabela13[Liderado],0)))</f>
        <v>0</v>
      </c>
      <c r="H299" t="s">
        <v>740</v>
      </c>
      <c r="I299" s="1" t="s">
        <v>426</v>
      </c>
      <c r="J299" s="1" t="s">
        <v>126</v>
      </c>
      <c r="K299" s="1" t="s">
        <v>9</v>
      </c>
      <c r="L299" s="2" t="s">
        <v>10</v>
      </c>
      <c r="M299" s="1" t="s">
        <v>11</v>
      </c>
      <c r="N299" s="2">
        <v>11355</v>
      </c>
      <c r="O299" s="1" t="s">
        <v>127</v>
      </c>
      <c r="P299" s="1" t="s">
        <v>196</v>
      </c>
      <c r="Q299" s="1" t="s">
        <v>643</v>
      </c>
      <c r="R299" s="1"/>
      <c r="S299" s="1" t="s">
        <v>704</v>
      </c>
    </row>
    <row r="300" spans="1:19" x14ac:dyDescent="0.25">
      <c r="A300" s="1" t="s">
        <v>627</v>
      </c>
      <c r="B300" s="1" t="s">
        <v>21</v>
      </c>
      <c r="C300" t="s">
        <v>705</v>
      </c>
      <c r="D300" t="b" cm="1">
        <f t="array" ref="D300">IF(Tabela13[[#This Row],[Nivel]]="N1",INDEX(Tabela13[Lider],MATCH(Tabela13[[#This Row],[Nivel]]&amp;Tabela13[[#This Row],[Liderado]],Tabela13[Nivel]&amp;Tabela13[Liderado],0)))</f>
        <v>0</v>
      </c>
      <c r="H300" t="s">
        <v>740</v>
      </c>
      <c r="I300" s="1" t="s">
        <v>432</v>
      </c>
      <c r="J300" s="1" t="s">
        <v>126</v>
      </c>
      <c r="K300" s="1" t="s">
        <v>9</v>
      </c>
      <c r="L300" s="2" t="s">
        <v>10</v>
      </c>
      <c r="M300" s="1" t="s">
        <v>11</v>
      </c>
      <c r="N300" s="2">
        <v>11355</v>
      </c>
      <c r="O300" s="1" t="s">
        <v>127</v>
      </c>
      <c r="P300" s="1" t="s">
        <v>196</v>
      </c>
      <c r="Q300" s="1" t="s">
        <v>643</v>
      </c>
      <c r="R300" s="1"/>
      <c r="S300" s="1" t="s">
        <v>704</v>
      </c>
    </row>
    <row r="301" spans="1:19" x14ac:dyDescent="0.25">
      <c r="A301" s="1" t="s">
        <v>670</v>
      </c>
      <c r="B301" s="1" t="s">
        <v>437</v>
      </c>
      <c r="C301" t="s">
        <v>703</v>
      </c>
      <c r="D301" t="b" cm="1">
        <f t="array" ref="D301">IF(Tabela13[[#This Row],[Nivel]]="N1",INDEX(Tabela13[Lider],MATCH(Tabela13[[#This Row],[Nivel]]&amp;Tabela13[[#This Row],[Liderado]],Tabela13[Nivel]&amp;Tabela13[Liderado],0)))</f>
        <v>0</v>
      </c>
      <c r="H301" t="s">
        <v>740</v>
      </c>
      <c r="I301" s="1" t="s">
        <v>435</v>
      </c>
      <c r="J301" s="1" t="s">
        <v>301</v>
      </c>
      <c r="K301" s="1" t="s">
        <v>17</v>
      </c>
      <c r="L301" s="2" t="s">
        <v>10</v>
      </c>
      <c r="M301" s="1" t="s">
        <v>11</v>
      </c>
      <c r="N301" s="2">
        <v>11743</v>
      </c>
      <c r="O301" s="1" t="s">
        <v>114</v>
      </c>
      <c r="P301" s="1" t="s">
        <v>436</v>
      </c>
      <c r="Q301" s="1" t="s">
        <v>630</v>
      </c>
      <c r="R301" s="1"/>
      <c r="S301" s="1" t="s">
        <v>723</v>
      </c>
    </row>
    <row r="302" spans="1:19" x14ac:dyDescent="0.25">
      <c r="A302" s="1" t="s">
        <v>627</v>
      </c>
      <c r="B302" s="1" t="s">
        <v>21</v>
      </c>
      <c r="C302" t="s">
        <v>705</v>
      </c>
      <c r="D302" t="b" cm="1">
        <f t="array" ref="D302">IF(Tabela13[[#This Row],[Nivel]]="N1",INDEX(Tabela13[Lider],MATCH(Tabela13[[#This Row],[Nivel]]&amp;Tabela13[[#This Row],[Liderado]],Tabela13[Nivel]&amp;Tabela13[Liderado],0)))</f>
        <v>0</v>
      </c>
      <c r="H302" t="s">
        <v>740</v>
      </c>
      <c r="I302" s="1" t="s">
        <v>438</v>
      </c>
      <c r="J302" s="1" t="s">
        <v>92</v>
      </c>
      <c r="K302" s="1" t="s">
        <v>9</v>
      </c>
      <c r="L302" s="2" t="s">
        <v>10</v>
      </c>
      <c r="M302" s="1" t="s">
        <v>11</v>
      </c>
      <c r="N302" s="2">
        <v>11318</v>
      </c>
      <c r="O302" s="1" t="s">
        <v>122</v>
      </c>
      <c r="P302" s="1" t="s">
        <v>94</v>
      </c>
      <c r="Q302" s="1" t="s">
        <v>639</v>
      </c>
      <c r="R302" s="1"/>
      <c r="S302" s="1" t="s">
        <v>704</v>
      </c>
    </row>
    <row r="303" spans="1:19" x14ac:dyDescent="0.25">
      <c r="A303" s="1" t="s">
        <v>627</v>
      </c>
      <c r="B303" s="1" t="s">
        <v>42</v>
      </c>
      <c r="C303" t="s">
        <v>703</v>
      </c>
      <c r="D303" t="b" cm="1">
        <f t="array" ref="D303">IF(Tabela13[[#This Row],[Nivel]]="N1",INDEX(Tabela13[Lider],MATCH(Tabela13[[#This Row],[Nivel]]&amp;Tabela13[[#This Row],[Liderado]],Tabela13[Nivel]&amp;Tabela13[Liderado],0)))</f>
        <v>0</v>
      </c>
      <c r="H303" t="s">
        <v>740</v>
      </c>
      <c r="I303" s="1" t="s">
        <v>445</v>
      </c>
      <c r="J303" s="1" t="s">
        <v>34</v>
      </c>
      <c r="K303" s="1" t="s">
        <v>9</v>
      </c>
      <c r="L303" s="2" t="s">
        <v>10</v>
      </c>
      <c r="M303" s="1" t="s">
        <v>11</v>
      </c>
      <c r="N303" s="2">
        <v>11380</v>
      </c>
      <c r="O303" s="1" t="s">
        <v>208</v>
      </c>
      <c r="P303" s="1" t="s">
        <v>36</v>
      </c>
      <c r="Q303" s="1" t="s">
        <v>630</v>
      </c>
      <c r="R303" s="1"/>
      <c r="S303" s="1" t="s">
        <v>702</v>
      </c>
    </row>
    <row r="304" spans="1:19" x14ac:dyDescent="0.25">
      <c r="A304" s="1" t="s">
        <v>670</v>
      </c>
      <c r="B304" s="1" t="s">
        <v>437</v>
      </c>
      <c r="C304" t="s">
        <v>703</v>
      </c>
      <c r="D304" t="b" cm="1">
        <f t="array" ref="D304">IF(Tabela13[[#This Row],[Nivel]]="N1",INDEX(Tabela13[Lider],MATCH(Tabela13[[#This Row],[Nivel]]&amp;Tabela13[[#This Row],[Liderado]],Tabela13[Nivel]&amp;Tabela13[Liderado],0)))</f>
        <v>0</v>
      </c>
      <c r="H304" t="s">
        <v>740</v>
      </c>
      <c r="I304" s="1" t="s">
        <v>449</v>
      </c>
      <c r="J304" s="1" t="s">
        <v>34</v>
      </c>
      <c r="K304" s="1" t="s">
        <v>17</v>
      </c>
      <c r="L304" s="2" t="s">
        <v>10</v>
      </c>
      <c r="M304" s="1" t="s">
        <v>11</v>
      </c>
      <c r="N304" s="2">
        <v>11780</v>
      </c>
      <c r="O304" s="1" t="s">
        <v>293</v>
      </c>
      <c r="P304" s="1" t="s">
        <v>436</v>
      </c>
      <c r="Q304" s="1" t="s">
        <v>630</v>
      </c>
      <c r="R304" s="1"/>
      <c r="S304" s="1" t="s">
        <v>723</v>
      </c>
    </row>
    <row r="305" spans="1:19" x14ac:dyDescent="0.25">
      <c r="A305" s="1" t="s">
        <v>671</v>
      </c>
      <c r="B305" s="1" t="s">
        <v>450</v>
      </c>
      <c r="C305" t="s">
        <v>726</v>
      </c>
      <c r="D305" t="b" cm="1">
        <f t="array" ref="D305">IF(Tabela13[[#This Row],[Nivel]]="N1",INDEX(Tabela13[Lider],MATCH(Tabela13[[#This Row],[Nivel]]&amp;Tabela13[[#This Row],[Liderado]],Tabela13[Nivel]&amp;Tabela13[Liderado],0)))</f>
        <v>0</v>
      </c>
      <c r="H305" t="s">
        <v>740</v>
      </c>
      <c r="I305" s="1" t="s">
        <v>446</v>
      </c>
      <c r="J305" s="1" t="s">
        <v>34</v>
      </c>
      <c r="K305" s="1" t="s">
        <v>9</v>
      </c>
      <c r="L305" s="2" t="s">
        <v>10</v>
      </c>
      <c r="M305" s="1" t="s">
        <v>11</v>
      </c>
      <c r="N305" s="2">
        <v>11472</v>
      </c>
      <c r="O305" s="1" t="s">
        <v>276</v>
      </c>
      <c r="P305" s="1" t="s">
        <v>439</v>
      </c>
      <c r="Q305" s="1" t="s">
        <v>630</v>
      </c>
      <c r="R305" s="1"/>
      <c r="S305" s="1" t="s">
        <v>725</v>
      </c>
    </row>
    <row r="306" spans="1:19" x14ac:dyDescent="0.25">
      <c r="A306" s="1" t="s">
        <v>670</v>
      </c>
      <c r="B306" s="1" t="s">
        <v>437</v>
      </c>
      <c r="C306" t="s">
        <v>703</v>
      </c>
      <c r="D306" t="b" cm="1">
        <f t="array" ref="D306">IF(Tabela13[[#This Row],[Nivel]]="N1",INDEX(Tabela13[Lider],MATCH(Tabela13[[#This Row],[Nivel]]&amp;Tabela13[[#This Row],[Liderado]],Tabela13[Nivel]&amp;Tabela13[Liderado],0)))</f>
        <v>0</v>
      </c>
      <c r="H306" t="s">
        <v>740</v>
      </c>
      <c r="I306" s="1" t="s">
        <v>451</v>
      </c>
      <c r="J306" s="1" t="s">
        <v>301</v>
      </c>
      <c r="K306" s="1" t="s">
        <v>17</v>
      </c>
      <c r="L306" s="2" t="s">
        <v>10</v>
      </c>
      <c r="M306" s="1" t="s">
        <v>11</v>
      </c>
      <c r="N306" s="2">
        <v>11743</v>
      </c>
      <c r="O306" s="1" t="s">
        <v>114</v>
      </c>
      <c r="P306" s="1" t="s">
        <v>436</v>
      </c>
      <c r="Q306" s="1" t="s">
        <v>630</v>
      </c>
      <c r="R306" s="1"/>
      <c r="S306" s="1" t="s">
        <v>723</v>
      </c>
    </row>
    <row r="307" spans="1:19" x14ac:dyDescent="0.25">
      <c r="A307" s="1" t="s">
        <v>671</v>
      </c>
      <c r="B307" s="1" t="s">
        <v>450</v>
      </c>
      <c r="C307" t="s">
        <v>726</v>
      </c>
      <c r="D307" t="b" cm="1">
        <f t="array" ref="D307">IF(Tabela13[[#This Row],[Nivel]]="N1",INDEX(Tabela13[Lider],MATCH(Tabela13[[#This Row],[Nivel]]&amp;Tabela13[[#This Row],[Liderado]],Tabela13[Nivel]&amp;Tabela13[Liderado],0)))</f>
        <v>0</v>
      </c>
      <c r="H307" t="s">
        <v>740</v>
      </c>
      <c r="I307" s="1" t="s">
        <v>460</v>
      </c>
      <c r="J307" s="1" t="s">
        <v>153</v>
      </c>
      <c r="K307" s="1" t="s">
        <v>9</v>
      </c>
      <c r="L307" s="2" t="s">
        <v>10</v>
      </c>
      <c r="M307" s="1" t="s">
        <v>11</v>
      </c>
      <c r="N307" s="2">
        <v>11440</v>
      </c>
      <c r="O307" s="1" t="s">
        <v>154</v>
      </c>
      <c r="P307" s="1" t="s">
        <v>461</v>
      </c>
      <c r="Q307" s="1" t="s">
        <v>650</v>
      </c>
      <c r="R307" s="1"/>
      <c r="S307" s="1" t="s">
        <v>725</v>
      </c>
    </row>
    <row r="308" spans="1:19" x14ac:dyDescent="0.25">
      <c r="A308" s="1" t="s">
        <v>671</v>
      </c>
      <c r="B308" s="1" t="s">
        <v>450</v>
      </c>
      <c r="C308" t="s">
        <v>726</v>
      </c>
      <c r="D308" t="b" cm="1">
        <f t="array" ref="D308">IF(Tabela13[[#This Row],[Nivel]]="N1",INDEX(Tabela13[Lider],MATCH(Tabela13[[#This Row],[Nivel]]&amp;Tabela13[[#This Row],[Liderado]],Tabela13[Nivel]&amp;Tabela13[Liderado],0)))</f>
        <v>0</v>
      </c>
      <c r="H308" t="s">
        <v>740</v>
      </c>
      <c r="I308" s="1" t="s">
        <v>464</v>
      </c>
      <c r="J308" s="1" t="s">
        <v>34</v>
      </c>
      <c r="K308" s="1" t="s">
        <v>9</v>
      </c>
      <c r="L308" s="2" t="s">
        <v>10</v>
      </c>
      <c r="M308" s="1" t="s">
        <v>11</v>
      </c>
      <c r="N308" s="2">
        <v>11472</v>
      </c>
      <c r="O308" s="1" t="s">
        <v>276</v>
      </c>
      <c r="P308" s="1" t="s">
        <v>439</v>
      </c>
      <c r="Q308" s="1" t="s">
        <v>630</v>
      </c>
      <c r="R308" s="1"/>
      <c r="S308" s="1" t="s">
        <v>725</v>
      </c>
    </row>
    <row r="309" spans="1:19" x14ac:dyDescent="0.25">
      <c r="A309" s="1" t="s">
        <v>671</v>
      </c>
      <c r="B309" s="1" t="s">
        <v>450</v>
      </c>
      <c r="C309" t="s">
        <v>726</v>
      </c>
      <c r="D309" t="b" cm="1">
        <f t="array" ref="D309">IF(Tabela13[[#This Row],[Nivel]]="N1",INDEX(Tabela13[Lider],MATCH(Tabela13[[#This Row],[Nivel]]&amp;Tabela13[[#This Row],[Liderado]],Tabela13[Nivel]&amp;Tabela13[Liderado],0)))</f>
        <v>0</v>
      </c>
      <c r="H309" t="s">
        <v>740</v>
      </c>
      <c r="I309" s="1" t="s">
        <v>465</v>
      </c>
      <c r="J309" s="1" t="s">
        <v>34</v>
      </c>
      <c r="K309" s="1" t="s">
        <v>9</v>
      </c>
      <c r="L309" s="2" t="s">
        <v>10</v>
      </c>
      <c r="M309" s="1" t="s">
        <v>11</v>
      </c>
      <c r="N309" s="2">
        <v>11472</v>
      </c>
      <c r="O309" s="1" t="s">
        <v>276</v>
      </c>
      <c r="P309" s="1" t="s">
        <v>439</v>
      </c>
      <c r="Q309" s="1" t="s">
        <v>630</v>
      </c>
      <c r="R309" s="1"/>
      <c r="S309" s="1" t="s">
        <v>725</v>
      </c>
    </row>
    <row r="310" spans="1:19" x14ac:dyDescent="0.25">
      <c r="A310" s="1" t="s">
        <v>671</v>
      </c>
      <c r="B310" s="1" t="s">
        <v>450</v>
      </c>
      <c r="C310" t="s">
        <v>726</v>
      </c>
      <c r="D310" t="b" cm="1">
        <f t="array" ref="D310">IF(Tabela13[[#This Row],[Nivel]]="N1",INDEX(Tabela13[Lider],MATCH(Tabela13[[#This Row],[Nivel]]&amp;Tabela13[[#This Row],[Liderado]],Tabela13[Nivel]&amp;Tabela13[Liderado],0)))</f>
        <v>0</v>
      </c>
      <c r="H310" t="s">
        <v>740</v>
      </c>
      <c r="I310" s="1" t="s">
        <v>466</v>
      </c>
      <c r="J310" s="1" t="s">
        <v>265</v>
      </c>
      <c r="K310" s="1" t="s">
        <v>9</v>
      </c>
      <c r="L310" s="2" t="s">
        <v>10</v>
      </c>
      <c r="M310" s="1" t="s">
        <v>11</v>
      </c>
      <c r="N310" s="2">
        <v>11472</v>
      </c>
      <c r="O310" s="1" t="s">
        <v>276</v>
      </c>
      <c r="P310" s="1" t="s">
        <v>439</v>
      </c>
      <c r="Q310" s="1" t="s">
        <v>630</v>
      </c>
      <c r="R310" s="1"/>
      <c r="S310" s="1" t="s">
        <v>725</v>
      </c>
    </row>
    <row r="311" spans="1:19" x14ac:dyDescent="0.25">
      <c r="A311" s="1" t="s">
        <v>671</v>
      </c>
      <c r="B311" s="1" t="s">
        <v>450</v>
      </c>
      <c r="C311" t="s">
        <v>726</v>
      </c>
      <c r="D311" t="b" cm="1">
        <f t="array" ref="D311">IF(Tabela13[[#This Row],[Nivel]]="N1",INDEX(Tabela13[Lider],MATCH(Tabela13[[#This Row],[Nivel]]&amp;Tabela13[[#This Row],[Liderado]],Tabela13[Nivel]&amp;Tabela13[Liderado],0)))</f>
        <v>0</v>
      </c>
      <c r="H311" t="s">
        <v>740</v>
      </c>
      <c r="I311" s="1" t="s">
        <v>477</v>
      </c>
      <c r="J311" s="1" t="s">
        <v>34</v>
      </c>
      <c r="K311" s="1" t="s">
        <v>9</v>
      </c>
      <c r="L311" s="2" t="s">
        <v>10</v>
      </c>
      <c r="M311" s="1" t="s">
        <v>11</v>
      </c>
      <c r="N311" s="2">
        <v>11472</v>
      </c>
      <c r="O311" s="1" t="s">
        <v>276</v>
      </c>
      <c r="P311" s="1" t="s">
        <v>439</v>
      </c>
      <c r="Q311" s="1" t="s">
        <v>630</v>
      </c>
      <c r="R311" s="1"/>
      <c r="S311" s="1" t="s">
        <v>725</v>
      </c>
    </row>
    <row r="312" spans="1:19" x14ac:dyDescent="0.25">
      <c r="A312" s="1" t="s">
        <v>671</v>
      </c>
      <c r="B312" s="1" t="s">
        <v>450</v>
      </c>
      <c r="C312" t="s">
        <v>726</v>
      </c>
      <c r="D312" t="b" cm="1">
        <f t="array" ref="D312">IF(Tabela13[[#This Row],[Nivel]]="N1",INDEX(Tabela13[Lider],MATCH(Tabela13[[#This Row],[Nivel]]&amp;Tabela13[[#This Row],[Liderado]],Tabela13[Nivel]&amp;Tabela13[Liderado],0)))</f>
        <v>0</v>
      </c>
      <c r="H312" t="s">
        <v>740</v>
      </c>
      <c r="I312" s="1" t="s">
        <v>478</v>
      </c>
      <c r="J312" s="1" t="s">
        <v>34</v>
      </c>
      <c r="K312" s="1" t="s">
        <v>17</v>
      </c>
      <c r="L312" s="2" t="s">
        <v>10</v>
      </c>
      <c r="M312" s="1" t="s">
        <v>11</v>
      </c>
      <c r="N312" s="2">
        <v>11472</v>
      </c>
      <c r="O312" s="1" t="s">
        <v>276</v>
      </c>
      <c r="P312" s="1" t="s">
        <v>439</v>
      </c>
      <c r="Q312" s="1" t="s">
        <v>630</v>
      </c>
      <c r="R312" s="1"/>
      <c r="S312" s="1" t="s">
        <v>725</v>
      </c>
    </row>
    <row r="313" spans="1:19" x14ac:dyDescent="0.25">
      <c r="A313" s="1" t="s">
        <v>671</v>
      </c>
      <c r="B313" s="1" t="s">
        <v>450</v>
      </c>
      <c r="C313" t="s">
        <v>726</v>
      </c>
      <c r="D313" t="b" cm="1">
        <f t="array" ref="D313">IF(Tabela13[[#This Row],[Nivel]]="N1",INDEX(Tabela13[Lider],MATCH(Tabela13[[#This Row],[Nivel]]&amp;Tabela13[[#This Row],[Liderado]],Tabela13[Nivel]&amp;Tabela13[Liderado],0)))</f>
        <v>0</v>
      </c>
      <c r="H313" t="s">
        <v>740</v>
      </c>
      <c r="I313" s="1" t="s">
        <v>482</v>
      </c>
      <c r="J313" s="1" t="s">
        <v>168</v>
      </c>
      <c r="K313" s="1" t="s">
        <v>9</v>
      </c>
      <c r="L313" s="2" t="s">
        <v>10</v>
      </c>
      <c r="M313" s="1" t="s">
        <v>11</v>
      </c>
      <c r="N313" s="2">
        <v>11443</v>
      </c>
      <c r="O313" s="1" t="s">
        <v>114</v>
      </c>
      <c r="P313" s="1" t="s">
        <v>480</v>
      </c>
      <c r="Q313" s="1" t="s">
        <v>652</v>
      </c>
      <c r="R313" s="1"/>
      <c r="S313" s="1" t="s">
        <v>725</v>
      </c>
    </row>
    <row r="314" spans="1:19" x14ac:dyDescent="0.25">
      <c r="A314" s="1" t="s">
        <v>671</v>
      </c>
      <c r="B314" s="1" t="s">
        <v>450</v>
      </c>
      <c r="C314" t="s">
        <v>726</v>
      </c>
      <c r="D314" t="b" cm="1">
        <f t="array" ref="D314">IF(Tabela13[[#This Row],[Nivel]]="N1",INDEX(Tabela13[Lider],MATCH(Tabela13[[#This Row],[Nivel]]&amp;Tabela13[[#This Row],[Liderado]],Tabela13[Nivel]&amp;Tabela13[Liderado],0)))</f>
        <v>0</v>
      </c>
      <c r="H314" t="s">
        <v>740</v>
      </c>
      <c r="I314" s="1" t="s">
        <v>484</v>
      </c>
      <c r="J314" s="1" t="s">
        <v>301</v>
      </c>
      <c r="K314" s="1" t="s">
        <v>9</v>
      </c>
      <c r="L314" s="2" t="s">
        <v>10</v>
      </c>
      <c r="M314" s="1" t="s">
        <v>11</v>
      </c>
      <c r="N314" s="2">
        <v>11443</v>
      </c>
      <c r="O314" s="1" t="s">
        <v>114</v>
      </c>
      <c r="P314" s="1" t="s">
        <v>439</v>
      </c>
      <c r="Q314" s="1" t="s">
        <v>630</v>
      </c>
      <c r="R314" s="1"/>
      <c r="S314" s="1" t="s">
        <v>725</v>
      </c>
    </row>
    <row r="315" spans="1:19" x14ac:dyDescent="0.25">
      <c r="A315" s="1" t="s">
        <v>670</v>
      </c>
      <c r="B315" s="1" t="s">
        <v>437</v>
      </c>
      <c r="C315" t="s">
        <v>703</v>
      </c>
      <c r="D315" t="b" cm="1">
        <f t="array" ref="D315">IF(Tabela13[[#This Row],[Nivel]]="N1",INDEX(Tabela13[Lider],MATCH(Tabela13[[#This Row],[Nivel]]&amp;Tabela13[[#This Row],[Liderado]],Tabela13[Nivel]&amp;Tabela13[Liderado],0)))</f>
        <v>0</v>
      </c>
      <c r="H315" t="s">
        <v>740</v>
      </c>
      <c r="I315" s="1" t="s">
        <v>496</v>
      </c>
      <c r="J315" s="1" t="s">
        <v>34</v>
      </c>
      <c r="K315" s="1" t="s">
        <v>17</v>
      </c>
      <c r="L315" s="2" t="s">
        <v>10</v>
      </c>
      <c r="M315" s="1" t="s">
        <v>11</v>
      </c>
      <c r="N315" s="2">
        <v>11780</v>
      </c>
      <c r="O315" s="1" t="s">
        <v>293</v>
      </c>
      <c r="P315" s="1" t="s">
        <v>436</v>
      </c>
      <c r="Q315" s="1" t="s">
        <v>630</v>
      </c>
      <c r="R315" s="1"/>
      <c r="S315" s="1" t="s">
        <v>723</v>
      </c>
    </row>
    <row r="316" spans="1:19" x14ac:dyDescent="0.25">
      <c r="A316" s="1" t="s">
        <v>670</v>
      </c>
      <c r="B316" s="1" t="s">
        <v>437</v>
      </c>
      <c r="C316" t="s">
        <v>703</v>
      </c>
      <c r="D316" t="b" cm="1">
        <f t="array" ref="D316">IF(Tabela13[[#This Row],[Nivel]]="N1",INDEX(Tabela13[Lider],MATCH(Tabela13[[#This Row],[Nivel]]&amp;Tabela13[[#This Row],[Liderado]],Tabela13[Nivel]&amp;Tabela13[Liderado],0)))</f>
        <v>0</v>
      </c>
      <c r="H316" t="s">
        <v>740</v>
      </c>
      <c r="I316" s="1" t="s">
        <v>497</v>
      </c>
      <c r="J316" s="1" t="s">
        <v>301</v>
      </c>
      <c r="K316" s="1" t="s">
        <v>17</v>
      </c>
      <c r="L316" s="2" t="s">
        <v>10</v>
      </c>
      <c r="M316" s="1" t="s">
        <v>11</v>
      </c>
      <c r="N316" s="2">
        <v>11743</v>
      </c>
      <c r="O316" s="1" t="s">
        <v>114</v>
      </c>
      <c r="P316" s="1" t="s">
        <v>436</v>
      </c>
      <c r="Q316" s="1" t="s">
        <v>630</v>
      </c>
      <c r="R316" s="1"/>
      <c r="S316" s="1" t="s">
        <v>723</v>
      </c>
    </row>
    <row r="317" spans="1:19" x14ac:dyDescent="0.25">
      <c r="A317" s="1" t="s">
        <v>670</v>
      </c>
      <c r="B317" s="1" t="s">
        <v>437</v>
      </c>
      <c r="C317" t="s">
        <v>703</v>
      </c>
      <c r="D317" t="b" cm="1">
        <f t="array" ref="D317">IF(Tabela13[[#This Row],[Nivel]]="N1",INDEX(Tabela13[Lider],MATCH(Tabela13[[#This Row],[Nivel]]&amp;Tabela13[[#This Row],[Liderado]],Tabela13[Nivel]&amp;Tabela13[Liderado],0)))</f>
        <v>0</v>
      </c>
      <c r="H317" t="s">
        <v>740</v>
      </c>
      <c r="I317" s="1" t="s">
        <v>511</v>
      </c>
      <c r="J317" s="1" t="s">
        <v>168</v>
      </c>
      <c r="K317" s="1" t="s">
        <v>9</v>
      </c>
      <c r="L317" s="2" t="s">
        <v>10</v>
      </c>
      <c r="M317" s="1" t="s">
        <v>11</v>
      </c>
      <c r="N317" s="2">
        <v>11743</v>
      </c>
      <c r="O317" s="1" t="s">
        <v>114</v>
      </c>
      <c r="P317" s="1" t="s">
        <v>512</v>
      </c>
      <c r="Q317" s="1" t="s">
        <v>652</v>
      </c>
      <c r="R317" s="1"/>
      <c r="S317" s="1" t="s">
        <v>723</v>
      </c>
    </row>
    <row r="318" spans="1:19" x14ac:dyDescent="0.25">
      <c r="A318" s="1" t="s">
        <v>670</v>
      </c>
      <c r="B318" s="1" t="s">
        <v>437</v>
      </c>
      <c r="C318" t="s">
        <v>703</v>
      </c>
      <c r="D318" t="b" cm="1">
        <f t="array" ref="D318">IF(Tabela13[[#This Row],[Nivel]]="N1",INDEX(Tabela13[Lider],MATCH(Tabela13[[#This Row],[Nivel]]&amp;Tabela13[[#This Row],[Liderado]],Tabela13[Nivel]&amp;Tabela13[Liderado],0)))</f>
        <v>0</v>
      </c>
      <c r="H318" t="s">
        <v>740</v>
      </c>
      <c r="I318" s="1" t="s">
        <v>513</v>
      </c>
      <c r="J318" s="1" t="s">
        <v>514</v>
      </c>
      <c r="K318" s="1" t="s">
        <v>9</v>
      </c>
      <c r="L318" s="2" t="s">
        <v>179</v>
      </c>
      <c r="M318" s="1" t="s">
        <v>180</v>
      </c>
      <c r="N318" s="2">
        <v>11743</v>
      </c>
      <c r="O318" s="1" t="s">
        <v>114</v>
      </c>
      <c r="P318" s="1" t="s">
        <v>436</v>
      </c>
      <c r="Q318" s="1" t="s">
        <v>630</v>
      </c>
      <c r="R318" s="1"/>
      <c r="S318" s="1" t="s">
        <v>723</v>
      </c>
    </row>
    <row r="319" spans="1:19" x14ac:dyDescent="0.25">
      <c r="A319" s="1" t="s">
        <v>670</v>
      </c>
      <c r="B319" s="1" t="s">
        <v>437</v>
      </c>
      <c r="C319" t="s">
        <v>703</v>
      </c>
      <c r="D319" t="b" cm="1">
        <f t="array" ref="D319">IF(Tabela13[[#This Row],[Nivel]]="N1",INDEX(Tabela13[Lider],MATCH(Tabela13[[#This Row],[Nivel]]&amp;Tabela13[[#This Row],[Liderado]],Tabela13[Nivel]&amp;Tabela13[Liderado],0)))</f>
        <v>0</v>
      </c>
      <c r="H319" t="s">
        <v>740</v>
      </c>
      <c r="I319" s="1" t="s">
        <v>519</v>
      </c>
      <c r="J319" s="1" t="s">
        <v>168</v>
      </c>
      <c r="K319" s="1" t="s">
        <v>9</v>
      </c>
      <c r="L319" s="2" t="s">
        <v>10</v>
      </c>
      <c r="M319" s="1" t="s">
        <v>11</v>
      </c>
      <c r="N319" s="2">
        <v>11743</v>
      </c>
      <c r="O319" s="1" t="s">
        <v>114</v>
      </c>
      <c r="P319" s="1" t="s">
        <v>512</v>
      </c>
      <c r="Q319" s="1" t="s">
        <v>652</v>
      </c>
      <c r="R319" s="1"/>
      <c r="S319" s="1" t="s">
        <v>723</v>
      </c>
    </row>
    <row r="320" spans="1:19" x14ac:dyDescent="0.25">
      <c r="A320" s="1" t="s">
        <v>671</v>
      </c>
      <c r="B320" s="1" t="s">
        <v>450</v>
      </c>
      <c r="C320" t="s">
        <v>726</v>
      </c>
      <c r="D320" t="b" cm="1">
        <f t="array" ref="D320">IF(Tabela13[[#This Row],[Nivel]]="N1",INDEX(Tabela13[Lider],MATCH(Tabela13[[#This Row],[Nivel]]&amp;Tabela13[[#This Row],[Liderado]],Tabela13[Nivel]&amp;Tabela13[Liderado],0)))</f>
        <v>0</v>
      </c>
      <c r="H320" t="s">
        <v>740</v>
      </c>
      <c r="I320" s="1" t="s">
        <v>521</v>
      </c>
      <c r="J320" s="1" t="s">
        <v>34</v>
      </c>
      <c r="K320" s="1" t="s">
        <v>9</v>
      </c>
      <c r="L320" s="2" t="s">
        <v>10</v>
      </c>
      <c r="M320" s="1" t="s">
        <v>11</v>
      </c>
      <c r="N320" s="2">
        <v>11472</v>
      </c>
      <c r="O320" s="1" t="s">
        <v>276</v>
      </c>
      <c r="P320" s="1" t="s">
        <v>439</v>
      </c>
      <c r="Q320" s="1" t="s">
        <v>630</v>
      </c>
      <c r="R320" s="1"/>
      <c r="S320" s="1" t="s">
        <v>725</v>
      </c>
    </row>
    <row r="321" spans="1:19" x14ac:dyDescent="0.25">
      <c r="A321" s="1" t="s">
        <v>670</v>
      </c>
      <c r="B321" s="1" t="s">
        <v>437</v>
      </c>
      <c r="C321" t="s">
        <v>703</v>
      </c>
      <c r="D321" t="b" cm="1">
        <f t="array" ref="D321">IF(Tabela13[[#This Row],[Nivel]]="N1",INDEX(Tabela13[Lider],MATCH(Tabela13[[#This Row],[Nivel]]&amp;Tabela13[[#This Row],[Liderado]],Tabela13[Nivel]&amp;Tabela13[Liderado],0)))</f>
        <v>0</v>
      </c>
      <c r="H321" t="s">
        <v>740</v>
      </c>
      <c r="I321" s="1" t="s">
        <v>522</v>
      </c>
      <c r="J321" s="1" t="s">
        <v>34</v>
      </c>
      <c r="K321" s="1" t="s">
        <v>9</v>
      </c>
      <c r="L321" s="2" t="s">
        <v>10</v>
      </c>
      <c r="M321" s="1" t="s">
        <v>11</v>
      </c>
      <c r="N321" s="2">
        <v>11780</v>
      </c>
      <c r="O321" s="1" t="s">
        <v>293</v>
      </c>
      <c r="P321" s="1" t="s">
        <v>436</v>
      </c>
      <c r="Q321" s="1" t="s">
        <v>630</v>
      </c>
      <c r="R321" s="1"/>
      <c r="S321" s="1" t="s">
        <v>723</v>
      </c>
    </row>
    <row r="322" spans="1:19" x14ac:dyDescent="0.25">
      <c r="A322" s="1" t="s">
        <v>670</v>
      </c>
      <c r="B322" s="1" t="s">
        <v>437</v>
      </c>
      <c r="C322" t="s">
        <v>703</v>
      </c>
      <c r="D322" t="b" cm="1">
        <f t="array" ref="D322">IF(Tabela13[[#This Row],[Nivel]]="N1",INDEX(Tabela13[Lider],MATCH(Tabela13[[#This Row],[Nivel]]&amp;Tabela13[[#This Row],[Liderado]],Tabela13[Nivel]&amp;Tabela13[Liderado],0)))</f>
        <v>0</v>
      </c>
      <c r="H322" t="s">
        <v>740</v>
      </c>
      <c r="I322" s="1" t="s">
        <v>528</v>
      </c>
      <c r="J322" s="1" t="s">
        <v>92</v>
      </c>
      <c r="K322" s="1" t="s">
        <v>9</v>
      </c>
      <c r="L322" s="2" t="s">
        <v>10</v>
      </c>
      <c r="M322" s="1" t="s">
        <v>11</v>
      </c>
      <c r="N322" s="2">
        <v>11718</v>
      </c>
      <c r="O322" s="1" t="s">
        <v>122</v>
      </c>
      <c r="P322" s="1" t="s">
        <v>529</v>
      </c>
      <c r="Q322" s="1" t="s">
        <v>639</v>
      </c>
      <c r="R322" s="1"/>
      <c r="S322" s="1" t="s">
        <v>723</v>
      </c>
    </row>
    <row r="323" spans="1:19" x14ac:dyDescent="0.25">
      <c r="A323" s="1" t="s">
        <v>671</v>
      </c>
      <c r="B323" s="1" t="s">
        <v>450</v>
      </c>
      <c r="C323" t="s">
        <v>726</v>
      </c>
      <c r="D323" t="b" cm="1">
        <f t="array" ref="D323">IF(Tabela13[[#This Row],[Nivel]]="N1",INDEX(Tabela13[Lider],MATCH(Tabela13[[#This Row],[Nivel]]&amp;Tabela13[[#This Row],[Liderado]],Tabela13[Nivel]&amp;Tabela13[Liderado],0)))</f>
        <v>0</v>
      </c>
      <c r="H323" t="s">
        <v>740</v>
      </c>
      <c r="I323" s="1" t="s">
        <v>532</v>
      </c>
      <c r="J323" s="1" t="s">
        <v>265</v>
      </c>
      <c r="K323" s="1" t="s">
        <v>9</v>
      </c>
      <c r="L323" s="2" t="s">
        <v>10</v>
      </c>
      <c r="M323" s="1" t="s">
        <v>11</v>
      </c>
      <c r="N323" s="2">
        <v>11472</v>
      </c>
      <c r="O323" s="1" t="s">
        <v>276</v>
      </c>
      <c r="P323" s="1" t="s">
        <v>439</v>
      </c>
      <c r="Q323" s="1" t="s">
        <v>630</v>
      </c>
      <c r="R323" s="1"/>
      <c r="S323" s="1" t="s">
        <v>725</v>
      </c>
    </row>
    <row r="324" spans="1:19" x14ac:dyDescent="0.25">
      <c r="A324" s="1" t="s">
        <v>670</v>
      </c>
      <c r="B324" s="1" t="s">
        <v>437</v>
      </c>
      <c r="C324" t="s">
        <v>703</v>
      </c>
      <c r="D324" t="b" cm="1">
        <f t="array" ref="D324">IF(Tabela13[[#This Row],[Nivel]]="N1",INDEX(Tabela13[Lider],MATCH(Tabela13[[#This Row],[Nivel]]&amp;Tabela13[[#This Row],[Liderado]],Tabela13[Nivel]&amp;Tabela13[Liderado],0)))</f>
        <v>0</v>
      </c>
      <c r="H324" t="s">
        <v>740</v>
      </c>
      <c r="I324" s="1" t="s">
        <v>533</v>
      </c>
      <c r="J324" s="1" t="s">
        <v>301</v>
      </c>
      <c r="K324" s="1" t="s">
        <v>9</v>
      </c>
      <c r="L324" s="2" t="s">
        <v>10</v>
      </c>
      <c r="M324" s="1" t="s">
        <v>11</v>
      </c>
      <c r="N324" s="2">
        <v>11743</v>
      </c>
      <c r="O324" s="1" t="s">
        <v>114</v>
      </c>
      <c r="P324" s="1" t="s">
        <v>436</v>
      </c>
      <c r="Q324" s="1" t="s">
        <v>630</v>
      </c>
      <c r="R324" s="1"/>
      <c r="S324" s="1" t="s">
        <v>723</v>
      </c>
    </row>
    <row r="325" spans="1:19" x14ac:dyDescent="0.25">
      <c r="A325" s="1" t="s">
        <v>670</v>
      </c>
      <c r="B325" s="1" t="s">
        <v>437</v>
      </c>
      <c r="C325" t="s">
        <v>703</v>
      </c>
      <c r="D325" t="b" cm="1">
        <f t="array" ref="D325">IF(Tabela13[[#This Row],[Nivel]]="N1",INDEX(Tabela13[Lider],MATCH(Tabela13[[#This Row],[Nivel]]&amp;Tabela13[[#This Row],[Liderado]],Tabela13[Nivel]&amp;Tabela13[Liderado],0)))</f>
        <v>0</v>
      </c>
      <c r="H325" t="s">
        <v>740</v>
      </c>
      <c r="I325" s="1" t="s">
        <v>534</v>
      </c>
      <c r="J325" s="1" t="s">
        <v>92</v>
      </c>
      <c r="K325" s="1" t="s">
        <v>9</v>
      </c>
      <c r="L325" s="2" t="s">
        <v>10</v>
      </c>
      <c r="M325" s="1" t="s">
        <v>11</v>
      </c>
      <c r="N325" s="2">
        <v>11718</v>
      </c>
      <c r="O325" s="1" t="s">
        <v>122</v>
      </c>
      <c r="P325" s="1" t="s">
        <v>529</v>
      </c>
      <c r="Q325" s="1" t="s">
        <v>639</v>
      </c>
      <c r="R325" s="1"/>
      <c r="S325" s="1" t="s">
        <v>723</v>
      </c>
    </row>
    <row r="326" spans="1:19" x14ac:dyDescent="0.25">
      <c r="A326" s="1" t="s">
        <v>670</v>
      </c>
      <c r="B326" s="1" t="s">
        <v>437</v>
      </c>
      <c r="C326" t="s">
        <v>703</v>
      </c>
      <c r="D326" t="b" cm="1">
        <f t="array" ref="D326">IF(Tabela13[[#This Row],[Nivel]]="N1",INDEX(Tabela13[Lider],MATCH(Tabela13[[#This Row],[Nivel]]&amp;Tabela13[[#This Row],[Liderado]],Tabela13[Nivel]&amp;Tabela13[Liderado],0)))</f>
        <v>0</v>
      </c>
      <c r="H326" t="s">
        <v>740</v>
      </c>
      <c r="I326" s="1" t="s">
        <v>542</v>
      </c>
      <c r="J326" s="1" t="s">
        <v>34</v>
      </c>
      <c r="K326" s="1" t="s">
        <v>9</v>
      </c>
      <c r="L326" s="2" t="s">
        <v>10</v>
      </c>
      <c r="M326" s="1" t="s">
        <v>11</v>
      </c>
      <c r="N326" s="2">
        <v>11780</v>
      </c>
      <c r="O326" s="1" t="s">
        <v>293</v>
      </c>
      <c r="P326" s="1" t="s">
        <v>436</v>
      </c>
      <c r="Q326" s="1" t="s">
        <v>630</v>
      </c>
      <c r="R326" s="1"/>
      <c r="S326" s="1" t="s">
        <v>723</v>
      </c>
    </row>
    <row r="327" spans="1:19" x14ac:dyDescent="0.25">
      <c r="A327" s="1" t="s">
        <v>671</v>
      </c>
      <c r="B327" s="1" t="s">
        <v>450</v>
      </c>
      <c r="C327" t="s">
        <v>726</v>
      </c>
      <c r="D327" t="b" cm="1">
        <f t="array" ref="D327">IF(Tabela13[[#This Row],[Nivel]]="N1",INDEX(Tabela13[Lider],MATCH(Tabela13[[#This Row],[Nivel]]&amp;Tabela13[[#This Row],[Liderado]],Tabela13[Nivel]&amp;Tabela13[Liderado],0)))</f>
        <v>0</v>
      </c>
      <c r="H327" t="s">
        <v>740</v>
      </c>
      <c r="I327" s="1" t="s">
        <v>544</v>
      </c>
      <c r="J327" s="1" t="s">
        <v>301</v>
      </c>
      <c r="K327" s="1" t="s">
        <v>9</v>
      </c>
      <c r="L327" s="2" t="s">
        <v>10</v>
      </c>
      <c r="M327" s="1" t="s">
        <v>11</v>
      </c>
      <c r="N327" s="2">
        <v>11443</v>
      </c>
      <c r="O327" s="1" t="s">
        <v>114</v>
      </c>
      <c r="P327" s="1" t="s">
        <v>439</v>
      </c>
      <c r="Q327" s="1" t="s">
        <v>630</v>
      </c>
      <c r="R327" s="1"/>
      <c r="S327" s="1" t="s">
        <v>725</v>
      </c>
    </row>
    <row r="328" spans="1:19" x14ac:dyDescent="0.25">
      <c r="A328" s="1" t="s">
        <v>671</v>
      </c>
      <c r="B328" s="1" t="s">
        <v>450</v>
      </c>
      <c r="C328" t="s">
        <v>726</v>
      </c>
      <c r="D328" t="b" cm="1">
        <f t="array" ref="D328">IF(Tabela13[[#This Row],[Nivel]]="N1",INDEX(Tabela13[Lider],MATCH(Tabela13[[#This Row],[Nivel]]&amp;Tabela13[[#This Row],[Liderado]],Tabela13[Nivel]&amp;Tabela13[Liderado],0)))</f>
        <v>0</v>
      </c>
      <c r="H328" t="s">
        <v>740</v>
      </c>
      <c r="I328" s="1" t="s">
        <v>546</v>
      </c>
      <c r="J328" s="1" t="s">
        <v>34</v>
      </c>
      <c r="K328" s="1" t="s">
        <v>9</v>
      </c>
      <c r="L328" s="2" t="s">
        <v>10</v>
      </c>
      <c r="M328" s="1" t="s">
        <v>11</v>
      </c>
      <c r="N328" s="2">
        <v>11472</v>
      </c>
      <c r="O328" s="1" t="s">
        <v>276</v>
      </c>
      <c r="P328" s="1" t="s">
        <v>439</v>
      </c>
      <c r="Q328" s="1" t="s">
        <v>630</v>
      </c>
      <c r="R328" s="1"/>
      <c r="S328" s="1" t="s">
        <v>725</v>
      </c>
    </row>
    <row r="329" spans="1:19" x14ac:dyDescent="0.25">
      <c r="A329" s="1" t="s">
        <v>671</v>
      </c>
      <c r="B329" s="1" t="s">
        <v>450</v>
      </c>
      <c r="C329" t="s">
        <v>726</v>
      </c>
      <c r="D329" t="b" cm="1">
        <f t="array" ref="D329">IF(Tabela13[[#This Row],[Nivel]]="N1",INDEX(Tabela13[Lider],MATCH(Tabela13[[#This Row],[Nivel]]&amp;Tabela13[[#This Row],[Liderado]],Tabela13[Nivel]&amp;Tabela13[Liderado],0)))</f>
        <v>0</v>
      </c>
      <c r="H329" t="s">
        <v>740</v>
      </c>
      <c r="I329" s="1" t="s">
        <v>554</v>
      </c>
      <c r="J329" s="1" t="s">
        <v>34</v>
      </c>
      <c r="K329" s="1" t="s">
        <v>9</v>
      </c>
      <c r="L329" s="2" t="s">
        <v>10</v>
      </c>
      <c r="M329" s="1" t="s">
        <v>11</v>
      </c>
      <c r="N329" s="2">
        <v>11472</v>
      </c>
      <c r="O329" s="1" t="s">
        <v>276</v>
      </c>
      <c r="P329" s="1" t="s">
        <v>439</v>
      </c>
      <c r="Q329" s="1" t="s">
        <v>630</v>
      </c>
      <c r="R329" s="1"/>
      <c r="S329" s="1" t="s">
        <v>725</v>
      </c>
    </row>
    <row r="330" spans="1:19" x14ac:dyDescent="0.25">
      <c r="A330" s="1" t="s">
        <v>670</v>
      </c>
      <c r="B330" s="1" t="s">
        <v>437</v>
      </c>
      <c r="C330" t="s">
        <v>703</v>
      </c>
      <c r="D330" t="b" cm="1">
        <f t="array" ref="D330">IF(Tabela13[[#This Row],[Nivel]]="N1",INDEX(Tabela13[Lider],MATCH(Tabela13[[#This Row],[Nivel]]&amp;Tabela13[[#This Row],[Liderado]],Tabela13[Nivel]&amp;Tabela13[Liderado],0)))</f>
        <v>0</v>
      </c>
      <c r="H330" t="s">
        <v>740</v>
      </c>
      <c r="I330" s="1" t="s">
        <v>555</v>
      </c>
      <c r="J330" s="1" t="s">
        <v>274</v>
      </c>
      <c r="K330" s="1" t="s">
        <v>9</v>
      </c>
      <c r="L330" s="2" t="s">
        <v>10</v>
      </c>
      <c r="M330" s="1" t="s">
        <v>11</v>
      </c>
      <c r="N330" s="2">
        <v>11738</v>
      </c>
      <c r="O330" s="1" t="s">
        <v>275</v>
      </c>
      <c r="P330" s="1" t="s">
        <v>556</v>
      </c>
      <c r="Q330" s="1" t="s">
        <v>650</v>
      </c>
      <c r="R330" s="1"/>
      <c r="S330" s="1" t="s">
        <v>723</v>
      </c>
    </row>
    <row r="331" spans="1:19" x14ac:dyDescent="0.25">
      <c r="A331" s="1" t="s">
        <v>670</v>
      </c>
      <c r="B331" s="1" t="s">
        <v>437</v>
      </c>
      <c r="C331" t="s">
        <v>703</v>
      </c>
      <c r="D331" t="b" cm="1">
        <f t="array" ref="D331">IF(Tabela13[[#This Row],[Nivel]]="N1",INDEX(Tabela13[Lider],MATCH(Tabela13[[#This Row],[Nivel]]&amp;Tabela13[[#This Row],[Liderado]],Tabela13[Nivel]&amp;Tabela13[Liderado],0)))</f>
        <v>0</v>
      </c>
      <c r="H331" t="s">
        <v>740</v>
      </c>
      <c r="I331" s="1" t="s">
        <v>557</v>
      </c>
      <c r="J331" s="1" t="s">
        <v>34</v>
      </c>
      <c r="K331" s="1" t="s">
        <v>9</v>
      </c>
      <c r="L331" s="2" t="s">
        <v>10</v>
      </c>
      <c r="M331" s="1" t="s">
        <v>11</v>
      </c>
      <c r="N331" s="2">
        <v>11780</v>
      </c>
      <c r="O331" s="1" t="s">
        <v>293</v>
      </c>
      <c r="P331" s="1" t="s">
        <v>436</v>
      </c>
      <c r="Q331" s="1" t="s">
        <v>630</v>
      </c>
      <c r="R331" s="1"/>
      <c r="S331" s="1" t="s">
        <v>723</v>
      </c>
    </row>
    <row r="332" spans="1:19" x14ac:dyDescent="0.25">
      <c r="A332" s="1" t="s">
        <v>670</v>
      </c>
      <c r="B332" s="1" t="s">
        <v>437</v>
      </c>
      <c r="C332" t="s">
        <v>703</v>
      </c>
      <c r="D332" t="b" cm="1">
        <f t="array" ref="D332">IF(Tabela13[[#This Row],[Nivel]]="N1",INDEX(Tabela13[Lider],MATCH(Tabela13[[#This Row],[Nivel]]&amp;Tabela13[[#This Row],[Liderado]],Tabela13[Nivel]&amp;Tabela13[Liderado],0)))</f>
        <v>0</v>
      </c>
      <c r="H332" t="s">
        <v>740</v>
      </c>
      <c r="I332" s="1" t="s">
        <v>558</v>
      </c>
      <c r="J332" s="1" t="s">
        <v>153</v>
      </c>
      <c r="K332" s="1" t="s">
        <v>9</v>
      </c>
      <c r="L332" s="2" t="s">
        <v>10</v>
      </c>
      <c r="M332" s="1" t="s">
        <v>11</v>
      </c>
      <c r="N332" s="2">
        <v>11740</v>
      </c>
      <c r="O332" s="1" t="s">
        <v>154</v>
      </c>
      <c r="P332" s="1" t="s">
        <v>556</v>
      </c>
      <c r="Q332" s="1" t="s">
        <v>650</v>
      </c>
      <c r="R332" s="1"/>
      <c r="S332" s="1" t="s">
        <v>723</v>
      </c>
    </row>
    <row r="333" spans="1:19" x14ac:dyDescent="0.25">
      <c r="A333" s="1" t="s">
        <v>670</v>
      </c>
      <c r="B333" s="1" t="s">
        <v>437</v>
      </c>
      <c r="C333" t="s">
        <v>703</v>
      </c>
      <c r="D333" t="b" cm="1">
        <f t="array" ref="D333">IF(Tabela13[[#This Row],[Nivel]]="N1",INDEX(Tabela13[Lider],MATCH(Tabela13[[#This Row],[Nivel]]&amp;Tabela13[[#This Row],[Liderado]],Tabela13[Nivel]&amp;Tabela13[Liderado],0)))</f>
        <v>0</v>
      </c>
      <c r="H333" t="s">
        <v>740</v>
      </c>
      <c r="I333" s="1" t="s">
        <v>559</v>
      </c>
      <c r="J333" s="1" t="s">
        <v>168</v>
      </c>
      <c r="K333" s="1" t="s">
        <v>9</v>
      </c>
      <c r="L333" s="2" t="s">
        <v>10</v>
      </c>
      <c r="M333" s="1" t="s">
        <v>11</v>
      </c>
      <c r="N333" s="2">
        <v>11743</v>
      </c>
      <c r="O333" s="1" t="s">
        <v>114</v>
      </c>
      <c r="P333" s="1" t="s">
        <v>512</v>
      </c>
      <c r="Q333" s="1" t="s">
        <v>652</v>
      </c>
      <c r="R333" s="1"/>
      <c r="S333" s="1" t="s">
        <v>723</v>
      </c>
    </row>
    <row r="334" spans="1:19" x14ac:dyDescent="0.25">
      <c r="A334" s="1" t="s">
        <v>670</v>
      </c>
      <c r="B334" s="1" t="s">
        <v>437</v>
      </c>
      <c r="C334" t="s">
        <v>703</v>
      </c>
      <c r="D334" t="b" cm="1">
        <f t="array" ref="D334">IF(Tabela13[[#This Row],[Nivel]]="N1",INDEX(Tabela13[Lider],MATCH(Tabela13[[#This Row],[Nivel]]&amp;Tabela13[[#This Row],[Liderado]],Tabela13[Nivel]&amp;Tabela13[Liderado],0)))</f>
        <v>0</v>
      </c>
      <c r="H334" t="s">
        <v>740</v>
      </c>
      <c r="I334" s="1" t="s">
        <v>560</v>
      </c>
      <c r="J334" s="1" t="s">
        <v>168</v>
      </c>
      <c r="K334" s="1" t="s">
        <v>9</v>
      </c>
      <c r="L334" s="2" t="s">
        <v>10</v>
      </c>
      <c r="M334" s="1" t="s">
        <v>11</v>
      </c>
      <c r="N334" s="2">
        <v>11743</v>
      </c>
      <c r="O334" s="1" t="s">
        <v>114</v>
      </c>
      <c r="P334" s="1" t="s">
        <v>512</v>
      </c>
      <c r="Q334" s="1" t="s">
        <v>652</v>
      </c>
      <c r="R334" s="1"/>
      <c r="S334" s="1" t="s">
        <v>723</v>
      </c>
    </row>
    <row r="335" spans="1:19" x14ac:dyDescent="0.25">
      <c r="A335" s="1" t="s">
        <v>670</v>
      </c>
      <c r="B335" s="1" t="s">
        <v>437</v>
      </c>
      <c r="C335" t="s">
        <v>703</v>
      </c>
      <c r="D335" t="b" cm="1">
        <f t="array" ref="D335">IF(Tabela13[[#This Row],[Nivel]]="N1",INDEX(Tabela13[Lider],MATCH(Tabela13[[#This Row],[Nivel]]&amp;Tabela13[[#This Row],[Liderado]],Tabela13[Nivel]&amp;Tabela13[Liderado],0)))</f>
        <v>0</v>
      </c>
      <c r="H335" t="s">
        <v>740</v>
      </c>
      <c r="I335" s="1" t="s">
        <v>578</v>
      </c>
      <c r="J335" s="1" t="s">
        <v>168</v>
      </c>
      <c r="K335" s="1" t="s">
        <v>9</v>
      </c>
      <c r="L335" s="2" t="s">
        <v>10</v>
      </c>
      <c r="M335" s="1" t="s">
        <v>11</v>
      </c>
      <c r="N335" s="2">
        <v>11743</v>
      </c>
      <c r="O335" s="1" t="s">
        <v>114</v>
      </c>
      <c r="P335" s="1" t="s">
        <v>512</v>
      </c>
      <c r="Q335" s="1" t="s">
        <v>652</v>
      </c>
      <c r="R335" s="1"/>
      <c r="S335" s="1" t="s">
        <v>723</v>
      </c>
    </row>
    <row r="336" spans="1:19" x14ac:dyDescent="0.25">
      <c r="A336" s="1" t="s">
        <v>670</v>
      </c>
      <c r="B336" s="1" t="s">
        <v>437</v>
      </c>
      <c r="C336" t="s">
        <v>703</v>
      </c>
      <c r="D336" t="b" cm="1">
        <f t="array" ref="D336">IF(Tabela13[[#This Row],[Nivel]]="N1",INDEX(Tabela13[Lider],MATCH(Tabela13[[#This Row],[Nivel]]&amp;Tabela13[[#This Row],[Liderado]],Tabela13[Nivel]&amp;Tabela13[Liderado],0)))</f>
        <v>0</v>
      </c>
      <c r="H336" t="s">
        <v>740</v>
      </c>
      <c r="I336" s="1" t="s">
        <v>579</v>
      </c>
      <c r="J336" s="1" t="s">
        <v>168</v>
      </c>
      <c r="K336" s="1" t="s">
        <v>9</v>
      </c>
      <c r="L336" s="2" t="s">
        <v>10</v>
      </c>
      <c r="M336" s="1" t="s">
        <v>11</v>
      </c>
      <c r="N336" s="2">
        <v>11743</v>
      </c>
      <c r="O336" s="1" t="s">
        <v>114</v>
      </c>
      <c r="P336" s="1" t="s">
        <v>512</v>
      </c>
      <c r="Q336" s="1" t="s">
        <v>652</v>
      </c>
      <c r="R336" s="1"/>
      <c r="S336" s="1" t="s">
        <v>723</v>
      </c>
    </row>
    <row r="337" spans="1:19" x14ac:dyDescent="0.25">
      <c r="A337" s="1" t="s">
        <v>670</v>
      </c>
      <c r="B337" s="1" t="s">
        <v>437</v>
      </c>
      <c r="C337" t="s">
        <v>703</v>
      </c>
      <c r="D337" t="b" cm="1">
        <f t="array" ref="D337">IF(Tabela13[[#This Row],[Nivel]]="N1",INDEX(Tabela13[Lider],MATCH(Tabela13[[#This Row],[Nivel]]&amp;Tabela13[[#This Row],[Liderado]],Tabela13[Nivel]&amp;Tabela13[Liderado],0)))</f>
        <v>0</v>
      </c>
      <c r="H337" t="s">
        <v>740</v>
      </c>
      <c r="I337" s="1" t="s">
        <v>587</v>
      </c>
      <c r="J337" s="1" t="s">
        <v>34</v>
      </c>
      <c r="K337" s="1" t="s">
        <v>9</v>
      </c>
      <c r="L337" s="2" t="s">
        <v>10</v>
      </c>
      <c r="M337" s="1" t="s">
        <v>11</v>
      </c>
      <c r="N337" s="2">
        <v>11780</v>
      </c>
      <c r="O337" s="1" t="s">
        <v>293</v>
      </c>
      <c r="P337" s="1" t="s">
        <v>436</v>
      </c>
      <c r="Q337" s="1" t="s">
        <v>630</v>
      </c>
      <c r="R337" s="1"/>
      <c r="S337" s="1" t="s">
        <v>723</v>
      </c>
    </row>
    <row r="338" spans="1:19" x14ac:dyDescent="0.25">
      <c r="A338" s="1" t="s">
        <v>670</v>
      </c>
      <c r="B338" s="1" t="s">
        <v>437</v>
      </c>
      <c r="C338" t="s">
        <v>703</v>
      </c>
      <c r="D338" t="b" cm="1">
        <f t="array" ref="D338">IF(Tabela13[[#This Row],[Nivel]]="N1",INDEX(Tabela13[Lider],MATCH(Tabela13[[#This Row],[Nivel]]&amp;Tabela13[[#This Row],[Liderado]],Tabela13[Nivel]&amp;Tabela13[Liderado],0)))</f>
        <v>0</v>
      </c>
      <c r="H338" t="s">
        <v>740</v>
      </c>
      <c r="I338" s="1" t="s">
        <v>590</v>
      </c>
      <c r="J338" s="1" t="s">
        <v>168</v>
      </c>
      <c r="K338" s="1" t="s">
        <v>9</v>
      </c>
      <c r="L338" s="2" t="s">
        <v>10</v>
      </c>
      <c r="M338" s="1" t="s">
        <v>11</v>
      </c>
      <c r="N338" s="2">
        <v>11743</v>
      </c>
      <c r="O338" s="1" t="s">
        <v>114</v>
      </c>
      <c r="P338" s="1" t="s">
        <v>512</v>
      </c>
      <c r="Q338" s="1" t="s">
        <v>652</v>
      </c>
      <c r="R338" s="1"/>
      <c r="S338" s="1" t="s">
        <v>723</v>
      </c>
    </row>
    <row r="339" spans="1:19" x14ac:dyDescent="0.25">
      <c r="A339" s="1" t="s">
        <v>671</v>
      </c>
      <c r="B339" s="1" t="s">
        <v>450</v>
      </c>
      <c r="C339" t="s">
        <v>726</v>
      </c>
      <c r="D339" t="b" cm="1">
        <f t="array" ref="D339">IF(Tabela13[[#This Row],[Nivel]]="N1",INDEX(Tabela13[Lider],MATCH(Tabela13[[#This Row],[Nivel]]&amp;Tabela13[[#This Row],[Liderado]],Tabela13[Nivel]&amp;Tabela13[Liderado],0)))</f>
        <v>0</v>
      </c>
      <c r="H339" t="s">
        <v>740</v>
      </c>
      <c r="I339" s="1" t="s">
        <v>593</v>
      </c>
      <c r="J339" s="1" t="s">
        <v>168</v>
      </c>
      <c r="K339" s="1" t="s">
        <v>9</v>
      </c>
      <c r="L339" s="2" t="s">
        <v>10</v>
      </c>
      <c r="M339" s="1" t="s">
        <v>11</v>
      </c>
      <c r="N339" s="2">
        <v>11443</v>
      </c>
      <c r="O339" s="1" t="s">
        <v>114</v>
      </c>
      <c r="P339" s="1" t="s">
        <v>480</v>
      </c>
      <c r="Q339" s="1" t="s">
        <v>652</v>
      </c>
      <c r="R339" s="1"/>
      <c r="S339" s="1" t="s">
        <v>725</v>
      </c>
    </row>
    <row r="340" spans="1:19" x14ac:dyDescent="0.25">
      <c r="A340" s="1" t="s">
        <v>670</v>
      </c>
      <c r="B340" s="1" t="s">
        <v>437</v>
      </c>
      <c r="C340" t="s">
        <v>703</v>
      </c>
      <c r="D340" t="b" cm="1">
        <f t="array" ref="D340">IF(Tabela13[[#This Row],[Nivel]]="N1",INDEX(Tabela13[Lider],MATCH(Tabela13[[#This Row],[Nivel]]&amp;Tabela13[[#This Row],[Liderado]],Tabela13[Nivel]&amp;Tabela13[Liderado],0)))</f>
        <v>0</v>
      </c>
      <c r="H340" t="s">
        <v>740</v>
      </c>
      <c r="I340" s="1" t="s">
        <v>594</v>
      </c>
      <c r="J340" s="1" t="s">
        <v>34</v>
      </c>
      <c r="K340" s="1" t="s">
        <v>9</v>
      </c>
      <c r="L340" s="2" t="s">
        <v>10</v>
      </c>
      <c r="M340" s="1" t="s">
        <v>11</v>
      </c>
      <c r="N340" s="2">
        <v>11780</v>
      </c>
      <c r="O340" s="1" t="s">
        <v>293</v>
      </c>
      <c r="P340" s="1" t="s">
        <v>436</v>
      </c>
      <c r="Q340" s="1" t="s">
        <v>630</v>
      </c>
      <c r="R340" s="1"/>
      <c r="S340" s="1" t="s">
        <v>723</v>
      </c>
    </row>
    <row r="341" spans="1:19" x14ac:dyDescent="0.25">
      <c r="A341" s="1" t="s">
        <v>670</v>
      </c>
      <c r="B341" s="1" t="s">
        <v>437</v>
      </c>
      <c r="C341" t="s">
        <v>703</v>
      </c>
      <c r="D341" t="b" cm="1">
        <f t="array" ref="D341">IF(Tabela13[[#This Row],[Nivel]]="N1",INDEX(Tabela13[Lider],MATCH(Tabela13[[#This Row],[Nivel]]&amp;Tabela13[[#This Row],[Liderado]],Tabela13[Nivel]&amp;Tabela13[Liderado],0)))</f>
        <v>0</v>
      </c>
      <c r="H341" t="s">
        <v>740</v>
      </c>
      <c r="I341" s="1" t="s">
        <v>599</v>
      </c>
      <c r="J341" s="1" t="s">
        <v>34</v>
      </c>
      <c r="K341" s="1" t="s">
        <v>9</v>
      </c>
      <c r="L341" s="2" t="s">
        <v>10</v>
      </c>
      <c r="M341" s="1" t="s">
        <v>11</v>
      </c>
      <c r="N341" s="2">
        <v>11780</v>
      </c>
      <c r="O341" s="1" t="s">
        <v>293</v>
      </c>
      <c r="P341" s="1" t="s">
        <v>436</v>
      </c>
      <c r="Q341" s="1" t="s">
        <v>630</v>
      </c>
      <c r="R341" s="1"/>
      <c r="S341" s="1" t="s">
        <v>723</v>
      </c>
    </row>
    <row r="342" spans="1:19" x14ac:dyDescent="0.25">
      <c r="A342" s="1" t="s">
        <v>670</v>
      </c>
      <c r="B342" s="1" t="s">
        <v>437</v>
      </c>
      <c r="C342" t="s">
        <v>703</v>
      </c>
      <c r="D342" t="b" cm="1">
        <f t="array" ref="D342">IF(Tabela13[[#This Row],[Nivel]]="N1",INDEX(Tabela13[Lider],MATCH(Tabela13[[#This Row],[Nivel]]&amp;Tabela13[[#This Row],[Liderado]],Tabela13[Nivel]&amp;Tabela13[Liderado],0)))</f>
        <v>0</v>
      </c>
      <c r="H342" t="s">
        <v>740</v>
      </c>
      <c r="I342" s="1" t="s">
        <v>601</v>
      </c>
      <c r="J342" s="1" t="s">
        <v>349</v>
      </c>
      <c r="K342" s="1" t="s">
        <v>9</v>
      </c>
      <c r="L342" s="2" t="s">
        <v>10</v>
      </c>
      <c r="M342" s="1" t="s">
        <v>11</v>
      </c>
      <c r="N342" s="2">
        <v>11743</v>
      </c>
      <c r="O342" s="1" t="s">
        <v>114</v>
      </c>
      <c r="P342" s="1" t="s">
        <v>602</v>
      </c>
      <c r="Q342" s="1" t="s">
        <v>663</v>
      </c>
      <c r="R342" s="1"/>
      <c r="S342" s="1" t="s">
        <v>723</v>
      </c>
    </row>
    <row r="343" spans="1:19" x14ac:dyDescent="0.25">
      <c r="A343" s="1" t="s">
        <v>670</v>
      </c>
      <c r="B343" s="1" t="s">
        <v>437</v>
      </c>
      <c r="C343" t="s">
        <v>703</v>
      </c>
      <c r="D343" t="b" cm="1">
        <f t="array" ref="D343">IF(Tabela13[[#This Row],[Nivel]]="N1",INDEX(Tabela13[Lider],MATCH(Tabela13[[#This Row],[Nivel]]&amp;Tabela13[[#This Row],[Liderado]],Tabela13[Nivel]&amp;Tabela13[Liderado],0)))</f>
        <v>0</v>
      </c>
      <c r="H343" t="s">
        <v>740</v>
      </c>
      <c r="I343" s="1" t="s">
        <v>609</v>
      </c>
      <c r="J343" s="1" t="s">
        <v>168</v>
      </c>
      <c r="K343" s="1" t="s">
        <v>9</v>
      </c>
      <c r="L343" s="2" t="s">
        <v>10</v>
      </c>
      <c r="M343" s="1" t="s">
        <v>11</v>
      </c>
      <c r="N343" s="2">
        <v>11743</v>
      </c>
      <c r="O343" s="1" t="s">
        <v>114</v>
      </c>
      <c r="P343" s="1" t="s">
        <v>512</v>
      </c>
      <c r="Q343" s="1" t="s">
        <v>652</v>
      </c>
      <c r="R343" s="1"/>
      <c r="S343" s="1" t="s">
        <v>723</v>
      </c>
    </row>
    <row r="344" spans="1:19" x14ac:dyDescent="0.25">
      <c r="A344" s="1" t="s">
        <v>670</v>
      </c>
      <c r="B344" s="1" t="s">
        <v>437</v>
      </c>
      <c r="C344" t="s">
        <v>703</v>
      </c>
      <c r="D344" t="b" cm="1">
        <f t="array" ref="D344">IF(Tabela13[[#This Row],[Nivel]]="N1",INDEX(Tabela13[Lider],MATCH(Tabela13[[#This Row],[Nivel]]&amp;Tabela13[[#This Row],[Liderado]],Tabela13[Nivel]&amp;Tabela13[Liderado],0)))</f>
        <v>0</v>
      </c>
      <c r="H344" t="s">
        <v>740</v>
      </c>
      <c r="I344" s="1" t="s">
        <v>611</v>
      </c>
      <c r="J344" s="1" t="s">
        <v>168</v>
      </c>
      <c r="K344" s="1" t="s">
        <v>9</v>
      </c>
      <c r="L344" s="2" t="s">
        <v>10</v>
      </c>
      <c r="M344" s="1" t="s">
        <v>11</v>
      </c>
      <c r="N344" s="2">
        <v>11743</v>
      </c>
      <c r="O344" s="1" t="s">
        <v>114</v>
      </c>
      <c r="P344" s="1" t="s">
        <v>512</v>
      </c>
      <c r="Q344" s="1" t="s">
        <v>652</v>
      </c>
      <c r="R344" s="1"/>
      <c r="S344" s="1" t="s">
        <v>723</v>
      </c>
    </row>
    <row r="345" spans="1:19" x14ac:dyDescent="0.25">
      <c r="A345" s="1" t="s">
        <v>624</v>
      </c>
      <c r="B345" s="1" t="s">
        <v>109</v>
      </c>
      <c r="C345" t="s">
        <v>706</v>
      </c>
      <c r="D345" t="b" cm="1">
        <f t="array" ref="D345">IF(Tabela13[[#This Row],[Nivel]]="N1",INDEX(Tabela13[Lider],MATCH(Tabela13[[#This Row],[Nivel]]&amp;Tabela13[[#This Row],[Liderado]],Tabela13[Nivel]&amp;Tabela13[Liderado],0)))</f>
        <v>0</v>
      </c>
      <c r="H345" t="s">
        <v>741</v>
      </c>
      <c r="I345" s="1" t="s">
        <v>216</v>
      </c>
      <c r="J345" s="1" t="s">
        <v>217</v>
      </c>
      <c r="K345" s="1" t="s">
        <v>9</v>
      </c>
      <c r="L345" s="2" t="s">
        <v>10</v>
      </c>
      <c r="M345" s="1" t="s">
        <v>11</v>
      </c>
      <c r="N345" s="2">
        <v>10108</v>
      </c>
      <c r="O345" s="1" t="s">
        <v>18</v>
      </c>
      <c r="P345" s="1" t="s">
        <v>19</v>
      </c>
      <c r="Q345" s="1" t="s">
        <v>626</v>
      </c>
      <c r="R345" s="1"/>
      <c r="S345" s="1" t="s">
        <v>679</v>
      </c>
    </row>
    <row r="346" spans="1:19" x14ac:dyDescent="0.25">
      <c r="A346" s="1" t="s">
        <v>627</v>
      </c>
      <c r="B346" s="1" t="s">
        <v>54</v>
      </c>
      <c r="C346" t="s">
        <v>712</v>
      </c>
      <c r="D346" t="b" cm="1">
        <f t="array" ref="D346">IF(Tabela13[[#This Row],[Nivel]]="N1",INDEX(Tabela13[Lider],MATCH(Tabela13[[#This Row],[Nivel]]&amp;Tabela13[[#This Row],[Liderado]],Tabela13[Nivel]&amp;Tabela13[Liderado],0)))</f>
        <v>0</v>
      </c>
      <c r="H346" t="s">
        <v>741</v>
      </c>
      <c r="I346" s="1" t="s">
        <v>252</v>
      </c>
      <c r="J346" s="1" t="s">
        <v>34</v>
      </c>
      <c r="K346" s="1" t="s">
        <v>9</v>
      </c>
      <c r="L346" s="2" t="s">
        <v>10</v>
      </c>
      <c r="M346" s="1" t="s">
        <v>11</v>
      </c>
      <c r="N346" s="2">
        <v>11380</v>
      </c>
      <c r="O346" s="1" t="s">
        <v>208</v>
      </c>
      <c r="P346" s="1" t="s">
        <v>36</v>
      </c>
      <c r="Q346" s="1" t="s">
        <v>630</v>
      </c>
      <c r="R346" s="1"/>
      <c r="S346" s="1" t="s">
        <v>711</v>
      </c>
    </row>
    <row r="347" spans="1:19" x14ac:dyDescent="0.25">
      <c r="A347" s="1" t="s">
        <v>661</v>
      </c>
      <c r="B347" s="1" t="s">
        <v>307</v>
      </c>
      <c r="C347" t="s">
        <v>712</v>
      </c>
      <c r="D347" t="b" cm="1">
        <f t="array" ref="D347">IF(Tabela13[[#This Row],[Nivel]]="N1",INDEX(Tabela13[Lider],MATCH(Tabela13[[#This Row],[Nivel]]&amp;Tabela13[[#This Row],[Liderado]],Tabela13[Nivel]&amp;Tabela13[Liderado],0)))</f>
        <v>0</v>
      </c>
      <c r="H347" t="s">
        <v>741</v>
      </c>
      <c r="I347" s="1" t="s">
        <v>305</v>
      </c>
      <c r="J347" s="1" t="s">
        <v>92</v>
      </c>
      <c r="K347" s="1" t="s">
        <v>9</v>
      </c>
      <c r="L347" s="2" t="s">
        <v>10</v>
      </c>
      <c r="M347" s="1" t="s">
        <v>11</v>
      </c>
      <c r="N347" s="2">
        <v>11558</v>
      </c>
      <c r="O347" s="1" t="s">
        <v>169</v>
      </c>
      <c r="P347" s="1" t="s">
        <v>306</v>
      </c>
      <c r="Q347" s="1" t="s">
        <v>639</v>
      </c>
      <c r="R347" s="1"/>
      <c r="S347" s="1" t="s">
        <v>714</v>
      </c>
    </row>
    <row r="348" spans="1:19" x14ac:dyDescent="0.25">
      <c r="A348" s="1" t="s">
        <v>661</v>
      </c>
      <c r="B348" s="1" t="s">
        <v>307</v>
      </c>
      <c r="C348" t="s">
        <v>712</v>
      </c>
      <c r="D348" t="b" cm="1">
        <f t="array" ref="D348">IF(Tabela13[[#This Row],[Nivel]]="N1",INDEX(Tabela13[Lider],MATCH(Tabela13[[#This Row],[Nivel]]&amp;Tabela13[[#This Row],[Liderado]],Tabela13[Nivel]&amp;Tabela13[Liderado],0)))</f>
        <v>0</v>
      </c>
      <c r="H348" t="s">
        <v>741</v>
      </c>
      <c r="I348" s="1" t="s">
        <v>312</v>
      </c>
      <c r="J348" s="1" t="s">
        <v>92</v>
      </c>
      <c r="K348" s="1" t="s">
        <v>9</v>
      </c>
      <c r="L348" s="2" t="s">
        <v>10</v>
      </c>
      <c r="M348" s="1" t="s">
        <v>11</v>
      </c>
      <c r="N348" s="2">
        <v>11518</v>
      </c>
      <c r="O348" s="1" t="s">
        <v>122</v>
      </c>
      <c r="P348" s="1" t="s">
        <v>306</v>
      </c>
      <c r="Q348" s="1" t="s">
        <v>639</v>
      </c>
      <c r="R348" s="1"/>
      <c r="S348" s="1" t="s">
        <v>714</v>
      </c>
    </row>
    <row r="349" spans="1:19" x14ac:dyDescent="0.25">
      <c r="A349" s="1" t="s">
        <v>661</v>
      </c>
      <c r="B349" s="1" t="s">
        <v>307</v>
      </c>
      <c r="C349" t="s">
        <v>712</v>
      </c>
      <c r="D349" t="b" cm="1">
        <f t="array" ref="D349">IF(Tabela13[[#This Row],[Nivel]]="N1",INDEX(Tabela13[Lider],MATCH(Tabela13[[#This Row],[Nivel]]&amp;Tabela13[[#This Row],[Liderado]],Tabela13[Nivel]&amp;Tabela13[Liderado],0)))</f>
        <v>0</v>
      </c>
      <c r="H349" t="s">
        <v>741</v>
      </c>
      <c r="I349" s="1" t="s">
        <v>326</v>
      </c>
      <c r="J349" s="1" t="s">
        <v>34</v>
      </c>
      <c r="K349" s="1" t="s">
        <v>9</v>
      </c>
      <c r="L349" s="2" t="s">
        <v>10</v>
      </c>
      <c r="M349" s="1" t="s">
        <v>11</v>
      </c>
      <c r="N349" s="2">
        <v>11569</v>
      </c>
      <c r="O349" s="1" t="s">
        <v>272</v>
      </c>
      <c r="P349" s="1" t="s">
        <v>284</v>
      </c>
      <c r="Q349" s="1" t="s">
        <v>630</v>
      </c>
      <c r="R349" s="1"/>
      <c r="S349" s="1" t="s">
        <v>714</v>
      </c>
    </row>
    <row r="350" spans="1:19" x14ac:dyDescent="0.25">
      <c r="A350" s="1" t="s">
        <v>661</v>
      </c>
      <c r="B350" s="1" t="s">
        <v>307</v>
      </c>
      <c r="C350" t="s">
        <v>712</v>
      </c>
      <c r="D350" t="b" cm="1">
        <f t="array" ref="D350">IF(Tabela13[[#This Row],[Nivel]]="N1",INDEX(Tabela13[Lider],MATCH(Tabela13[[#This Row],[Nivel]]&amp;Tabela13[[#This Row],[Liderado]],Tabela13[Nivel]&amp;Tabela13[Liderado],0)))</f>
        <v>0</v>
      </c>
      <c r="H350" t="s">
        <v>741</v>
      </c>
      <c r="I350" s="1" t="s">
        <v>344</v>
      </c>
      <c r="J350" s="1" t="s">
        <v>34</v>
      </c>
      <c r="K350" s="1" t="s">
        <v>9</v>
      </c>
      <c r="L350" s="2" t="s">
        <v>10</v>
      </c>
      <c r="M350" s="1" t="s">
        <v>11</v>
      </c>
      <c r="N350" s="2">
        <v>11569</v>
      </c>
      <c r="O350" s="1" t="s">
        <v>272</v>
      </c>
      <c r="P350" s="1" t="s">
        <v>284</v>
      </c>
      <c r="Q350" s="1" t="s">
        <v>630</v>
      </c>
      <c r="R350" s="1"/>
      <c r="S350" s="1" t="s">
        <v>714</v>
      </c>
    </row>
    <row r="351" spans="1:19" x14ac:dyDescent="0.25">
      <c r="A351" s="1" t="s">
        <v>627</v>
      </c>
      <c r="B351" s="1" t="s">
        <v>455</v>
      </c>
      <c r="C351" t="s">
        <v>728</v>
      </c>
      <c r="D351" t="b" cm="1">
        <f t="array" ref="D351">IF(Tabela13[[#This Row],[Nivel]]="N1",INDEX(Tabela13[Lider],MATCH(Tabela13[[#This Row],[Nivel]]&amp;Tabela13[[#This Row],[Liderado]],Tabela13[Nivel]&amp;Tabela13[Liderado],0)))</f>
        <v>0</v>
      </c>
      <c r="H351" t="s">
        <v>741</v>
      </c>
      <c r="I351" s="1" t="s">
        <v>452</v>
      </c>
      <c r="J351" s="1" t="s">
        <v>303</v>
      </c>
      <c r="K351" s="1" t="s">
        <v>9</v>
      </c>
      <c r="L351" s="2" t="s">
        <v>10</v>
      </c>
      <c r="M351" s="1" t="s">
        <v>11</v>
      </c>
      <c r="N351" s="2">
        <v>11370</v>
      </c>
      <c r="O351" s="1" t="s">
        <v>453</v>
      </c>
      <c r="P351" s="1" t="s">
        <v>454</v>
      </c>
      <c r="Q351" s="1" t="s">
        <v>659</v>
      </c>
      <c r="R351" s="1"/>
      <c r="S351" s="1" t="s">
        <v>727</v>
      </c>
    </row>
    <row r="352" spans="1:19" x14ac:dyDescent="0.25">
      <c r="A352" s="1" t="s">
        <v>627</v>
      </c>
      <c r="B352" s="1" t="s">
        <v>136</v>
      </c>
      <c r="C352" t="s">
        <v>728</v>
      </c>
      <c r="D352" t="b" cm="1">
        <f t="array" ref="D352">IF(Tabela13[[#This Row],[Nivel]]="N1",INDEX(Tabela13[Lider],MATCH(Tabela13[[#This Row],[Nivel]]&amp;Tabela13[[#This Row],[Liderado]],Tabela13[Nivel]&amp;Tabela13[Liderado],0)))</f>
        <v>0</v>
      </c>
      <c r="H352" t="s">
        <v>741</v>
      </c>
      <c r="I352" s="1" t="s">
        <v>456</v>
      </c>
      <c r="J352" s="1" t="s">
        <v>303</v>
      </c>
      <c r="K352" s="1" t="s">
        <v>9</v>
      </c>
      <c r="L352" s="2" t="s">
        <v>10</v>
      </c>
      <c r="M352" s="1" t="s">
        <v>11</v>
      </c>
      <c r="N352" s="2">
        <v>11369</v>
      </c>
      <c r="O352" s="1" t="s">
        <v>138</v>
      </c>
      <c r="P352" s="1" t="s">
        <v>454</v>
      </c>
      <c r="Q352" s="1" t="s">
        <v>659</v>
      </c>
      <c r="R352" s="1"/>
      <c r="S352" s="1" t="s">
        <v>729</v>
      </c>
    </row>
    <row r="353" spans="1:19" x14ac:dyDescent="0.25">
      <c r="A353" s="1" t="s">
        <v>627</v>
      </c>
      <c r="B353" s="1" t="s">
        <v>136</v>
      </c>
      <c r="C353" t="s">
        <v>728</v>
      </c>
      <c r="D353" t="b" cm="1">
        <f t="array" ref="D353">IF(Tabela13[[#This Row],[Nivel]]="N1",INDEX(Tabela13[Lider],MATCH(Tabela13[[#This Row],[Nivel]]&amp;Tabela13[[#This Row],[Liderado]],Tabela13[Nivel]&amp;Tabela13[Liderado],0)))</f>
        <v>0</v>
      </c>
      <c r="H353" t="s">
        <v>741</v>
      </c>
      <c r="I353" s="1" t="s">
        <v>469</v>
      </c>
      <c r="J353" s="1" t="s">
        <v>303</v>
      </c>
      <c r="K353" s="1" t="s">
        <v>9</v>
      </c>
      <c r="L353" s="2" t="s">
        <v>10</v>
      </c>
      <c r="M353" s="1" t="s">
        <v>11</v>
      </c>
      <c r="N353" s="2">
        <v>11369</v>
      </c>
      <c r="O353" s="1" t="s">
        <v>138</v>
      </c>
      <c r="P353" s="1" t="s">
        <v>454</v>
      </c>
      <c r="Q353" s="1" t="s">
        <v>659</v>
      </c>
      <c r="R353" s="1"/>
      <c r="S353" s="1" t="s">
        <v>729</v>
      </c>
    </row>
    <row r="354" spans="1:19" x14ac:dyDescent="0.25">
      <c r="A354" s="1" t="s">
        <v>627</v>
      </c>
      <c r="B354" s="1" t="s">
        <v>136</v>
      </c>
      <c r="C354" t="s">
        <v>728</v>
      </c>
      <c r="D354" t="b" cm="1">
        <f t="array" ref="D354">IF(Tabela13[[#This Row],[Nivel]]="N1",INDEX(Tabela13[Lider],MATCH(Tabela13[[#This Row],[Nivel]]&amp;Tabela13[[#This Row],[Liderado]],Tabela13[Nivel]&amp;Tabela13[Liderado],0)))</f>
        <v>0</v>
      </c>
      <c r="H354" t="s">
        <v>741</v>
      </c>
      <c r="I354" s="1" t="s">
        <v>470</v>
      </c>
      <c r="J354" s="1" t="s">
        <v>303</v>
      </c>
      <c r="K354" s="1" t="s">
        <v>9</v>
      </c>
      <c r="L354" s="2" t="s">
        <v>10</v>
      </c>
      <c r="M354" s="1" t="s">
        <v>11</v>
      </c>
      <c r="N354" s="2">
        <v>11369</v>
      </c>
      <c r="O354" s="1" t="s">
        <v>138</v>
      </c>
      <c r="P354" s="1" t="s">
        <v>454</v>
      </c>
      <c r="Q354" s="1" t="s">
        <v>659</v>
      </c>
      <c r="R354" s="1"/>
      <c r="S354" s="1" t="s">
        <v>729</v>
      </c>
    </row>
    <row r="355" spans="1:19" x14ac:dyDescent="0.25">
      <c r="A355" s="1" t="s">
        <v>627</v>
      </c>
      <c r="B355" s="1" t="s">
        <v>136</v>
      </c>
      <c r="C355" t="s">
        <v>728</v>
      </c>
      <c r="D355" t="b" cm="1">
        <f t="array" ref="D355">IF(Tabela13[[#This Row],[Nivel]]="N1",INDEX(Tabela13[Lider],MATCH(Tabela13[[#This Row],[Nivel]]&amp;Tabela13[[#This Row],[Liderado]],Tabela13[Nivel]&amp;Tabela13[Liderado],0)))</f>
        <v>0</v>
      </c>
      <c r="H355" t="s">
        <v>741</v>
      </c>
      <c r="I355" s="1" t="s">
        <v>471</v>
      </c>
      <c r="J355" s="1" t="s">
        <v>294</v>
      </c>
      <c r="K355" s="1" t="s">
        <v>9</v>
      </c>
      <c r="L355" s="2" t="s">
        <v>10</v>
      </c>
      <c r="M355" s="1" t="s">
        <v>11</v>
      </c>
      <c r="N355" s="2">
        <v>11369</v>
      </c>
      <c r="O355" s="1" t="s">
        <v>138</v>
      </c>
      <c r="P355" s="1" t="s">
        <v>472</v>
      </c>
      <c r="Q355" s="1" t="s">
        <v>662</v>
      </c>
      <c r="R355" s="1"/>
      <c r="S355" s="1" t="s">
        <v>729</v>
      </c>
    </row>
    <row r="356" spans="1:19" x14ac:dyDescent="0.25">
      <c r="A356" s="1" t="s">
        <v>671</v>
      </c>
      <c r="B356" s="1" t="s">
        <v>481</v>
      </c>
      <c r="C356" t="s">
        <v>731</v>
      </c>
      <c r="D356" t="b" cm="1">
        <f t="array" ref="D356">IF(Tabela13[[#This Row],[Nivel]]="N1",INDEX(Tabela13[Lider],MATCH(Tabela13[[#This Row],[Nivel]]&amp;Tabela13[[#This Row],[Liderado]],Tabela13[Nivel]&amp;Tabela13[Liderado],0)))</f>
        <v>0</v>
      </c>
      <c r="H356" t="s">
        <v>741</v>
      </c>
      <c r="I356" s="1" t="s">
        <v>479</v>
      </c>
      <c r="J356" s="1" t="s">
        <v>168</v>
      </c>
      <c r="K356" s="1" t="s">
        <v>9</v>
      </c>
      <c r="L356" s="2" t="s">
        <v>10</v>
      </c>
      <c r="M356" s="1" t="s">
        <v>11</v>
      </c>
      <c r="N356" s="2">
        <v>11458</v>
      </c>
      <c r="O356" s="1" t="s">
        <v>169</v>
      </c>
      <c r="P356" s="1" t="s">
        <v>480</v>
      </c>
      <c r="Q356" s="1" t="s">
        <v>652</v>
      </c>
      <c r="R356" s="1"/>
      <c r="S356" s="1" t="s">
        <v>730</v>
      </c>
    </row>
    <row r="357" spans="1:19" x14ac:dyDescent="0.25">
      <c r="A357" s="1" t="s">
        <v>627</v>
      </c>
      <c r="B357" s="1" t="s">
        <v>136</v>
      </c>
      <c r="C357" t="s">
        <v>728</v>
      </c>
      <c r="D357" t="b" cm="1">
        <f t="array" ref="D357">IF(Tabela13[[#This Row],[Nivel]]="N1",INDEX(Tabela13[Lider],MATCH(Tabela13[[#This Row],[Nivel]]&amp;Tabela13[[#This Row],[Liderado]],Tabela13[Nivel]&amp;Tabela13[Liderado],0)))</f>
        <v>0</v>
      </c>
      <c r="H357" t="s">
        <v>741</v>
      </c>
      <c r="I357" s="1" t="s">
        <v>489</v>
      </c>
      <c r="J357" s="1" t="s">
        <v>303</v>
      </c>
      <c r="K357" s="1" t="s">
        <v>9</v>
      </c>
      <c r="L357" s="2" t="s">
        <v>10</v>
      </c>
      <c r="M357" s="1" t="s">
        <v>11</v>
      </c>
      <c r="N357" s="2">
        <v>11369</v>
      </c>
      <c r="O357" s="1" t="s">
        <v>138</v>
      </c>
      <c r="P357" s="1" t="s">
        <v>454</v>
      </c>
      <c r="Q357" s="1" t="s">
        <v>659</v>
      </c>
      <c r="R357" s="1"/>
      <c r="S357" s="1" t="s">
        <v>729</v>
      </c>
    </row>
    <row r="358" spans="1:19" x14ac:dyDescent="0.25">
      <c r="A358" s="1" t="s">
        <v>627</v>
      </c>
      <c r="B358" s="1" t="s">
        <v>136</v>
      </c>
      <c r="C358" t="s">
        <v>728</v>
      </c>
      <c r="D358" t="b" cm="1">
        <f t="array" ref="D358">IF(Tabela13[[#This Row],[Nivel]]="N1",INDEX(Tabela13[Lider],MATCH(Tabela13[[#This Row],[Nivel]]&amp;Tabela13[[#This Row],[Liderado]],Tabela13[Nivel]&amp;Tabela13[Liderado],0)))</f>
        <v>0</v>
      </c>
      <c r="H358" t="s">
        <v>741</v>
      </c>
      <c r="I358" s="1" t="s">
        <v>492</v>
      </c>
      <c r="J358" s="1" t="s">
        <v>303</v>
      </c>
      <c r="K358" s="1" t="s">
        <v>9</v>
      </c>
      <c r="L358" s="2" t="s">
        <v>10</v>
      </c>
      <c r="M358" s="1" t="s">
        <v>11</v>
      </c>
      <c r="N358" s="2">
        <v>11369</v>
      </c>
      <c r="O358" s="1" t="s">
        <v>138</v>
      </c>
      <c r="P358" s="1" t="s">
        <v>454</v>
      </c>
      <c r="Q358" s="1" t="s">
        <v>659</v>
      </c>
      <c r="R358" s="1"/>
      <c r="S358" s="1" t="s">
        <v>729</v>
      </c>
    </row>
    <row r="359" spans="1:19" x14ac:dyDescent="0.25">
      <c r="A359" s="1" t="s">
        <v>627</v>
      </c>
      <c r="B359" s="1" t="s">
        <v>455</v>
      </c>
      <c r="C359" t="s">
        <v>728</v>
      </c>
      <c r="D359" t="b" cm="1">
        <f t="array" ref="D359">IF(Tabela13[[#This Row],[Nivel]]="N1",INDEX(Tabela13[Lider],MATCH(Tabela13[[#This Row],[Nivel]]&amp;Tabela13[[#This Row],[Liderado]],Tabela13[Nivel]&amp;Tabela13[Liderado],0)))</f>
        <v>0</v>
      </c>
      <c r="H359" t="s">
        <v>741</v>
      </c>
      <c r="I359" s="1" t="s">
        <v>493</v>
      </c>
      <c r="J359" s="1" t="s">
        <v>303</v>
      </c>
      <c r="K359" s="1" t="s">
        <v>9</v>
      </c>
      <c r="L359" s="2" t="s">
        <v>10</v>
      </c>
      <c r="M359" s="1" t="s">
        <v>11</v>
      </c>
      <c r="N359" s="2">
        <v>11370</v>
      </c>
      <c r="O359" s="1" t="s">
        <v>453</v>
      </c>
      <c r="P359" s="1" t="s">
        <v>454</v>
      </c>
      <c r="Q359" s="1" t="s">
        <v>659</v>
      </c>
      <c r="R359" s="1"/>
      <c r="S359" s="1" t="s">
        <v>727</v>
      </c>
    </row>
    <row r="360" spans="1:19" x14ac:dyDescent="0.25">
      <c r="A360" s="1" t="s">
        <v>671</v>
      </c>
      <c r="B360" s="1" t="s">
        <v>481</v>
      </c>
      <c r="C360" t="s">
        <v>731</v>
      </c>
      <c r="D360" t="b" cm="1">
        <f t="array" ref="D360">IF(Tabela13[[#This Row],[Nivel]]="N1",INDEX(Tabela13[Lider],MATCH(Tabela13[[#This Row],[Nivel]]&amp;Tabela13[[#This Row],[Liderado]],Tabela13[Nivel]&amp;Tabela13[Liderado],0)))</f>
        <v>0</v>
      </c>
      <c r="H360" t="s">
        <v>741</v>
      </c>
      <c r="I360" s="1" t="s">
        <v>494</v>
      </c>
      <c r="J360" s="1" t="s">
        <v>34</v>
      </c>
      <c r="K360" s="1" t="s">
        <v>9</v>
      </c>
      <c r="L360" s="2" t="s">
        <v>10</v>
      </c>
      <c r="M360" s="1" t="s">
        <v>11</v>
      </c>
      <c r="N360" s="2">
        <v>11474</v>
      </c>
      <c r="O360" s="1" t="s">
        <v>495</v>
      </c>
      <c r="P360" s="1" t="s">
        <v>439</v>
      </c>
      <c r="Q360" s="1" t="s">
        <v>630</v>
      </c>
      <c r="R360" s="1"/>
      <c r="S360" s="1" t="s">
        <v>730</v>
      </c>
    </row>
    <row r="361" spans="1:19" x14ac:dyDescent="0.25">
      <c r="A361" s="1" t="s">
        <v>627</v>
      </c>
      <c r="B361" s="1" t="s">
        <v>455</v>
      </c>
      <c r="C361" t="s">
        <v>728</v>
      </c>
      <c r="D361" t="b" cm="1">
        <f t="array" ref="D361">IF(Tabela13[[#This Row],[Nivel]]="N1",INDEX(Tabela13[Lider],MATCH(Tabela13[[#This Row],[Nivel]]&amp;Tabela13[[#This Row],[Liderado]],Tabela13[Nivel]&amp;Tabela13[Liderado],0)))</f>
        <v>0</v>
      </c>
      <c r="H361" t="s">
        <v>741</v>
      </c>
      <c r="I361" s="1" t="s">
        <v>503</v>
      </c>
      <c r="J361" s="1" t="s">
        <v>303</v>
      </c>
      <c r="K361" s="1" t="s">
        <v>9</v>
      </c>
      <c r="L361" s="2" t="s">
        <v>10</v>
      </c>
      <c r="M361" s="1" t="s">
        <v>11</v>
      </c>
      <c r="N361" s="2">
        <v>11370</v>
      </c>
      <c r="O361" s="1" t="s">
        <v>453</v>
      </c>
      <c r="P361" s="1" t="s">
        <v>454</v>
      </c>
      <c r="Q361" s="1" t="s">
        <v>659</v>
      </c>
      <c r="R361" s="1"/>
      <c r="S361" s="1" t="s">
        <v>727</v>
      </c>
    </row>
    <row r="362" spans="1:19" x14ac:dyDescent="0.25">
      <c r="A362" s="1" t="s">
        <v>627</v>
      </c>
      <c r="B362" s="1" t="s">
        <v>455</v>
      </c>
      <c r="C362" t="s">
        <v>728</v>
      </c>
      <c r="D362" t="b" cm="1">
        <f t="array" ref="D362">IF(Tabela13[[#This Row],[Nivel]]="N1",INDEX(Tabela13[Lider],MATCH(Tabela13[[#This Row],[Nivel]]&amp;Tabela13[[#This Row],[Liderado]],Tabela13[Nivel]&amp;Tabela13[Liderado],0)))</f>
        <v>0</v>
      </c>
      <c r="H362" t="s">
        <v>741</v>
      </c>
      <c r="I362" s="1" t="s">
        <v>504</v>
      </c>
      <c r="J362" s="1" t="s">
        <v>303</v>
      </c>
      <c r="K362" s="1" t="s">
        <v>9</v>
      </c>
      <c r="L362" s="2" t="s">
        <v>10</v>
      </c>
      <c r="M362" s="1" t="s">
        <v>11</v>
      </c>
      <c r="N362" s="2">
        <v>11370</v>
      </c>
      <c r="O362" s="1" t="s">
        <v>453</v>
      </c>
      <c r="P362" s="1" t="s">
        <v>454</v>
      </c>
      <c r="Q362" s="1" t="s">
        <v>659</v>
      </c>
      <c r="R362" s="1"/>
      <c r="S362" s="1" t="s">
        <v>727</v>
      </c>
    </row>
    <row r="363" spans="1:19" x14ac:dyDescent="0.25">
      <c r="A363" s="1" t="s">
        <v>671</v>
      </c>
      <c r="B363" s="1" t="s">
        <v>481</v>
      </c>
      <c r="C363" t="s">
        <v>731</v>
      </c>
      <c r="D363" t="b" cm="1">
        <f t="array" ref="D363">IF(Tabela13[[#This Row],[Nivel]]="N1",INDEX(Tabela13[Lider],MATCH(Tabela13[[#This Row],[Nivel]]&amp;Tabela13[[#This Row],[Liderado]],Tabela13[Nivel]&amp;Tabela13[Liderado],0)))</f>
        <v>0</v>
      </c>
      <c r="H363" t="s">
        <v>741</v>
      </c>
      <c r="I363" s="1" t="s">
        <v>507</v>
      </c>
      <c r="J363" s="1" t="s">
        <v>34</v>
      </c>
      <c r="K363" s="1" t="s">
        <v>9</v>
      </c>
      <c r="L363" s="2" t="s">
        <v>10</v>
      </c>
      <c r="M363" s="1" t="s">
        <v>11</v>
      </c>
      <c r="N363" s="2">
        <v>11474</v>
      </c>
      <c r="O363" s="1" t="s">
        <v>495</v>
      </c>
      <c r="P363" s="1" t="s">
        <v>439</v>
      </c>
      <c r="Q363" s="1" t="s">
        <v>630</v>
      </c>
      <c r="R363" s="1"/>
      <c r="S363" s="1" t="s">
        <v>730</v>
      </c>
    </row>
    <row r="364" spans="1:19" x14ac:dyDescent="0.25">
      <c r="A364" s="1" t="s">
        <v>671</v>
      </c>
      <c r="B364" s="1" t="s">
        <v>481</v>
      </c>
      <c r="C364" t="s">
        <v>731</v>
      </c>
      <c r="D364" t="b" cm="1">
        <f t="array" ref="D364">IF(Tabela13[[#This Row],[Nivel]]="N1",INDEX(Tabela13[Lider],MATCH(Tabela13[[#This Row],[Nivel]]&amp;Tabela13[[#This Row],[Liderado]],Tabela13[Nivel]&amp;Tabela13[Liderado],0)))</f>
        <v>0</v>
      </c>
      <c r="H364" t="s">
        <v>741</v>
      </c>
      <c r="I364" s="1" t="s">
        <v>531</v>
      </c>
      <c r="J364" s="1" t="s">
        <v>34</v>
      </c>
      <c r="K364" s="1" t="s">
        <v>9</v>
      </c>
      <c r="L364" s="2" t="s">
        <v>10</v>
      </c>
      <c r="M364" s="1" t="s">
        <v>11</v>
      </c>
      <c r="N364" s="2">
        <v>11474</v>
      </c>
      <c r="O364" s="1" t="s">
        <v>495</v>
      </c>
      <c r="P364" s="1" t="s">
        <v>439</v>
      </c>
      <c r="Q364" s="1" t="s">
        <v>630</v>
      </c>
      <c r="R364" s="1"/>
      <c r="S364" s="1" t="s">
        <v>730</v>
      </c>
    </row>
    <row r="365" spans="1:19" x14ac:dyDescent="0.25">
      <c r="A365" s="1" t="s">
        <v>627</v>
      </c>
      <c r="B365" s="1" t="s">
        <v>136</v>
      </c>
      <c r="C365" t="s">
        <v>728</v>
      </c>
      <c r="D365" t="b" cm="1">
        <f t="array" ref="D365">IF(Tabela13[[#This Row],[Nivel]]="N1",INDEX(Tabela13[Lider],MATCH(Tabela13[[#This Row],[Nivel]]&amp;Tabela13[[#This Row],[Liderado]],Tabela13[Nivel]&amp;Tabela13[Liderado],0)))</f>
        <v>0</v>
      </c>
      <c r="H365" t="s">
        <v>741</v>
      </c>
      <c r="I365" s="1" t="s">
        <v>537</v>
      </c>
      <c r="J365" s="1" t="s">
        <v>303</v>
      </c>
      <c r="K365" s="1" t="s">
        <v>9</v>
      </c>
      <c r="L365" s="2" t="s">
        <v>10</v>
      </c>
      <c r="M365" s="1" t="s">
        <v>11</v>
      </c>
      <c r="N365" s="2">
        <v>11369</v>
      </c>
      <c r="O365" s="1" t="s">
        <v>138</v>
      </c>
      <c r="P365" s="1" t="s">
        <v>454</v>
      </c>
      <c r="Q365" s="1" t="s">
        <v>659</v>
      </c>
      <c r="R365" s="1"/>
      <c r="S365" s="1" t="s">
        <v>729</v>
      </c>
    </row>
    <row r="366" spans="1:19" x14ac:dyDescent="0.25">
      <c r="A366" s="1" t="s">
        <v>627</v>
      </c>
      <c r="B366" s="1" t="s">
        <v>136</v>
      </c>
      <c r="C366" t="s">
        <v>728</v>
      </c>
      <c r="D366" t="b" cm="1">
        <f t="array" ref="D366">IF(Tabela13[[#This Row],[Nivel]]="N1",INDEX(Tabela13[Lider],MATCH(Tabela13[[#This Row],[Nivel]]&amp;Tabela13[[#This Row],[Liderado]],Tabela13[Nivel]&amp;Tabela13[Liderado],0)))</f>
        <v>0</v>
      </c>
      <c r="H366" t="s">
        <v>741</v>
      </c>
      <c r="I366" s="1" t="s">
        <v>538</v>
      </c>
      <c r="J366" s="1" t="s">
        <v>303</v>
      </c>
      <c r="K366" s="1" t="s">
        <v>9</v>
      </c>
      <c r="L366" s="2" t="s">
        <v>10</v>
      </c>
      <c r="M366" s="1" t="s">
        <v>11</v>
      </c>
      <c r="N366" s="2">
        <v>11369</v>
      </c>
      <c r="O366" s="1" t="s">
        <v>138</v>
      </c>
      <c r="P366" s="1" t="s">
        <v>454</v>
      </c>
      <c r="Q366" s="1" t="s">
        <v>659</v>
      </c>
      <c r="R366" s="1"/>
      <c r="S366" s="1" t="s">
        <v>729</v>
      </c>
    </row>
    <row r="367" spans="1:19" x14ac:dyDescent="0.25">
      <c r="A367" s="1" t="s">
        <v>627</v>
      </c>
      <c r="B367" s="1" t="s">
        <v>136</v>
      </c>
      <c r="C367" t="s">
        <v>728</v>
      </c>
      <c r="D367" t="b" cm="1">
        <f t="array" ref="D367">IF(Tabela13[[#This Row],[Nivel]]="N1",INDEX(Tabela13[Lider],MATCH(Tabela13[[#This Row],[Nivel]]&amp;Tabela13[[#This Row],[Liderado]],Tabela13[Nivel]&amp;Tabela13[Liderado],0)))</f>
        <v>0</v>
      </c>
      <c r="H367" t="s">
        <v>741</v>
      </c>
      <c r="I367" s="1" t="s">
        <v>539</v>
      </c>
      <c r="J367" s="1" t="s">
        <v>303</v>
      </c>
      <c r="K367" s="1" t="s">
        <v>9</v>
      </c>
      <c r="L367" s="2" t="s">
        <v>10</v>
      </c>
      <c r="M367" s="1" t="s">
        <v>11</v>
      </c>
      <c r="N367" s="2">
        <v>11369</v>
      </c>
      <c r="O367" s="1" t="s">
        <v>138</v>
      </c>
      <c r="P367" s="1" t="s">
        <v>454</v>
      </c>
      <c r="Q367" s="1" t="s">
        <v>659</v>
      </c>
      <c r="R367" s="1"/>
      <c r="S367" s="1" t="s">
        <v>729</v>
      </c>
    </row>
    <row r="368" spans="1:19" x14ac:dyDescent="0.25">
      <c r="A368" s="1" t="s">
        <v>627</v>
      </c>
      <c r="B368" s="1" t="s">
        <v>136</v>
      </c>
      <c r="C368" t="s">
        <v>728</v>
      </c>
      <c r="D368" t="b" cm="1">
        <f t="array" ref="D368">IF(Tabela13[[#This Row],[Nivel]]="N1",INDEX(Tabela13[Lider],MATCH(Tabela13[[#This Row],[Nivel]]&amp;Tabela13[[#This Row],[Liderado]],Tabela13[Nivel]&amp;Tabela13[Liderado],0)))</f>
        <v>0</v>
      </c>
      <c r="H368" t="s">
        <v>741</v>
      </c>
      <c r="I368" s="1" t="s">
        <v>543</v>
      </c>
      <c r="J368" s="1" t="s">
        <v>294</v>
      </c>
      <c r="K368" s="1" t="s">
        <v>9</v>
      </c>
      <c r="L368" s="2" t="s">
        <v>10</v>
      </c>
      <c r="M368" s="1" t="s">
        <v>11</v>
      </c>
      <c r="N368" s="2">
        <v>11369</v>
      </c>
      <c r="O368" s="1" t="s">
        <v>138</v>
      </c>
      <c r="P368" s="1" t="s">
        <v>472</v>
      </c>
      <c r="Q368" s="1" t="s">
        <v>662</v>
      </c>
      <c r="R368" s="1"/>
      <c r="S368" s="1" t="s">
        <v>729</v>
      </c>
    </row>
    <row r="369" spans="1:19" x14ac:dyDescent="0.25">
      <c r="A369" s="1" t="s">
        <v>627</v>
      </c>
      <c r="B369" s="1" t="s">
        <v>455</v>
      </c>
      <c r="C369" t="s">
        <v>728</v>
      </c>
      <c r="D369" t="b" cm="1">
        <f t="array" ref="D369">IF(Tabela13[[#This Row],[Nivel]]="N1",INDEX(Tabela13[Lider],MATCH(Tabela13[[#This Row],[Nivel]]&amp;Tabela13[[#This Row],[Liderado]],Tabela13[Nivel]&amp;Tabela13[Liderado],0)))</f>
        <v>0</v>
      </c>
      <c r="H369" t="s">
        <v>741</v>
      </c>
      <c r="I369" s="1" t="s">
        <v>547</v>
      </c>
      <c r="J369" s="1" t="s">
        <v>294</v>
      </c>
      <c r="K369" s="1" t="s">
        <v>9</v>
      </c>
      <c r="L369" s="2" t="s">
        <v>10</v>
      </c>
      <c r="M369" s="1" t="s">
        <v>11</v>
      </c>
      <c r="N369" s="2">
        <v>11370</v>
      </c>
      <c r="O369" s="1" t="s">
        <v>453</v>
      </c>
      <c r="P369" s="1" t="s">
        <v>472</v>
      </c>
      <c r="Q369" s="1" t="s">
        <v>662</v>
      </c>
      <c r="R369" s="1"/>
      <c r="S369" s="1" t="s">
        <v>727</v>
      </c>
    </row>
    <row r="370" spans="1:19" x14ac:dyDescent="0.25">
      <c r="A370" s="1" t="s">
        <v>627</v>
      </c>
      <c r="B370" s="1" t="s">
        <v>136</v>
      </c>
      <c r="C370" t="s">
        <v>728</v>
      </c>
      <c r="D370" t="b" cm="1">
        <f t="array" ref="D370">IF(Tabela13[[#This Row],[Nivel]]="N1",INDEX(Tabela13[Lider],MATCH(Tabela13[[#This Row],[Nivel]]&amp;Tabela13[[#This Row],[Liderado]],Tabela13[Nivel]&amp;Tabela13[Liderado],0)))</f>
        <v>0</v>
      </c>
      <c r="H370" t="s">
        <v>741</v>
      </c>
      <c r="I370" s="1" t="s">
        <v>551</v>
      </c>
      <c r="J370" s="1" t="s">
        <v>303</v>
      </c>
      <c r="K370" s="1" t="s">
        <v>9</v>
      </c>
      <c r="L370" s="2" t="s">
        <v>10</v>
      </c>
      <c r="M370" s="1" t="s">
        <v>11</v>
      </c>
      <c r="N370" s="2">
        <v>11369</v>
      </c>
      <c r="O370" s="1" t="s">
        <v>138</v>
      </c>
      <c r="P370" s="1" t="s">
        <v>454</v>
      </c>
      <c r="Q370" s="1" t="s">
        <v>659</v>
      </c>
      <c r="R370" s="1"/>
      <c r="S370" s="1" t="s">
        <v>729</v>
      </c>
    </row>
    <row r="371" spans="1:19" x14ac:dyDescent="0.25">
      <c r="A371" s="1" t="s">
        <v>627</v>
      </c>
      <c r="B371" s="1" t="s">
        <v>455</v>
      </c>
      <c r="C371" t="s">
        <v>728</v>
      </c>
      <c r="D371" t="b" cm="1">
        <f t="array" ref="D371">IF(Tabela13[[#This Row],[Nivel]]="N1",INDEX(Tabela13[Lider],MATCH(Tabela13[[#This Row],[Nivel]]&amp;Tabela13[[#This Row],[Liderado]],Tabela13[Nivel]&amp;Tabela13[Liderado],0)))</f>
        <v>0</v>
      </c>
      <c r="H371" t="s">
        <v>741</v>
      </c>
      <c r="I371" s="1" t="s">
        <v>553</v>
      </c>
      <c r="J371" s="1" t="s">
        <v>303</v>
      </c>
      <c r="K371" s="1" t="s">
        <v>9</v>
      </c>
      <c r="L371" s="2" t="s">
        <v>10</v>
      </c>
      <c r="M371" s="1" t="s">
        <v>11</v>
      </c>
      <c r="N371" s="2">
        <v>11370</v>
      </c>
      <c r="O371" s="1" t="s">
        <v>453</v>
      </c>
      <c r="P371" s="1" t="s">
        <v>454</v>
      </c>
      <c r="Q371" s="1" t="s">
        <v>659</v>
      </c>
      <c r="R371" s="1"/>
      <c r="S371" s="1" t="s">
        <v>727</v>
      </c>
    </row>
    <row r="372" spans="1:19" x14ac:dyDescent="0.25">
      <c r="A372" s="1" t="s">
        <v>627</v>
      </c>
      <c r="B372" s="1" t="s">
        <v>136</v>
      </c>
      <c r="C372" t="s">
        <v>728</v>
      </c>
      <c r="D372" t="b" cm="1">
        <f t="array" ref="D372">IF(Tabela13[[#This Row],[Nivel]]="N1",INDEX(Tabela13[Lider],MATCH(Tabela13[[#This Row],[Nivel]]&amp;Tabela13[[#This Row],[Liderado]],Tabela13[Nivel]&amp;Tabela13[Liderado],0)))</f>
        <v>0</v>
      </c>
      <c r="H372" t="s">
        <v>741</v>
      </c>
      <c r="I372" s="1" t="s">
        <v>588</v>
      </c>
      <c r="J372" s="1" t="s">
        <v>61</v>
      </c>
      <c r="K372" s="1" t="s">
        <v>9</v>
      </c>
      <c r="L372" s="2" t="s">
        <v>10</v>
      </c>
      <c r="M372" s="1" t="s">
        <v>11</v>
      </c>
      <c r="N372" s="2">
        <v>11390</v>
      </c>
      <c r="O372" s="1" t="s">
        <v>589</v>
      </c>
      <c r="P372" s="1" t="s">
        <v>63</v>
      </c>
      <c r="Q372" s="1" t="s">
        <v>633</v>
      </c>
      <c r="R372" s="1"/>
      <c r="S372" s="1" t="s">
        <v>729</v>
      </c>
    </row>
    <row r="373" spans="1:19" x14ac:dyDescent="0.25">
      <c r="A373" s="1" t="s">
        <v>671</v>
      </c>
      <c r="B373" s="1" t="s">
        <v>481</v>
      </c>
      <c r="C373" t="s">
        <v>731</v>
      </c>
      <c r="D373" t="b" cm="1">
        <f t="array" ref="D373">IF(Tabela13[[#This Row],[Nivel]]="N1",INDEX(Tabela13[Lider],MATCH(Tabela13[[#This Row],[Nivel]]&amp;Tabela13[[#This Row],[Liderado]],Tabela13[Nivel]&amp;Tabela13[Liderado],0)))</f>
        <v>0</v>
      </c>
      <c r="H373" t="s">
        <v>741</v>
      </c>
      <c r="I373" s="1" t="s">
        <v>617</v>
      </c>
      <c r="J373" s="1" t="s">
        <v>168</v>
      </c>
      <c r="K373" s="1" t="s">
        <v>9</v>
      </c>
      <c r="L373" s="2" t="s">
        <v>10</v>
      </c>
      <c r="M373" s="1" t="s">
        <v>11</v>
      </c>
      <c r="N373" s="2">
        <v>11458</v>
      </c>
      <c r="O373" s="1" t="s">
        <v>169</v>
      </c>
      <c r="P373" s="1" t="s">
        <v>480</v>
      </c>
      <c r="Q373" s="1" t="s">
        <v>652</v>
      </c>
      <c r="R373" s="1"/>
      <c r="S373" s="1" t="s">
        <v>730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Plan1</vt:lpstr>
      <vt:lpstr>ListaColaboradores</vt:lpstr>
      <vt:lpstr>Plan1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Janaina Daiane Sousa Ferreira Soares</dc:creator>
  <cp:lastModifiedBy>Murilo Martins</cp:lastModifiedBy>
  <dcterms:created xsi:type="dcterms:W3CDTF">2025-10-21T12:09:19Z</dcterms:created>
  <dcterms:modified xsi:type="dcterms:W3CDTF">2025-11-21T10:02:21Z</dcterms:modified>
</cp:coreProperties>
</file>